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tmau\OneDrive\Documents\Github\ocs-odoo-fleet\ref\excel\"/>
    </mc:Choice>
  </mc:AlternateContent>
  <xr:revisionPtr revIDLastSave="0" documentId="13_ncr:1_{9EDEDD2A-F786-4DDC-B300-B6093B5D5DF6}" xr6:coauthVersionLast="47" xr6:coauthVersionMax="47" xr10:uidLastSave="{00000000-0000-0000-0000-000000000000}"/>
  <bookViews>
    <workbookView xWindow="-120" yWindow="-120" windowWidth="29040" windowHeight="15990" xr2:uid="{DFEE75D7-9100-418E-A659-B3A308C7D549}"/>
  </bookViews>
  <sheets>
    <sheet name="Rental List" sheetId="86" r:id="rId1"/>
    <sheet name="3D-4211" sheetId="102" r:id="rId2"/>
    <sheet name="6L-2311" sheetId="101" r:id="rId3"/>
    <sheet name="3D-5417" sheetId="100" r:id="rId4"/>
    <sheet name="2E-7611" sheetId="99" r:id="rId5"/>
    <sheet name="5L-5487" sheetId="98" r:id="rId6"/>
    <sheet name="6F-6516" sheetId="97" r:id="rId7"/>
    <sheet name="3I-2599" sheetId="96" r:id="rId8"/>
    <sheet name="4D-4361" sheetId="95" r:id="rId9"/>
    <sheet name="9J-7318" sheetId="94" r:id="rId10"/>
    <sheet name="1N-3473" sheetId="93" r:id="rId11"/>
    <sheet name="2L-5621" sheetId="92" r:id="rId12"/>
    <sheet name="1L-6464" sheetId="90" r:id="rId13"/>
    <sheet name="6Q-1178" sheetId="89" r:id="rId14"/>
    <sheet name="6L-9338" sheetId="88" r:id="rId15"/>
    <sheet name="5H-6646" sheetId="85" r:id="rId16"/>
    <sheet name="1M-9575" sheetId="87" r:id="rId17"/>
    <sheet name="2F-2142" sheetId="84" r:id="rId18"/>
    <sheet name="5P-5451" sheetId="83" r:id="rId19"/>
    <sheet name="1R-7367" sheetId="82" r:id="rId20"/>
    <sheet name="9J-5030" sheetId="81" r:id="rId21"/>
    <sheet name="1K-2555" sheetId="80" r:id="rId22"/>
    <sheet name="2I-7677" sheetId="79" r:id="rId23"/>
    <sheet name="1I-6866" sheetId="78" r:id="rId24"/>
    <sheet name="7N-1419" sheetId="77" r:id="rId25"/>
    <sheet name="6L-2504" sheetId="76" r:id="rId26"/>
    <sheet name="6L-2808" sheetId="75" r:id="rId27"/>
    <sheet name="6I-8975" sheetId="74" r:id="rId28"/>
    <sheet name="1I-4960" sheetId="71" r:id="rId29"/>
    <sheet name="3L-6640" sheetId="73" r:id="rId30"/>
    <sheet name="3Q-7409" sheetId="70" r:id="rId31"/>
    <sheet name="5K-4168" sheetId="69" r:id="rId32"/>
    <sheet name="4Q-9683" sheetId="68" r:id="rId33"/>
    <sheet name="7H-1942" sheetId="67" r:id="rId34"/>
    <sheet name="5P-6639" sheetId="66" r:id="rId35"/>
    <sheet name="1K-5984" sheetId="65" r:id="rId36"/>
    <sheet name="7N-1797" sheetId="64" r:id="rId37"/>
    <sheet name="1P-1210" sheetId="62" r:id="rId38"/>
    <sheet name="9N-2999" sheetId="61" r:id="rId39"/>
    <sheet name="7P-6171" sheetId="60" r:id="rId40"/>
    <sheet name="1G-8399" sheetId="59" r:id="rId41"/>
    <sheet name="6L-2250" sheetId="58" r:id="rId42"/>
    <sheet name="6K-9464" sheetId="57" r:id="rId43"/>
    <sheet name="9J-1459" sheetId="56" r:id="rId44"/>
    <sheet name="9K-7202" sheetId="55" r:id="rId45"/>
    <sheet name="1M-7872" sheetId="54" r:id="rId46"/>
    <sheet name="2M-5574" sheetId="53" r:id="rId47"/>
    <sheet name="7K-4229" sheetId="52" r:id="rId48"/>
    <sheet name="7K-3137" sheetId="51" r:id="rId49"/>
    <sheet name="6L-5802" sheetId="50" r:id="rId50"/>
    <sheet name="1I-8971" sheetId="49" r:id="rId51"/>
    <sheet name="7H-1783" sheetId="48" r:id="rId52"/>
    <sheet name="4K-7478" sheetId="47" r:id="rId53"/>
    <sheet name="2M-1710" sheetId="46" r:id="rId54"/>
    <sheet name="3D-6534" sheetId="45" r:id="rId55"/>
    <sheet name="3M-3477" sheetId="44" r:id="rId56"/>
    <sheet name="5K-8905" sheetId="43" r:id="rId57"/>
    <sheet name="1K-7025" sheetId="42" r:id="rId58"/>
    <sheet name="1L-2491" sheetId="41" r:id="rId59"/>
    <sheet name="5D-3266" sheetId="40" r:id="rId60"/>
    <sheet name="2E-7802" sheetId="39" r:id="rId61"/>
    <sheet name="1J-4747" sheetId="38" r:id="rId62"/>
    <sheet name="9H-6009" sheetId="37" r:id="rId63"/>
    <sheet name="7J-5038" sheetId="36" r:id="rId64"/>
    <sheet name="7K-5798" sheetId="35" r:id="rId65"/>
    <sheet name="2J-3021" sheetId="34" r:id="rId66"/>
    <sheet name="9J-5405" sheetId="33" r:id="rId67"/>
    <sheet name="7H-8222" sheetId="32" r:id="rId68"/>
    <sheet name="7C-8788" sheetId="31" r:id="rId69"/>
    <sheet name="5L-1648" sheetId="30" r:id="rId70"/>
    <sheet name="1K-7482" sheetId="29" r:id="rId71"/>
    <sheet name="4K-7943" sheetId="28" r:id="rId72"/>
    <sheet name="6L-8556" sheetId="27" r:id="rId73"/>
    <sheet name="5L-4960" sheetId="26" r:id="rId74"/>
    <sheet name="9J-7302" sheetId="25" r:id="rId75"/>
    <sheet name="5N-5306" sheetId="24" r:id="rId76"/>
    <sheet name="1L-1050" sheetId="23" r:id="rId77"/>
    <sheet name="9H-5551" sheetId="22" r:id="rId78"/>
    <sheet name="5L-8865" sheetId="21" r:id="rId79"/>
    <sheet name="9Q-5615" sheetId="20" r:id="rId80"/>
    <sheet name="9L-9176" sheetId="19" r:id="rId81"/>
    <sheet name="4L-9873" sheetId="18" r:id="rId82"/>
    <sheet name="3J-4642" sheetId="17" r:id="rId83"/>
    <sheet name="4K-1329" sheetId="16" r:id="rId84"/>
    <sheet name="7K-6305" sheetId="15" r:id="rId85"/>
    <sheet name="4H-5781" sheetId="14" r:id="rId86"/>
    <sheet name="1M-9574" sheetId="13" r:id="rId87"/>
    <sheet name="1N-6213" sheetId="12" r:id="rId88"/>
    <sheet name="5Q-8505" sheetId="11" r:id="rId89"/>
    <sheet name="2S-2927" sheetId="10" r:id="rId90"/>
    <sheet name="2Q-1461" sheetId="9" r:id="rId91"/>
    <sheet name="7H-8541" sheetId="8" r:id="rId92"/>
    <sheet name="4H-8153" sheetId="7" r:id="rId93"/>
    <sheet name="2F-9171" sheetId="6" r:id="rId94"/>
    <sheet name="1Q-1193" sheetId="5" r:id="rId95"/>
    <sheet name="3H-5929" sheetId="4" r:id="rId96"/>
    <sheet name="7P-6769" sheetId="3" r:id="rId97"/>
    <sheet name="1I-4365" sheetId="2" r:id="rId98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86" l="1"/>
  <c r="K4" i="86"/>
  <c r="K5" i="86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1" i="86"/>
  <c r="K42" i="86"/>
  <c r="K43" i="86"/>
  <c r="K44" i="86"/>
  <c r="K45" i="86"/>
  <c r="K46" i="86"/>
  <c r="K47" i="86"/>
  <c r="K48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7" i="86"/>
  <c r="K88" i="86"/>
  <c r="K89" i="86"/>
  <c r="K90" i="86"/>
  <c r="K91" i="86"/>
  <c r="K92" i="86"/>
  <c r="K93" i="86"/>
  <c r="K94" i="86"/>
  <c r="K95" i="86"/>
  <c r="K96" i="86"/>
  <c r="K97" i="86"/>
  <c r="J3" i="86"/>
  <c r="L3" i="86" s="1"/>
  <c r="J4" i="86"/>
  <c r="L4" i="86" s="1"/>
  <c r="J5" i="86"/>
  <c r="L5" i="86" s="1"/>
  <c r="J6" i="86"/>
  <c r="L6" i="86" s="1"/>
  <c r="J7" i="86"/>
  <c r="L7" i="86" s="1"/>
  <c r="J8" i="86"/>
  <c r="L8" i="86" s="1"/>
  <c r="J9" i="86"/>
  <c r="L9" i="86" s="1"/>
  <c r="J10" i="86"/>
  <c r="L10" i="86" s="1"/>
  <c r="J11" i="86"/>
  <c r="L11" i="86" s="1"/>
  <c r="J12" i="86"/>
  <c r="L12" i="86" s="1"/>
  <c r="J13" i="86"/>
  <c r="L13" i="86" s="1"/>
  <c r="J14" i="86"/>
  <c r="L14" i="86" s="1"/>
  <c r="J15" i="86"/>
  <c r="L15" i="86" s="1"/>
  <c r="J16" i="86"/>
  <c r="L16" i="86" s="1"/>
  <c r="J17" i="86"/>
  <c r="L17" i="86" s="1"/>
  <c r="J18" i="86"/>
  <c r="L18" i="86" s="1"/>
  <c r="J19" i="86"/>
  <c r="L19" i="86" s="1"/>
  <c r="J20" i="86"/>
  <c r="L20" i="86" s="1"/>
  <c r="J21" i="86"/>
  <c r="L21" i="86" s="1"/>
  <c r="J22" i="86"/>
  <c r="L22" i="86" s="1"/>
  <c r="J23" i="86"/>
  <c r="L23" i="86" s="1"/>
  <c r="J24" i="86"/>
  <c r="L24" i="86" s="1"/>
  <c r="J25" i="86"/>
  <c r="L25" i="86" s="1"/>
  <c r="J26" i="86"/>
  <c r="L26" i="86" s="1"/>
  <c r="J27" i="86"/>
  <c r="L27" i="86" s="1"/>
  <c r="J28" i="86"/>
  <c r="L28" i="86" s="1"/>
  <c r="J29" i="86"/>
  <c r="L29" i="86" s="1"/>
  <c r="J30" i="86"/>
  <c r="L30" i="86" s="1"/>
  <c r="J31" i="86"/>
  <c r="L31" i="86" s="1"/>
  <c r="J32" i="86"/>
  <c r="L32" i="86" s="1"/>
  <c r="J33" i="86"/>
  <c r="L33" i="86" s="1"/>
  <c r="J34" i="86"/>
  <c r="L34" i="86" s="1"/>
  <c r="J35" i="86"/>
  <c r="L35" i="86" s="1"/>
  <c r="J36" i="86"/>
  <c r="L36" i="86" s="1"/>
  <c r="J37" i="86"/>
  <c r="L37" i="86" s="1"/>
  <c r="J38" i="86"/>
  <c r="L38" i="86" s="1"/>
  <c r="J39" i="86"/>
  <c r="L39" i="86" s="1"/>
  <c r="J40" i="86"/>
  <c r="L40" i="86" s="1"/>
  <c r="J41" i="86"/>
  <c r="L41" i="86" s="1"/>
  <c r="J42" i="86"/>
  <c r="L42" i="86" s="1"/>
  <c r="J43" i="86"/>
  <c r="L43" i="86" s="1"/>
  <c r="J44" i="86"/>
  <c r="L44" i="86" s="1"/>
  <c r="J45" i="86"/>
  <c r="L45" i="86" s="1"/>
  <c r="J46" i="86"/>
  <c r="L46" i="86" s="1"/>
  <c r="J47" i="86"/>
  <c r="L47" i="86" s="1"/>
  <c r="J48" i="86"/>
  <c r="L48" i="86" s="1"/>
  <c r="J49" i="86"/>
  <c r="L49" i="86" s="1"/>
  <c r="J50" i="86"/>
  <c r="L50" i="86" s="1"/>
  <c r="J51" i="86"/>
  <c r="L51" i="86" s="1"/>
  <c r="J52" i="86"/>
  <c r="L52" i="86" s="1"/>
  <c r="J53" i="86"/>
  <c r="L53" i="86" s="1"/>
  <c r="J54" i="86"/>
  <c r="L54" i="86" s="1"/>
  <c r="J55" i="86"/>
  <c r="L55" i="86" s="1"/>
  <c r="J56" i="86"/>
  <c r="L56" i="86" s="1"/>
  <c r="J57" i="86"/>
  <c r="L57" i="86" s="1"/>
  <c r="J58" i="86"/>
  <c r="L58" i="86" s="1"/>
  <c r="J59" i="86"/>
  <c r="L59" i="86" s="1"/>
  <c r="J60" i="86"/>
  <c r="L60" i="86" s="1"/>
  <c r="J61" i="86"/>
  <c r="L61" i="86" s="1"/>
  <c r="J62" i="86"/>
  <c r="L62" i="86" s="1"/>
  <c r="J63" i="86"/>
  <c r="L63" i="86" s="1"/>
  <c r="J64" i="86"/>
  <c r="L64" i="86" s="1"/>
  <c r="J65" i="86"/>
  <c r="L65" i="86" s="1"/>
  <c r="J66" i="86"/>
  <c r="L66" i="86" s="1"/>
  <c r="J67" i="86"/>
  <c r="L67" i="86" s="1"/>
  <c r="J68" i="86"/>
  <c r="L68" i="86" s="1"/>
  <c r="J69" i="86"/>
  <c r="L69" i="86" s="1"/>
  <c r="J70" i="86"/>
  <c r="L70" i="86" s="1"/>
  <c r="J71" i="86"/>
  <c r="L71" i="86" s="1"/>
  <c r="J72" i="86"/>
  <c r="L72" i="86" s="1"/>
  <c r="J73" i="86"/>
  <c r="L73" i="86" s="1"/>
  <c r="J74" i="86"/>
  <c r="L74" i="86" s="1"/>
  <c r="J75" i="86"/>
  <c r="L75" i="86" s="1"/>
  <c r="J76" i="86"/>
  <c r="L76" i="86" s="1"/>
  <c r="J77" i="86"/>
  <c r="L77" i="86" s="1"/>
  <c r="J78" i="86"/>
  <c r="L78" i="86" s="1"/>
  <c r="J79" i="86"/>
  <c r="L79" i="86" s="1"/>
  <c r="J80" i="86"/>
  <c r="L80" i="86" s="1"/>
  <c r="J81" i="86"/>
  <c r="L81" i="86" s="1"/>
  <c r="J82" i="86"/>
  <c r="L82" i="86" s="1"/>
  <c r="J83" i="86"/>
  <c r="L83" i="86" s="1"/>
  <c r="J84" i="86"/>
  <c r="L84" i="86" s="1"/>
  <c r="J85" i="86"/>
  <c r="L85" i="86" s="1"/>
  <c r="J86" i="86"/>
  <c r="L86" i="86" s="1"/>
  <c r="J87" i="86"/>
  <c r="L87" i="86" s="1"/>
  <c r="J88" i="86"/>
  <c r="L88" i="86" s="1"/>
  <c r="J89" i="86"/>
  <c r="L89" i="86" s="1"/>
  <c r="J90" i="86"/>
  <c r="L90" i="86" s="1"/>
  <c r="J91" i="86"/>
  <c r="L91" i="86" s="1"/>
  <c r="J92" i="86"/>
  <c r="L92" i="86" s="1"/>
  <c r="J93" i="86"/>
  <c r="L93" i="86" s="1"/>
  <c r="J94" i="86"/>
  <c r="L94" i="86" s="1"/>
  <c r="J95" i="86"/>
  <c r="L95" i="86" s="1"/>
  <c r="J96" i="86"/>
  <c r="L96" i="86" s="1"/>
  <c r="J97" i="86"/>
  <c r="L97" i="86" s="1"/>
  <c r="I44" i="21"/>
  <c r="H22" i="33" l="1"/>
  <c r="H30" i="89" l="1"/>
  <c r="H13" i="83" l="1"/>
  <c r="H14" i="74" l="1"/>
  <c r="H13" i="56" l="1"/>
  <c r="H26" i="79" l="1"/>
  <c r="H42" i="71"/>
  <c r="H56" i="73" l="1"/>
  <c r="H191" i="8"/>
  <c r="H46" i="27"/>
  <c r="H92" i="67"/>
  <c r="H41" i="78" l="1"/>
  <c r="H45" i="26" l="1"/>
  <c r="H52" i="68"/>
  <c r="H61" i="29"/>
  <c r="H38" i="36" l="1"/>
  <c r="H70" i="31" l="1"/>
  <c r="I42" i="16" l="1"/>
  <c r="H73" i="32" l="1"/>
  <c r="H64" i="23"/>
  <c r="H49" i="52" l="1"/>
  <c r="H32" i="82"/>
  <c r="H69" i="64"/>
  <c r="I104" i="28" l="1"/>
  <c r="H31" i="62"/>
  <c r="H140" i="60" l="1"/>
  <c r="M13" i="102" l="1"/>
  <c r="H13" i="102"/>
  <c r="H67" i="34"/>
  <c r="H27" i="43" l="1"/>
  <c r="H27" i="97" l="1"/>
  <c r="H51" i="45" l="1"/>
  <c r="H52" i="34"/>
  <c r="G32" i="51" l="1"/>
  <c r="H32" i="51"/>
  <c r="M13" i="101" l="1"/>
  <c r="H13" i="101"/>
  <c r="M13" i="100"/>
  <c r="H13" i="100"/>
  <c r="H92" i="9" l="1"/>
  <c r="H34" i="85"/>
  <c r="M13" i="99" l="1"/>
  <c r="H13" i="99"/>
  <c r="H103" i="4" l="1"/>
  <c r="M13" i="98" l="1"/>
  <c r="H13" i="98"/>
  <c r="H55" i="40" l="1"/>
  <c r="M13" i="97" l="1"/>
  <c r="H13" i="97"/>
  <c r="M13" i="96" l="1"/>
  <c r="H13" i="96"/>
  <c r="H31" i="53"/>
  <c r="H134" i="5" l="1"/>
  <c r="H54" i="95" l="1"/>
  <c r="H35" i="95"/>
  <c r="H16" i="95"/>
  <c r="H22" i="85" l="1"/>
  <c r="H15" i="53" l="1"/>
  <c r="M13" i="94" l="1"/>
  <c r="H13" i="94"/>
  <c r="M13" i="93" l="1"/>
  <c r="H13" i="93"/>
  <c r="M13" i="92"/>
  <c r="H13" i="92"/>
  <c r="H37" i="40" l="1"/>
  <c r="H84" i="61" l="1"/>
  <c r="N133" i="5"/>
  <c r="O99" i="4"/>
  <c r="L45" i="26" l="1"/>
  <c r="N115" i="17"/>
  <c r="L43" i="71"/>
  <c r="O192" i="8"/>
  <c r="O42" i="57"/>
  <c r="M101" i="30"/>
  <c r="M71" i="32"/>
  <c r="M13" i="90"/>
  <c r="L13" i="88"/>
  <c r="N92" i="67"/>
  <c r="N41" i="78" l="1"/>
  <c r="N53" i="84"/>
  <c r="L112" i="22"/>
  <c r="N36" i="20"/>
  <c r="L26" i="85"/>
  <c r="L7" i="83"/>
  <c r="M17" i="82"/>
  <c r="M77" i="12"/>
  <c r="L7" i="80"/>
  <c r="M12" i="81" l="1"/>
  <c r="M18" i="81" s="1"/>
  <c r="H16" i="89" l="1"/>
  <c r="H13" i="79" l="1"/>
  <c r="H169" i="13" l="1"/>
  <c r="P34" i="16" l="1"/>
  <c r="H98" i="24"/>
  <c r="H13" i="90" l="1"/>
  <c r="H13" i="88"/>
  <c r="H56" i="84"/>
  <c r="H180" i="8"/>
  <c r="N6" i="33"/>
  <c r="H122" i="5"/>
  <c r="I32" i="21"/>
  <c r="H56" i="18"/>
  <c r="H42" i="57" l="1"/>
  <c r="H40" i="66" l="1"/>
  <c r="I19" i="21" l="1"/>
  <c r="H13" i="69" l="1"/>
  <c r="H13" i="87" l="1"/>
  <c r="G40" i="14"/>
  <c r="P18" i="16" l="1"/>
  <c r="O70" i="7"/>
  <c r="G49" i="52" l="1"/>
  <c r="H38" i="20" l="1"/>
  <c r="M51" i="32"/>
  <c r="L10" i="74"/>
  <c r="M50" i="37"/>
  <c r="H42" i="84" l="1"/>
  <c r="H26" i="84"/>
  <c r="H12" i="84"/>
  <c r="H52" i="37" l="1"/>
  <c r="H92" i="4"/>
  <c r="H21" i="82" l="1"/>
  <c r="H9" i="82"/>
  <c r="H75" i="67" l="1"/>
  <c r="H105" i="81"/>
  <c r="H87" i="81"/>
  <c r="H70" i="81"/>
  <c r="H55" i="81"/>
  <c r="H40" i="81"/>
  <c r="H30" i="81"/>
  <c r="H24" i="81"/>
  <c r="H12" i="81"/>
  <c r="H18" i="81" l="1"/>
  <c r="N18" i="81" s="1"/>
  <c r="N12" i="81"/>
  <c r="H27" i="71"/>
  <c r="H14" i="78"/>
  <c r="H89" i="12" l="1"/>
  <c r="H13" i="80" l="1"/>
  <c r="H31" i="52"/>
  <c r="H37" i="73" l="1"/>
  <c r="H80" i="4" l="1"/>
  <c r="H65" i="76" l="1"/>
  <c r="H28" i="78" l="1"/>
  <c r="H37" i="77"/>
  <c r="H22" i="77"/>
  <c r="H53" i="76"/>
  <c r="H21" i="76"/>
  <c r="H35" i="75"/>
  <c r="G35" i="75"/>
  <c r="H17" i="73" l="1"/>
  <c r="H13" i="71"/>
  <c r="H13" i="70"/>
  <c r="G28" i="6"/>
  <c r="N33" i="68"/>
  <c r="H33" i="68"/>
  <c r="H58" i="67"/>
  <c r="H42" i="67"/>
  <c r="M15" i="67"/>
  <c r="G15" i="67"/>
  <c r="N15" i="67" s="1"/>
  <c r="N41" i="66"/>
  <c r="N43" i="66" s="1"/>
  <c r="N45" i="66" s="1"/>
  <c r="O25" i="66"/>
  <c r="O34" i="66" s="1"/>
  <c r="Q23" i="66"/>
  <c r="I127" i="65"/>
  <c r="I115" i="65"/>
  <c r="H87" i="65"/>
  <c r="H29" i="65"/>
  <c r="H38" i="64"/>
  <c r="H13" i="62"/>
  <c r="H70" i="61"/>
  <c r="H55" i="61"/>
  <c r="H41" i="61"/>
  <c r="H20" i="61"/>
  <c r="H7" i="61"/>
  <c r="H9" i="61" s="1"/>
  <c r="H119" i="60"/>
  <c r="H101" i="60"/>
  <c r="H90" i="60"/>
  <c r="H79" i="60"/>
  <c r="H68" i="60"/>
  <c r="H58" i="60"/>
  <c r="H24" i="60"/>
  <c r="H8" i="60"/>
  <c r="H48" i="59"/>
  <c r="H26" i="59"/>
  <c r="H8" i="59"/>
  <c r="H47" i="58"/>
  <c r="H26" i="57"/>
  <c r="H8" i="57"/>
  <c r="O33" i="68" l="1"/>
  <c r="H28" i="55"/>
  <c r="H13" i="55"/>
  <c r="H16" i="54"/>
  <c r="G16" i="54"/>
  <c r="G31" i="52"/>
  <c r="H13" i="52"/>
  <c r="G13" i="52"/>
  <c r="H15" i="51"/>
  <c r="H44" i="50"/>
  <c r="H29" i="50"/>
  <c r="H14" i="50"/>
  <c r="G18" i="49" l="1"/>
  <c r="G27" i="49" s="1"/>
  <c r="G13" i="49"/>
  <c r="H14" i="48"/>
  <c r="H16" i="47"/>
  <c r="G13" i="46"/>
  <c r="H31" i="45"/>
  <c r="H19" i="45"/>
  <c r="H14" i="44"/>
  <c r="H12" i="43"/>
  <c r="G44" i="42"/>
  <c r="G29" i="42"/>
  <c r="G13" i="42"/>
  <c r="H53" i="41"/>
  <c r="H38" i="41"/>
  <c r="H27" i="41"/>
  <c r="H13" i="41"/>
  <c r="H14" i="40"/>
  <c r="H34" i="39"/>
  <c r="H98" i="38"/>
  <c r="H83" i="38"/>
  <c r="G68" i="38"/>
  <c r="G50" i="38"/>
  <c r="H32" i="38"/>
  <c r="H8" i="38"/>
  <c r="H38" i="37"/>
  <c r="H24" i="37"/>
  <c r="H12" i="37"/>
  <c r="H52" i="36"/>
  <c r="H35" i="35"/>
  <c r="G35" i="35"/>
  <c r="H25" i="35"/>
  <c r="G25" i="35"/>
  <c r="J22" i="35"/>
  <c r="J23" i="35" s="1"/>
  <c r="H9" i="35"/>
  <c r="G9" i="35"/>
  <c r="H35" i="34"/>
  <c r="H20" i="34"/>
  <c r="H48" i="32" l="1"/>
  <c r="H55" i="32" s="1"/>
  <c r="H39" i="32"/>
  <c r="H25" i="32"/>
  <c r="H12" i="32"/>
  <c r="H40" i="31"/>
  <c r="M25" i="31"/>
  <c r="H25" i="31"/>
  <c r="G25" i="31"/>
  <c r="M14" i="31"/>
  <c r="H14" i="31"/>
  <c r="G14" i="31"/>
  <c r="H101" i="30"/>
  <c r="H87" i="30"/>
  <c r="H74" i="30"/>
  <c r="H62" i="30"/>
  <c r="H50" i="30"/>
  <c r="H32" i="30"/>
  <c r="H38" i="30" s="1"/>
  <c r="H26" i="30"/>
  <c r="H13" i="30"/>
  <c r="H47" i="29"/>
  <c r="G41" i="29"/>
  <c r="G33" i="29"/>
  <c r="I41" i="29" s="1"/>
  <c r="H27" i="29"/>
  <c r="H14" i="29"/>
  <c r="I90" i="28"/>
  <c r="H90" i="28"/>
  <c r="I78" i="28"/>
  <c r="H78" i="28"/>
  <c r="I66" i="28"/>
  <c r="H66" i="28"/>
  <c r="I56" i="28"/>
  <c r="H56" i="28"/>
  <c r="H47" i="28"/>
  <c r="N8" i="28"/>
  <c r="H8" i="28"/>
  <c r="H33" i="27"/>
  <c r="H21" i="27"/>
  <c r="N10" i="27"/>
  <c r="H10" i="27"/>
  <c r="H22" i="26"/>
  <c r="H54" i="25"/>
  <c r="G54" i="25"/>
  <c r="H40" i="25"/>
  <c r="H27" i="25"/>
  <c r="H81" i="24"/>
  <c r="H67" i="24"/>
  <c r="H54" i="24"/>
  <c r="H40" i="24"/>
  <c r="H27" i="24"/>
  <c r="H14" i="24"/>
  <c r="H42" i="23"/>
  <c r="H29" i="23"/>
  <c r="H19" i="23"/>
  <c r="H116" i="22"/>
  <c r="G96" i="22"/>
  <c r="G81" i="22"/>
  <c r="G67" i="22"/>
  <c r="G54" i="22"/>
  <c r="H41" i="22"/>
  <c r="G41" i="22"/>
  <c r="I36" i="22"/>
  <c r="H25" i="22"/>
  <c r="H13" i="22"/>
  <c r="H10" i="20"/>
  <c r="H9" i="20"/>
  <c r="H19" i="20" s="1"/>
  <c r="H98" i="19"/>
  <c r="H85" i="19"/>
  <c r="H71" i="19"/>
  <c r="H57" i="19"/>
  <c r="H45" i="19"/>
  <c r="H33" i="19"/>
  <c r="H19" i="19"/>
  <c r="N11" i="19"/>
  <c r="H6" i="19"/>
  <c r="H40" i="18"/>
  <c r="H27" i="18"/>
  <c r="I115" i="17"/>
  <c r="I97" i="17"/>
  <c r="I78" i="17"/>
  <c r="I67" i="17"/>
  <c r="I57" i="17"/>
  <c r="I48" i="17"/>
  <c r="I26" i="17"/>
  <c r="F26" i="17"/>
  <c r="I25" i="17"/>
  <c r="F25" i="17"/>
  <c r="I24" i="17"/>
  <c r="F24" i="17"/>
  <c r="F29" i="17" s="1"/>
  <c r="I19" i="17"/>
  <c r="O14" i="17"/>
  <c r="I14" i="17"/>
  <c r="I18" i="16"/>
  <c r="H18" i="16"/>
  <c r="P8" i="16"/>
  <c r="I8" i="16"/>
  <c r="H8" i="16"/>
  <c r="H64" i="15"/>
  <c r="H78" i="15" s="1"/>
  <c r="H57" i="15"/>
  <c r="H38" i="15"/>
  <c r="N19" i="15"/>
  <c r="H19" i="15"/>
  <c r="H40" i="14"/>
  <c r="H27" i="14"/>
  <c r="Q13" i="14"/>
  <c r="H13" i="14"/>
  <c r="R13" i="14" s="1"/>
  <c r="H153" i="13"/>
  <c r="H139" i="13"/>
  <c r="H123" i="13"/>
  <c r="G108" i="13"/>
  <c r="H98" i="13"/>
  <c r="H83" i="13"/>
  <c r="H66" i="13"/>
  <c r="H42" i="13"/>
  <c r="H65" i="12"/>
  <c r="H41" i="12"/>
  <c r="H25" i="12"/>
  <c r="H111" i="11"/>
  <c r="H92" i="11"/>
  <c r="P74" i="11"/>
  <c r="H74" i="11"/>
  <c r="P40" i="11"/>
  <c r="H40" i="11"/>
  <c r="D30" i="11"/>
  <c r="O29" i="11"/>
  <c r="G6" i="10"/>
  <c r="G5" i="10"/>
  <c r="G14" i="10" s="1"/>
  <c r="M27" i="9"/>
  <c r="H27" i="9"/>
  <c r="N27" i="9" s="1"/>
  <c r="H170" i="8"/>
  <c r="H160" i="8"/>
  <c r="H147" i="8"/>
  <c r="H136" i="8"/>
  <c r="K133" i="8"/>
  <c r="H124" i="8"/>
  <c r="E114" i="8"/>
  <c r="E109" i="8"/>
  <c r="H102" i="8"/>
  <c r="E91" i="8"/>
  <c r="E87" i="8"/>
  <c r="E92" i="8" s="1"/>
  <c r="H80" i="8"/>
  <c r="E70" i="8"/>
  <c r="E53" i="8"/>
  <c r="H46" i="8"/>
  <c r="H26" i="8"/>
  <c r="H99" i="7"/>
  <c r="H81" i="7"/>
  <c r="H55" i="7"/>
  <c r="H32" i="7"/>
  <c r="O29" i="7"/>
  <c r="O22" i="7"/>
  <c r="H22" i="7"/>
  <c r="O10" i="7"/>
  <c r="H10" i="7"/>
  <c r="G15" i="6"/>
  <c r="G7" i="6"/>
  <c r="P14" i="17" l="1"/>
  <c r="E72" i="8"/>
  <c r="O19" i="15"/>
  <c r="O8" i="28"/>
  <c r="O10" i="27"/>
  <c r="N14" i="31"/>
  <c r="N25" i="31"/>
  <c r="Q40" i="11"/>
  <c r="Q74" i="11"/>
  <c r="I111" i="5"/>
  <c r="H111" i="5"/>
  <c r="I88" i="5"/>
  <c r="H88" i="5"/>
  <c r="I78" i="5"/>
  <c r="H78" i="5"/>
  <c r="I69" i="5"/>
  <c r="H69" i="5"/>
  <c r="J33" i="5"/>
  <c r="H33" i="5"/>
  <c r="H26" i="5"/>
  <c r="H11" i="5"/>
  <c r="H82" i="3"/>
  <c r="H66" i="3"/>
  <c r="H50" i="3"/>
  <c r="H34" i="3"/>
  <c r="H16" i="3"/>
  <c r="H39" i="2"/>
  <c r="H46" i="2" s="1"/>
  <c r="H30" i="2"/>
  <c r="H21" i="2"/>
  <c r="H11" i="2"/>
  <c r="L29" i="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68157100-6C06-45DC-8055-236F0AA2ED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09-787487870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79BA0970-0DC6-4BC8-931A-F4B253B82A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09-401282070
</t>
        </r>
      </text>
    </comment>
    <comment ref="H4" authorId="0" shapeId="0" xr:uid="{C187332D-A196-420D-A727-E44057E57A2B}">
      <text>
        <r>
          <rPr>
            <sz val="9"/>
            <color indexed="81"/>
            <rFont val="Tahoma"/>
            <family val="2"/>
          </rPr>
          <t xml:space="preserve">N0-269,6th Road,YGN IndustrialZone,Zaykabar,Mingaladon.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FBA6682C-FE9C-41A3-B26A-C13AF88A43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09-401282070
</t>
        </r>
      </text>
    </comment>
    <comment ref="H3" authorId="0" shapeId="0" xr:uid="{E5351684-0F8A-4A12-A89D-2B8B0A5AAD52}">
      <text>
        <r>
          <rPr>
            <sz val="9"/>
            <color indexed="81"/>
            <rFont val="Tahoma"/>
            <family val="2"/>
          </rPr>
          <t xml:space="preserve">Address
နဒေးလမ်းမကြီး၊ လှိုင်သာယာ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D11F17C3-0D29-4A3F-BFDE-54956A061D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09-962617888
09-266266232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7E9C2222-3901-4524-91F4-016BA06A3E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09-753383920
</t>
        </r>
      </text>
    </comment>
    <comment ref="A16" authorId="0" shapeId="0" xr:uid="{3D9721D3-DD5D-43C8-8379-31AF6B35D8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09-966997295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40FEEF93-D504-493A-9F0A-7D34B4DBA0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02772DB8-3C4A-4846-A3E2-368A8C5F1112}">
      <text>
        <r>
          <rPr>
            <b/>
            <sz val="9"/>
            <color indexed="81"/>
            <rFont val="Tahoma"/>
            <family val="2"/>
          </rPr>
          <t xml:space="preserve">09-971221220
</t>
        </r>
      </text>
    </comment>
    <comment ref="A21" authorId="0" shapeId="0" xr:uid="{2FA5A7FB-E589-41B6-BBE9-7BFCB917ACE8}">
      <text>
        <r>
          <rPr>
            <b/>
            <sz val="9"/>
            <color indexed="81"/>
            <rFont val="Tahoma"/>
            <family val="2"/>
          </rPr>
          <t xml:space="preserve">09-971221220
</t>
        </r>
      </text>
    </comment>
    <comment ref="A40" authorId="1" shapeId="0" xr:uid="{963279DC-EE3A-4C2A-938A-78121930FA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09-794149914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9F606939-0F3F-4BD4-9E67-E21419FB41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09-695219918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1B86E8CC-BB9E-4E88-80E7-318C84CAF0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09-5078776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542078BA-C116-4181-8C6F-50EA11485E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09-423410854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3B34A070-C2DB-4C78-9661-EF76D73F57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09-777792888
09-421034302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E8EE7D78-9CE8-4881-8788-01F077FCD1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09-974156349</t>
        </r>
      </text>
    </comment>
    <comment ref="A19" authorId="0" shapeId="0" xr:uid="{8339E284-87BE-4C14-BEF7-2430132E00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09-5053011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545C0903-0850-40BA-80CB-3CFE4C22DC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09-5078776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85F27D56-7EA9-4DE2-98F4-93F04288EB59}">
      <text>
        <r>
          <rPr>
            <b/>
            <sz val="9"/>
            <color indexed="81"/>
            <rFont val="Tahoma"/>
            <family val="2"/>
          </rPr>
          <t xml:space="preserve">09-681633614
</t>
        </r>
      </text>
    </comment>
    <comment ref="A23" authorId="1" shapeId="0" xr:uid="{AD4F99A2-13B7-4ECD-BE37-0781889CC0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09-676831041
</t>
        </r>
      </text>
    </comment>
    <comment ref="H24" authorId="1" shapeId="0" xr:uid="{F8195AE5-895D-4BA7-9B1D-60D539BC2528}">
      <text>
        <r>
          <rPr>
            <b/>
            <sz val="12"/>
            <color indexed="81"/>
            <rFont val="Tahoma"/>
            <family val="2"/>
          </rPr>
          <t xml:space="preserve">Address
</t>
        </r>
        <r>
          <rPr>
            <sz val="12"/>
            <color indexed="81"/>
            <rFont val="Tahoma"/>
            <family val="2"/>
          </rPr>
          <t>No-51,Parami Recidence(Law Ka Nat Housing) Hlaing Township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B5D7BA6D-241E-491C-BE9F-454C0C4DA8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09-795608249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1" authorId="0" shapeId="0" xr:uid="{BC60CA2E-2E19-49C7-8672-B4D0321B9739}">
      <text>
        <r>
          <rPr>
            <b/>
            <sz val="9"/>
            <color indexed="81"/>
            <rFont val="Tahoma"/>
            <family val="2"/>
          </rPr>
          <t xml:space="preserve">09-677665888
</t>
        </r>
      </text>
    </comment>
    <comment ref="A15" authorId="1" shapeId="0" xr:uid="{B4F4D32F-7B14-4D9B-99B9-089CD9814A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09-451237877
</t>
        </r>
      </text>
    </comment>
    <comment ref="A45" authorId="1" shapeId="0" xr:uid="{699E3FFD-5A65-4C2C-9662-87D811B86C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09-675760928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B45853E6-84EA-429F-B5B7-D096C7FD1A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09-966817111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E6A7951C-AB54-4305-8B5D-6E050A6F0F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09-766480904
</t>
        </r>
      </text>
    </comment>
    <comment ref="A12" authorId="0" shapeId="0" xr:uid="{DCF444E3-F541-4F1D-8D8A-4C35C469C2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09-5109732</t>
        </r>
      </text>
    </comment>
    <comment ref="A23" authorId="0" shapeId="0" xr:uid="{85DF9961-486A-40E9-9D32-835E138C08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No-7,Watioo Condo,Bm-5B,YanKin
09-976116915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  <author>USER</author>
  </authors>
  <commentList>
    <comment ref="A1" authorId="0" shapeId="0" xr:uid="{EF5CD4D3-8177-4D5F-8B89-0B178E25898C}">
      <text>
        <r>
          <rPr>
            <b/>
            <sz val="8"/>
            <color indexed="81"/>
            <rFont val="Tahoma"/>
            <family val="2"/>
          </rPr>
          <t xml:space="preserve">09-967759117
</t>
        </r>
      </text>
    </comment>
    <comment ref="A25" authorId="1" shapeId="0" xr:uid="{8356B3A2-337F-47DE-B311-4FCED13C7F4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09-981391037
</t>
        </r>
      </text>
    </comment>
    <comment ref="A31" authorId="1" shapeId="0" xr:uid="{6CAC7751-CD04-4F71-BC8D-CF2163FA2A0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09-5401845
</t>
        </r>
      </text>
    </comment>
    <comment ref="A42" authorId="1" shapeId="0" xr:uid="{5DD3385F-36CD-406D-83FE-144319B4F03B}">
      <text>
        <r>
          <rPr>
            <b/>
            <sz val="9"/>
            <color indexed="81"/>
            <rFont val="Tahoma"/>
            <family val="2"/>
          </rPr>
          <t xml:space="preserve">09-776185232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7" authorId="1" shapeId="0" xr:uid="{3AF5B3EE-7B65-41F7-94C8-E03F98054509}">
      <text>
        <r>
          <rPr>
            <b/>
            <sz val="9"/>
            <color indexed="81"/>
            <rFont val="Tahoma"/>
            <family val="2"/>
          </rPr>
          <t xml:space="preserve">09-
</t>
        </r>
      </text>
    </comment>
    <comment ref="A74" authorId="1" shapeId="0" xr:uid="{D8D9F5C4-06EA-41AD-B285-CD05E67E280E}">
      <text>
        <r>
          <rPr>
            <b/>
            <sz val="9"/>
            <color indexed="81"/>
            <rFont val="Tahoma"/>
            <family val="2"/>
          </rPr>
          <t xml:space="preserve">09-692345308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2" authorId="2" shapeId="0" xr:uid="{611240C5-F064-4610-A33C-E391F9009F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09-695219918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1E042466-92CC-4E34-8D46-BF1A317310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09-250283560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CDDC36B1-57EA-42BB-8BD2-487180E3F2A3}">
      <text>
        <r>
          <rPr>
            <sz val="9"/>
            <color indexed="81"/>
            <rFont val="Tahoma"/>
            <family val="2"/>
          </rPr>
          <t xml:space="preserve">09-262860942
</t>
        </r>
      </text>
    </comment>
    <comment ref="A15" authorId="0" shapeId="0" xr:uid="{4CCC202C-B654-46F9-A91E-D07A1B649B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09963298888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3" authorId="0" shapeId="0" xr:uid="{1174FAE5-05CA-4750-B1AE-C4C5B7EBB072}">
      <text>
        <r>
          <rPr>
            <b/>
            <sz val="8"/>
            <color indexed="81"/>
            <rFont val="Tahoma"/>
            <family val="2"/>
          </rPr>
          <t xml:space="preserve">09-775152529
</t>
        </r>
      </text>
    </comment>
    <comment ref="A17" authorId="1" shapeId="0" xr:uid="{0951A94E-77DA-4F31-834A-435AFA5DBEFC}">
      <text>
        <r>
          <rPr>
            <sz val="9"/>
            <color indexed="81"/>
            <rFont val="Tahoma"/>
            <family val="2"/>
          </rPr>
          <t xml:space="preserve">09-668802891
</t>
        </r>
      </text>
    </comment>
    <comment ref="A30" authorId="1" shapeId="0" xr:uid="{CD9E55ED-DEE8-435C-93D5-9C5C2634B53C}">
      <text>
        <r>
          <rPr>
            <sz val="9"/>
            <color indexed="81"/>
            <rFont val="Tahoma"/>
            <family val="2"/>
          </rPr>
          <t xml:space="preserve">09-770888638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16F2764B-9354-4AF3-B954-2DC41478050D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09-4257 367 59</t>
        </r>
      </text>
    </comment>
    <comment ref="A24" authorId="0" shapeId="0" xr:uid="{8CF17D79-946D-485E-9B25-5A6899C3630A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09-968886566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7B791CAF-EB66-43CF-9FCD-C12DD9FA1EA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09-25 325 4337</t>
        </r>
      </text>
    </comment>
    <comment ref="A12" authorId="0" shapeId="0" xr:uid="{E8821D4E-49DF-46AE-8277-9803D92B54FB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09-264014566
</t>
        </r>
      </text>
    </comment>
    <comment ref="A24" authorId="0" shapeId="0" xr:uid="{CCAD7B87-F341-4009-AE1F-F11F010904DA}">
      <text>
        <r>
          <rPr>
            <b/>
            <sz val="8"/>
            <color indexed="81"/>
            <rFont val="Tahoma"/>
            <family val="2"/>
          </rPr>
          <t>09-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6" authorId="1" shapeId="0" xr:uid="{38B1B9D8-1B18-46F9-84C4-5BEB778C5757}">
      <text>
        <r>
          <rPr>
            <sz val="9"/>
            <color indexed="81"/>
            <rFont val="Tahoma"/>
            <family val="2"/>
          </rPr>
          <t xml:space="preserve">09-401530560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ED2E6903-4EAD-445E-8AC9-EA3D5561E9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09-771082591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4F70377A-E723-4E2B-B484-19B43DA446FA}">
      <text>
        <r>
          <rPr>
            <sz val="9"/>
            <color indexed="81"/>
            <rFont val="Tahoma"/>
            <family val="2"/>
          </rPr>
          <t xml:space="preserve">09-959786666
</t>
        </r>
      </text>
    </comment>
    <comment ref="A16" authorId="1" shapeId="0" xr:uid="{9FD88B9D-7D1B-475D-8AFF-337B031DE224}">
      <text>
        <r>
          <rPr>
            <b/>
            <sz val="8"/>
            <color indexed="81"/>
            <rFont val="Tahoma"/>
            <family val="2"/>
          </rPr>
          <t xml:space="preserve">09-775152529
</t>
        </r>
      </text>
    </comment>
    <comment ref="A31" authorId="0" shapeId="0" xr:uid="{5810BAE9-FCCE-4275-A50B-498F0BD0E3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09-979014992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3C0A4C86-792B-4429-9A2A-E4F851032892}">
      <text>
        <r>
          <rPr>
            <b/>
            <sz val="8"/>
            <color indexed="81"/>
            <rFont val="Tahoma"/>
            <family val="2"/>
          </rPr>
          <t xml:space="preserve">09-976326666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2" authorId="1" shapeId="0" xr:uid="{5B3870EE-71A9-4E9E-9376-D6D2E59F1288}">
      <text>
        <r>
          <rPr>
            <sz val="9"/>
            <color indexed="81"/>
            <rFont val="Tahoma"/>
            <family val="2"/>
          </rPr>
          <t xml:space="preserve">09-262860942
</t>
        </r>
      </text>
    </comment>
    <comment ref="A41" authorId="1" shapeId="0" xr:uid="{A2E557BD-751C-4609-BFE8-E98E46339AC6}">
      <text>
        <r>
          <rPr>
            <sz val="9"/>
            <color indexed="81"/>
            <rFont val="Tahoma"/>
            <family val="2"/>
          </rPr>
          <t xml:space="preserve">09-678065570
Shweကန်သာယာအိမ်ယာ Land Mark , Hlaing Tharyar.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36AD3401-78EB-4416-93E9-A0D7B5358E13}">
      <text>
        <r>
          <rPr>
            <b/>
            <sz val="8"/>
            <color indexed="81"/>
            <rFont val="Tahoma"/>
            <family val="2"/>
          </rPr>
          <t xml:space="preserve">09-698302967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1E4EB1D3-AA33-4A7F-9DC0-1F6036894901}">
      <text>
        <r>
          <rPr>
            <b/>
            <sz val="8"/>
            <color indexed="81"/>
            <rFont val="Tahoma"/>
            <family val="2"/>
          </rPr>
          <t xml:space="preserve">09-698302967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BF33634F-4987-4C8B-9EB0-B437A8BC3C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09-250321902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  <author>USER</author>
  </authors>
  <commentList>
    <comment ref="A2" authorId="0" shapeId="0" xr:uid="{BA423B52-3EF8-48D1-B1AC-63FCA6C135B9}">
      <text>
        <r>
          <rPr>
            <sz val="8"/>
            <color indexed="81"/>
            <rFont val="Tahoma"/>
            <family val="2"/>
          </rPr>
          <t xml:space="preserve">09-769097729
</t>
        </r>
      </text>
    </comment>
    <comment ref="A16" authorId="0" shapeId="0" xr:uid="{5175BB25-5998-47B7-897D-DA59B09DDF9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09-967759117
</t>
        </r>
      </text>
    </comment>
    <comment ref="A28" authorId="0" shapeId="0" xr:uid="{40860E26-B416-4E68-9828-F99E6F039DE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09-443833158
</t>
        </r>
      </text>
    </comment>
    <comment ref="A44" authorId="1" shapeId="0" xr:uid="{892CE8AA-016A-4A60-ABE8-21928E8F4E51}">
      <text>
        <r>
          <rPr>
            <b/>
            <sz val="9"/>
            <color indexed="81"/>
            <rFont val="Tahoma"/>
            <family val="2"/>
          </rPr>
          <t xml:space="preserve">09-972218888
</t>
        </r>
      </text>
    </comment>
    <comment ref="A61" authorId="2" shapeId="0" xr:uid="{70CBF429-DAE9-4943-A6EA-D947B39CE6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09-401282070
09-958325317
</t>
        </r>
      </text>
    </comment>
    <comment ref="A78" authorId="2" shapeId="0" xr:uid="{003DF34F-0875-4CC3-8153-320CC7DBED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09-456182888
09-263112657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E9D5E0E5-464B-46A7-8248-5B14185DD183}">
      <text>
        <r>
          <rPr>
            <b/>
            <sz val="8"/>
            <color indexed="81"/>
            <rFont val="Tahoma"/>
            <family val="2"/>
          </rPr>
          <t xml:space="preserve">09-9977334888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999 tiger</author>
    <author>user</author>
    <author>USER</author>
  </authors>
  <commentList>
    <comment ref="A2" authorId="0" shapeId="0" xr:uid="{05383D42-A8B6-42A9-A00F-C6D5C534B918}">
      <text>
        <r>
          <rPr>
            <b/>
            <sz val="8"/>
            <color indexed="81"/>
            <rFont val="Tahoma"/>
            <family val="2"/>
          </rPr>
          <t>999 tiger:</t>
        </r>
        <r>
          <rPr>
            <sz val="8"/>
            <color indexed="81"/>
            <rFont val="Tahoma"/>
            <family val="2"/>
          </rPr>
          <t xml:space="preserve">
09-761012194
09-771080188
Ma Than Than Hla -
09-79 22 55 67</t>
        </r>
      </text>
    </comment>
    <comment ref="A32" authorId="0" shapeId="0" xr:uid="{C8B2509D-BD03-449E-9F06-C9E2543E0282}">
      <text>
        <r>
          <rPr>
            <b/>
            <sz val="8"/>
            <color indexed="81"/>
            <rFont val="Tahoma"/>
            <family val="2"/>
          </rPr>
          <t>999 tiger:</t>
        </r>
        <r>
          <rPr>
            <sz val="8"/>
            <color indexed="81"/>
            <rFont val="Tahoma"/>
            <family val="2"/>
          </rPr>
          <t xml:space="preserve">
09-799395185</t>
        </r>
      </text>
    </comment>
    <comment ref="H36" authorId="0" shapeId="0" xr:uid="{807A1DA9-1F45-4299-BA5C-7703FDE6604D}">
      <text>
        <r>
          <rPr>
            <b/>
            <sz val="8"/>
            <color indexed="81"/>
            <rFont val="Tahoma"/>
            <family val="2"/>
          </rPr>
          <t>999 tiger:</t>
        </r>
        <r>
          <rPr>
            <sz val="8"/>
            <color indexed="81"/>
            <rFont val="Tahoma"/>
            <family val="2"/>
          </rPr>
          <t xml:space="preserve">
discount for 1 day</t>
        </r>
      </text>
    </comment>
    <comment ref="H37" authorId="0" shapeId="0" xr:uid="{183AF9A7-5824-4083-AA87-A95E895E188A}">
      <text>
        <r>
          <rPr>
            <b/>
            <sz val="8"/>
            <color indexed="81"/>
            <rFont val="Tahoma"/>
            <family val="2"/>
          </rPr>
          <t>999 tiger:</t>
        </r>
        <r>
          <rPr>
            <sz val="8"/>
            <color indexed="81"/>
            <rFont val="Tahoma"/>
            <family val="2"/>
          </rPr>
          <t xml:space="preserve">
discount for 1 day</t>
        </r>
      </text>
    </comment>
    <comment ref="G44" authorId="0" shapeId="0" xr:uid="{7713E6CE-3C7D-4B0B-8405-FCF50A1F703B}">
      <text>
        <r>
          <rPr>
            <b/>
            <sz val="8"/>
            <color indexed="81"/>
            <rFont val="Tahoma"/>
            <family val="2"/>
          </rPr>
          <t>999 tiger:</t>
        </r>
        <r>
          <rPr>
            <sz val="8"/>
            <color indexed="81"/>
            <rFont val="Tahoma"/>
            <family val="2"/>
          </rPr>
          <t xml:space="preserve">
bal -50,000
ေနာက္လတြင္ေပါင္းေပးမည္</t>
        </r>
      </text>
    </comment>
    <comment ref="A61" authorId="1" shapeId="0" xr:uid="{58F4F98A-890A-4BE3-80A3-B00A40631E79}">
      <text>
        <r>
          <rPr>
            <b/>
            <sz val="8"/>
            <color indexed="81"/>
            <rFont val="Tahoma"/>
            <family val="2"/>
          </rPr>
          <t xml:space="preserve">09-43066815
09-422657811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84" authorId="1" shapeId="0" xr:uid="{DAE4B588-896D-49BB-96EF-635055385425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40000 က်မ္
</t>
        </r>
      </text>
    </comment>
    <comment ref="A91" authorId="1" shapeId="0" xr:uid="{F0004C88-1CBA-4425-AE86-89AA925A9E2D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09-420314897</t>
        </r>
      </text>
    </comment>
    <comment ref="H95" authorId="1" shapeId="0" xr:uid="{5AA5CD31-0550-430A-9AE4-003D5DDCC5C8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40000 က်မ္
</t>
        </r>
      </text>
    </comment>
    <comment ref="A110" authorId="2" shapeId="0" xr:uid="{EC45ED31-4127-4D21-8CB2-A61A60E64B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09-448003116
</t>
        </r>
      </text>
    </comment>
    <comment ref="H114" authorId="1" shapeId="0" xr:uid="{B3303827-EE52-4192-BFB9-5BAAA404846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40000 က်မ္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2990A84E-467B-405B-9241-766FA67577F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09-798460812
</t>
        </r>
      </text>
    </comment>
    <comment ref="A45" authorId="0" shapeId="0" xr:uid="{A5C31C15-5483-432C-B23D-A06EAA40D521}">
      <text>
        <r>
          <rPr>
            <b/>
            <sz val="8"/>
            <color indexed="81"/>
            <rFont val="Tahoma"/>
            <family val="2"/>
          </rPr>
          <t xml:space="preserve">09-450552920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74547905-223B-4ED9-928B-6ED5E48B2B5D}">
      <text>
        <r>
          <rPr>
            <b/>
            <sz val="8"/>
            <color indexed="81"/>
            <rFont val="Tahoma"/>
            <family val="2"/>
          </rPr>
          <t xml:space="preserve">09-783023806
09-97540618
</t>
        </r>
      </text>
    </comment>
    <comment ref="A15" authorId="0" shapeId="0" xr:uid="{10E9620B-27B0-4C8F-8F96-FA61CA0EFD8C}">
      <text>
        <r>
          <rPr>
            <b/>
            <sz val="8"/>
            <color indexed="81"/>
            <rFont val="Tahoma"/>
            <family val="2"/>
          </rPr>
          <t xml:space="preserve">09-699700960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2703828C-E4ED-4EC6-8ACA-12BD4D2AA95C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09-264014566
</t>
        </r>
      </text>
    </comment>
    <comment ref="A13" authorId="0" shapeId="0" xr:uid="{BD2AFAAF-F926-41C1-920C-A6A6465527E3}">
      <text>
        <r>
          <rPr>
            <b/>
            <sz val="8"/>
            <color indexed="81"/>
            <rFont val="Tahoma"/>
            <family val="2"/>
          </rPr>
          <t xml:space="preserve">09-775240240
01-581185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2" authorId="0" shapeId="0" xr:uid="{AA0A485B-F675-479A-BCDE-5F0D2385123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09-5096500
</t>
        </r>
      </text>
    </comment>
    <comment ref="A44" authorId="0" shapeId="0" xr:uid="{594DC076-CBE7-41F1-BAE6-4064B1D827F5}">
      <text>
        <r>
          <rPr>
            <b/>
            <sz val="8"/>
            <color indexed="81"/>
            <rFont val="Tahoma"/>
            <family val="2"/>
          </rPr>
          <t xml:space="preserve">09250153536
09-256490712
</t>
        </r>
      </text>
    </comment>
    <comment ref="A59" authorId="0" shapeId="0" xr:uid="{B58D9A96-C163-4762-8B70-C32F4DEB458F}">
      <text>
        <r>
          <rPr>
            <b/>
            <sz val="8"/>
            <color indexed="81"/>
            <rFont val="Tahoma"/>
            <family val="2"/>
          </rPr>
          <t xml:space="preserve">09250153536
09-256490712
</t>
        </r>
      </text>
    </comment>
    <comment ref="A73" authorId="0" shapeId="0" xr:uid="{046A3287-0A04-4D1F-A9BF-BF766F718671}">
      <text>
        <r>
          <rPr>
            <b/>
            <sz val="8"/>
            <color indexed="81"/>
            <rFont val="Tahoma"/>
            <family val="2"/>
          </rPr>
          <t xml:space="preserve">09-881888018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A2" authorId="0" shapeId="0" xr:uid="{E0879D03-2A26-423F-A725-B0C01739FA43}">
      <text>
        <r>
          <rPr>
            <b/>
            <sz val="8"/>
            <color indexed="81"/>
            <rFont val="Tahoma"/>
            <family val="2"/>
          </rPr>
          <t xml:space="preserve">09-952369999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 shapeId="0" xr:uid="{780B29A4-7A05-4C2A-849C-CB1C9D9FC0EF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09-253470064
</t>
        </r>
      </text>
    </comment>
    <comment ref="A29" authorId="0" shapeId="0" xr:uid="{088C7E88-EFDE-4EE6-91F2-25DCBA296EDC}">
      <text>
        <r>
          <rPr>
            <b/>
            <sz val="8"/>
            <color indexed="81"/>
            <rFont val="Tahoma"/>
            <family val="2"/>
          </rPr>
          <t xml:space="preserve">09-9977334888
</t>
        </r>
      </text>
    </comment>
    <comment ref="A40" authorId="0" shapeId="0" xr:uid="{82418534-2026-4798-ACB8-3E9E06E4BB8B}">
      <text>
        <r>
          <rPr>
            <b/>
            <sz val="8"/>
            <color indexed="81"/>
            <rFont val="Tahoma"/>
            <family val="2"/>
          </rPr>
          <t xml:space="preserve">09-250058736
</t>
        </r>
      </text>
    </comment>
    <comment ref="A50" authorId="0" shapeId="0" xr:uid="{44A7B04F-C7B6-40FB-A9F1-4CA689EB81BF}">
      <text>
        <r>
          <rPr>
            <b/>
            <sz val="8"/>
            <color indexed="81"/>
            <rFont val="Tahoma"/>
            <family val="2"/>
          </rPr>
          <t xml:space="preserve">09-966959888
</t>
        </r>
      </text>
    </comment>
    <comment ref="A60" authorId="0" shapeId="0" xr:uid="{20C21E3C-12B7-40E2-976A-D798F85C9424}">
      <text>
        <r>
          <rPr>
            <b/>
            <sz val="8"/>
            <color indexed="81"/>
            <rFont val="Tahoma"/>
            <family val="2"/>
          </rPr>
          <t xml:space="preserve">09-456382167
</t>
        </r>
      </text>
    </comment>
    <comment ref="A71" authorId="0" shapeId="0" xr:uid="{A39D93FB-D789-4ACF-ADCE-40B10403EF91}">
      <text>
        <r>
          <rPr>
            <b/>
            <sz val="8"/>
            <color indexed="81"/>
            <rFont val="Tahoma"/>
            <family val="2"/>
          </rPr>
          <t xml:space="preserve">09-774194898
09-448041936
</t>
        </r>
      </text>
    </comment>
    <comment ref="A82" authorId="1" shapeId="0" xr:uid="{30B918DA-267A-437B-8532-6E78A5D42C2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09-690583666
09-695447979 Moe Zaw 
</t>
        </r>
      </text>
    </comment>
    <comment ref="A93" authorId="1" shapeId="0" xr:uid="{C7357073-F694-433E-A843-245378BCC981}">
      <text>
        <r>
          <rPr>
            <b/>
            <sz val="9"/>
            <color indexed="81"/>
            <rFont val="Tahoma"/>
            <family val="2"/>
          </rPr>
          <t xml:space="preserve">09-755013668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3B72A767-78AB-4F9D-B8D6-3AF8363B9F1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09-453774541
</t>
        </r>
      </text>
    </comment>
    <comment ref="A10" authorId="0" shapeId="0" xr:uid="{2FC18C16-E522-4F64-AD79-C90193145B96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09-955 188 860</t>
        </r>
      </text>
    </comment>
    <comment ref="A21" authorId="0" shapeId="0" xr:uid="{01094C76-04AB-4C05-B32A-2F9C44A99EF6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09-443833158
09-784903239
</t>
        </r>
      </text>
    </comment>
    <comment ref="A28" authorId="0" shapeId="0" xr:uid="{8348F6B5-6104-4E5A-BF62-9C735C286EB1}">
      <text>
        <r>
          <rPr>
            <b/>
            <sz val="8"/>
            <color indexed="81"/>
            <rFont val="Tahoma"/>
            <family val="2"/>
          </rPr>
          <t xml:space="preserve">09-954803293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8C8A0227-ADB2-4441-8B32-71743AD24090}">
      <text>
        <r>
          <rPr>
            <b/>
            <sz val="8"/>
            <color indexed="81"/>
            <rFont val="Tahoma"/>
            <family val="2"/>
          </rPr>
          <t xml:space="preserve">09-668696999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4" authorId="1" shapeId="0" xr:uid="{00E0BEEC-8881-412B-A7B1-CB39808B9935}">
      <text>
        <r>
          <rPr>
            <sz val="9"/>
            <color indexed="81"/>
            <rFont val="Tahoma"/>
            <family val="2"/>
          </rPr>
          <t xml:space="preserve">09-940009139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406CB0FA-A9A5-4B32-B4B1-0E851D7682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09-751089029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CC7C9AC2-83C3-4397-853E-76B80A21FEF4}">
      <text>
        <r>
          <rPr>
            <b/>
            <sz val="8"/>
            <color indexed="81"/>
            <rFont val="Tahoma"/>
            <family val="2"/>
          </rPr>
          <t xml:space="preserve">09-892951096
</t>
        </r>
      </text>
    </comment>
    <comment ref="A17" authorId="0" shapeId="0" xr:uid="{B893D260-7038-445B-B8EA-0A8BE52AD5D0}">
      <text>
        <r>
          <rPr>
            <b/>
            <sz val="8"/>
            <color indexed="81"/>
            <rFont val="Tahoma"/>
            <family val="2"/>
          </rPr>
          <t xml:space="preserve">09-758230392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3CB6222A-B525-4E5E-8B6D-381647861BA5}">
      <text>
        <r>
          <rPr>
            <b/>
            <sz val="8"/>
            <color indexed="81"/>
            <rFont val="Tahoma"/>
            <family val="2"/>
          </rPr>
          <t xml:space="preserve">09-942759605
09-409934942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3F61738C-342D-4BE0-99DF-161E5F27411B}">
      <text>
        <r>
          <rPr>
            <b/>
            <sz val="8"/>
            <color indexed="81"/>
            <rFont val="Tahoma"/>
            <family val="2"/>
          </rPr>
          <t xml:space="preserve">09-951635555
</t>
        </r>
      </text>
    </comment>
    <comment ref="A18" authorId="1" shapeId="0" xr:uid="{629DCF47-AD10-469B-A850-4DAD65625A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09-960555999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78D4E8E1-78D9-446B-82CF-528C260E613A}">
      <text>
        <r>
          <rPr>
            <b/>
            <sz val="8"/>
            <color indexed="81"/>
            <rFont val="Tahoma"/>
            <family val="2"/>
          </rPr>
          <t xml:space="preserve">09-445871341
</t>
        </r>
      </text>
    </comment>
    <comment ref="A16" authorId="1" shapeId="0" xr:uid="{B69261BE-C9ED-4349-8AFF-D2657885A211}">
      <text>
        <r>
          <rPr>
            <sz val="9"/>
            <color indexed="81"/>
            <rFont val="Tahoma"/>
            <family val="2"/>
          </rPr>
          <t xml:space="preserve">09-
</t>
        </r>
      </text>
    </comment>
    <comment ref="A34" authorId="1" shapeId="0" xr:uid="{E7E920CD-815C-4BB5-B5CB-E19BD9E744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09-976116915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EEF19DD4-9CBA-4FD4-BB1B-79EB0FDF144B}">
      <text>
        <r>
          <rPr>
            <b/>
            <sz val="9"/>
            <color indexed="81"/>
            <rFont val="Tahoma"/>
            <family val="2"/>
          </rPr>
          <t xml:space="preserve">09-953863960
</t>
        </r>
      </text>
    </comment>
    <comment ref="A19" authorId="1" shapeId="0" xr:uid="{2600887F-022B-4431-84A1-871262766C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09-965200201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3BCA5BD6-8EB8-4BCC-95FC-0A4563405BFB}">
      <text>
        <r>
          <rPr>
            <b/>
            <sz val="8"/>
            <color indexed="81"/>
            <rFont val="Tahoma"/>
            <family val="2"/>
          </rPr>
          <t xml:space="preserve">09-972595988
</t>
        </r>
      </text>
    </comment>
    <comment ref="A18" authorId="0" shapeId="0" xr:uid="{E75AC3AC-B767-49AA-8BE9-9ED6D5E4F5AF}">
      <text>
        <r>
          <rPr>
            <b/>
            <sz val="8"/>
            <color indexed="81"/>
            <rFont val="Tahoma"/>
            <family val="2"/>
          </rPr>
          <t xml:space="preserve">09-698302967
</t>
        </r>
      </text>
    </comment>
    <comment ref="A33" authorId="1" shapeId="0" xr:uid="{441A3498-9109-4087-9D1D-FA15D5D82652}">
      <text>
        <r>
          <rPr>
            <sz val="9"/>
            <color indexed="81"/>
            <rFont val="Tahoma"/>
            <family val="2"/>
          </rPr>
          <t xml:space="preserve">09-890666566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07570B4C-6F6E-4412-B851-079A062931D5}">
      <text>
        <r>
          <rPr>
            <b/>
            <sz val="8"/>
            <color indexed="81"/>
            <rFont val="Tahoma"/>
            <family val="2"/>
          </rPr>
          <t xml:space="preserve">789668666
</t>
        </r>
      </text>
    </comment>
    <comment ref="A16" authorId="1" shapeId="0" xr:uid="{FEE4F426-2FA4-4FE2-903E-96D61B9C5A39}">
      <text>
        <r>
          <rPr>
            <sz val="9"/>
            <color indexed="81"/>
            <rFont val="Tahoma"/>
            <family val="2"/>
          </rPr>
          <t xml:space="preserve">09-966997295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F7399F91-03DD-405B-9FA1-ACB2FC4F8C06}">
      <text>
        <r>
          <rPr>
            <b/>
            <sz val="8"/>
            <color indexed="81"/>
            <rFont val="Tahoma"/>
            <family val="2"/>
          </rPr>
          <t xml:space="preserve">09-681803600
09-457419655 Thazin Aye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3DE33361-9A0C-4744-8ABB-188DE513D8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09-971269999
09-951635555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4A9880CB-3C59-46CB-95D6-C70222C0BCA0}">
      <text>
        <r>
          <rPr>
            <sz val="8"/>
            <color indexed="81"/>
            <rFont val="Tahoma"/>
            <family val="2"/>
          </rPr>
          <t xml:space="preserve">09-966776631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FB46CAB7-9A54-444B-8684-219D74739DA6}">
      <text>
        <r>
          <rPr>
            <b/>
            <sz val="9"/>
            <color indexed="81"/>
            <rFont val="Tahoma"/>
            <family val="2"/>
          </rPr>
          <t xml:space="preserve">09-666645944
</t>
        </r>
      </text>
    </comment>
    <comment ref="A23" authorId="0" shapeId="0" xr:uid="{B689365B-0792-4EBD-B67E-DA8302DDE625}">
      <text>
        <r>
          <rPr>
            <b/>
            <sz val="9"/>
            <color indexed="81"/>
            <rFont val="Tahoma"/>
            <family val="2"/>
          </rPr>
          <t xml:space="preserve">09-256712707
</t>
        </r>
      </text>
    </comment>
    <comment ref="A34" authorId="1" shapeId="0" xr:uid="{51A1FD5E-1954-4EC4-8E76-1B58FD84419D}">
      <text>
        <r>
          <rPr>
            <sz val="9"/>
            <color indexed="81"/>
            <rFont val="Tahoma"/>
            <family val="2"/>
          </rPr>
          <t xml:space="preserve">09-798116226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2" authorId="0" shapeId="0" xr:uid="{965E183D-F8DE-4C09-AD96-83C97C18E8B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09-401282070/09-958325317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A2D05D80-9A7C-434F-85B2-2E205E45E4EF}">
      <text>
        <r>
          <rPr>
            <sz val="8"/>
            <color indexed="81"/>
            <rFont val="Tahoma"/>
            <family val="2"/>
          </rPr>
          <t xml:space="preserve">09-401282070/09-958325317
</t>
        </r>
      </text>
    </comment>
    <comment ref="A14" authorId="1" shapeId="0" xr:uid="{63E67EEC-C6EC-4D7C-869A-DB57B67657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09-755013668
09-679404102
</t>
        </r>
      </text>
    </comment>
    <comment ref="I15" authorId="1" shapeId="0" xr:uid="{97E29A24-B23B-4AAF-AB50-8EB15208640E}">
      <text>
        <r>
          <rPr>
            <b/>
            <sz val="12"/>
            <color indexed="81"/>
            <rFont val="Tahoma"/>
            <family val="2"/>
          </rPr>
          <t xml:space="preserve">Address
အမှတ်38 B/2
ွှေကန်သာယာအိမ်ယာ လှိုင်သာယာ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038F2958-9208-41EE-A126-5AA98A905188}">
      <text>
        <r>
          <rPr>
            <b/>
            <sz val="8"/>
            <color indexed="81"/>
            <rFont val="Tahoma"/>
            <family val="2"/>
          </rPr>
          <t xml:space="preserve">09-250900707
</t>
        </r>
      </text>
    </comment>
    <comment ref="A18" authorId="0" shapeId="0" xr:uid="{D7C2D782-E236-4160-A6D5-B82FFE0D6F65}">
      <text>
        <r>
          <rPr>
            <b/>
            <sz val="8"/>
            <color indexed="81"/>
            <rFont val="Tahoma"/>
            <family val="2"/>
          </rPr>
          <t xml:space="preserve">09-663788888
</t>
        </r>
      </text>
    </comment>
    <comment ref="A33" authorId="0" shapeId="0" xr:uid="{0156EF6E-486A-4BE5-BDCE-9A1D9BD0EE00}">
      <text>
        <r>
          <rPr>
            <b/>
            <sz val="8"/>
            <color indexed="81"/>
            <rFont val="Tahoma"/>
            <family val="2"/>
          </rPr>
          <t xml:space="preserve">09-978294842
</t>
        </r>
      </text>
    </comment>
    <comment ref="H34" authorId="1" shapeId="0" xr:uid="{BFF1FE2E-2B7D-48E8-9CF6-0A2756102084}">
      <text>
        <r>
          <rPr>
            <sz val="9"/>
            <color indexed="81"/>
            <rFont val="Tahoma"/>
            <family val="2"/>
          </rPr>
          <t xml:space="preserve">Addres
အမှတ်(၅)၊ စက်မှု (၃) နဒေးလမ်းမကြီး၊ လှိုင်သာယာ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AC9E3B32-FC9B-4BA7-98DD-2FF27DE475C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</t>
        </r>
      </text>
    </comment>
    <comment ref="A16" authorId="0" shapeId="0" xr:uid="{A7EC783F-E2BE-489C-ACBF-5EDBB8DE18D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</t>
        </r>
      </text>
    </comment>
    <comment ref="A33" authorId="0" shapeId="0" xr:uid="{CDD37D3A-0B06-46DE-80F7-72746F848BA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09-250155308
</t>
        </r>
      </text>
    </comment>
    <comment ref="A42" authorId="1" shapeId="0" xr:uid="{4AC1F07D-1596-4AEE-BFA8-91E7104C8F43}">
      <text>
        <r>
          <rPr>
            <sz val="11"/>
            <color indexed="81"/>
            <rFont val="Tahoma"/>
            <family val="2"/>
          </rPr>
          <t>09-791333507
No-19 Street , (3) Block , Nyaung Done Toenship.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B8E30687-D37E-4E54-8792-64A0CA18AFC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09-751466992
</t>
        </r>
      </text>
    </comment>
    <comment ref="A23" authorId="0" shapeId="0" xr:uid="{CE014565-BDE0-4D69-B08E-A1FE6A766B6F}">
      <text>
        <r>
          <rPr>
            <b/>
            <sz val="9"/>
            <color indexed="81"/>
            <rFont val="Tahoma"/>
            <family val="2"/>
          </rPr>
          <t xml:space="preserve">09-970709892
</t>
        </r>
      </text>
    </comment>
    <comment ref="A41" authorId="1" shapeId="0" xr:uid="{B554F150-B3F3-4C1C-A9FF-F67021487D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09-760736648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2" authorId="0" shapeId="0" xr:uid="{DBD83540-31E7-4121-B05D-2F28927EE2E2}">
      <text>
        <r>
          <rPr>
            <b/>
            <sz val="9"/>
            <color indexed="81"/>
            <rFont val="Tahoma"/>
            <family val="2"/>
          </rPr>
          <t xml:space="preserve">09786206340
</t>
        </r>
      </text>
    </comment>
    <comment ref="A13" authorId="0" shapeId="0" xr:uid="{E39E9054-80F5-452E-BAFF-0DA3E8C0B886}">
      <text>
        <r>
          <rPr>
            <b/>
            <sz val="9"/>
            <color indexed="81"/>
            <rFont val="Tahoma"/>
            <family val="2"/>
          </rPr>
          <t xml:space="preserve">09-786661588
</t>
        </r>
      </text>
    </comment>
    <comment ref="A26" authorId="0" shapeId="0" xr:uid="{D4EE576F-4CDD-4800-9A42-47339F7AB9C3}">
      <text>
        <r>
          <rPr>
            <b/>
            <sz val="9"/>
            <color indexed="81"/>
            <rFont val="Tahoma"/>
            <family val="2"/>
          </rPr>
          <t xml:space="preserve">09-961118666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  <author>USER</author>
  </authors>
  <commentList>
    <comment ref="A2" authorId="0" shapeId="0" xr:uid="{93C4C13A-CEDA-461C-AA7D-AB74879262F3}">
      <text>
        <r>
          <rPr>
            <b/>
            <sz val="8"/>
            <color indexed="81"/>
            <rFont val="Tahoma"/>
            <family val="2"/>
          </rPr>
          <t xml:space="preserve">09-262860942
</t>
        </r>
      </text>
    </comment>
    <comment ref="A12" authorId="0" shapeId="0" xr:uid="{C628EB5B-C962-4F56-AF08-BE11A0F423D7}">
      <text>
        <r>
          <rPr>
            <b/>
            <sz val="8"/>
            <color indexed="81"/>
            <rFont val="Tahoma"/>
            <family val="2"/>
          </rPr>
          <t>09-956942686</t>
        </r>
      </text>
    </comment>
    <comment ref="A35" authorId="1" shapeId="0" xr:uid="{3CD18AC2-B478-4DE0-B464-4639A37EC719}">
      <text>
        <r>
          <rPr>
            <b/>
            <sz val="9"/>
            <color indexed="81"/>
            <rFont val="Tahoma"/>
            <family val="2"/>
          </rPr>
          <t xml:space="preserve">09-770888638
</t>
        </r>
      </text>
    </comment>
    <comment ref="A54" authorId="1" shapeId="0" xr:uid="{34827013-633F-4BF2-A6F8-71DFF6B14C18}">
      <text>
        <r>
          <rPr>
            <b/>
            <sz val="9"/>
            <color indexed="81"/>
            <rFont val="Tahoma"/>
            <family val="2"/>
          </rPr>
          <t xml:space="preserve">09-770888638
</t>
        </r>
      </text>
    </comment>
    <comment ref="A62" authorId="1" shapeId="0" xr:uid="{37A4D106-F1FE-463C-BBE8-1DA01CBC46F5}">
      <text>
        <r>
          <rPr>
            <b/>
            <sz val="9"/>
            <color indexed="81"/>
            <rFont val="Tahoma"/>
            <family val="2"/>
          </rPr>
          <t xml:space="preserve">09-770888638
</t>
        </r>
      </text>
    </comment>
    <comment ref="A71" authorId="0" shapeId="0" xr:uid="{2D35BB16-D14F-42DE-A773-41A6289215AE}">
      <text>
        <r>
          <rPr>
            <b/>
            <sz val="8"/>
            <color indexed="81"/>
            <rFont val="Tahoma"/>
            <family val="2"/>
          </rPr>
          <t>09-956942686</t>
        </r>
      </text>
    </comment>
    <comment ref="A86" authorId="2" shapeId="0" xr:uid="{ED3E8812-E754-4219-9B68-565DD0CFE9C7}">
      <text>
        <r>
          <rPr>
            <sz val="9"/>
            <color indexed="81"/>
            <rFont val="Tahoma"/>
            <family val="2"/>
          </rPr>
          <t xml:space="preserve">09-788456893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3F76861A-EC91-4287-BB87-7AEB6DAD1BC3}">
      <text>
        <r>
          <rPr>
            <b/>
            <sz val="8"/>
            <color indexed="81"/>
            <rFont val="Tahoma"/>
            <family val="2"/>
          </rPr>
          <t xml:space="preserve">09-978540878
09-783867041
</t>
        </r>
      </text>
    </comment>
    <comment ref="A14" authorId="0" shapeId="0" xr:uid="{989BC0CB-70BA-4C94-8052-0DE4C3E0498A}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28" authorId="0" shapeId="0" xr:uid="{9CE63E40-DA69-4590-BD54-D0391F55194F}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A42" authorId="1" shapeId="0" xr:uid="{F3911D97-106F-4121-BBB0-EA4D43740901}">
      <text>
        <r>
          <rPr>
            <sz val="9"/>
            <color indexed="81"/>
            <rFont val="Tahoma"/>
            <family val="2"/>
          </rPr>
          <t xml:space="preserve">09-957352431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B4AB59FA-EB5D-47CB-8128-7EAE7CAE51C8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09-795773834
</t>
        </r>
      </text>
    </comment>
    <comment ref="A15" authorId="0" shapeId="0" xr:uid="{43CE769D-B10E-4E1D-96D0-5EFE154263DB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09-795773834
</t>
        </r>
      </text>
    </comment>
    <comment ref="A41" authorId="0" shapeId="0" xr:uid="{8EC8A467-81A8-4F46-B302-02E9017A618B}">
      <text>
        <r>
          <rPr>
            <b/>
            <sz val="8"/>
            <color indexed="81"/>
            <rFont val="Tahoma"/>
            <family val="2"/>
          </rPr>
          <t xml:space="preserve">09-795773378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3F8AE3B2-EA8D-4E8E-914F-280D64613F1A}">
      <text>
        <r>
          <rPr>
            <b/>
            <sz val="8"/>
            <color indexed="81"/>
            <rFont val="Tahoma"/>
            <family val="2"/>
          </rPr>
          <t xml:space="preserve">09-755013668
09-671871331
</t>
        </r>
      </text>
    </comment>
    <comment ref="A11" authorId="0" shapeId="0" xr:uid="{A3348356-DD67-4E16-B1A0-42C8F193EBA4}">
      <text>
        <r>
          <rPr>
            <b/>
            <sz val="8"/>
            <color indexed="81"/>
            <rFont val="Tahoma"/>
            <family val="2"/>
          </rPr>
          <t xml:space="preserve">09-681633614
09-661534888
</t>
        </r>
      </text>
    </comment>
    <comment ref="A28" authorId="0" shapeId="0" xr:uid="{B4AB8808-257E-4088-85AE-8A6A2AD65DF8}">
      <text>
        <r>
          <rPr>
            <b/>
            <sz val="8"/>
            <color indexed="81"/>
            <rFont val="Tahoma"/>
            <family val="2"/>
          </rPr>
          <t xml:space="preserve">09-682128847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D8944912-A48A-48EB-BBBA-ECA6D8BEC3B0}">
      <text>
        <r>
          <rPr>
            <b/>
            <sz val="9"/>
            <color indexed="81"/>
            <rFont val="Tahoma"/>
            <family val="2"/>
          </rPr>
          <t xml:space="preserve">09-956046937
</t>
        </r>
      </text>
    </comment>
    <comment ref="A23" authorId="0" shapeId="0" xr:uid="{4FA2919F-3578-4F2A-BA69-9723E527C27B}">
      <text>
        <r>
          <rPr>
            <b/>
            <sz val="9"/>
            <color indexed="81"/>
            <rFont val="Tahoma"/>
            <family val="2"/>
          </rPr>
          <t xml:space="preserve">09-956046937
</t>
        </r>
      </text>
    </comment>
    <comment ref="A40" authorId="1" shapeId="0" xr:uid="{83239BBD-BFF3-4641-8E7E-DC2937B173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09-250155308
</t>
        </r>
      </text>
    </comment>
    <comment ref="A55" authorId="1" shapeId="0" xr:uid="{807B12D9-1977-44A1-B5AC-FE9F53A86B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09-898088881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ACF412A2-4DC6-4C6A-B1C2-734FA8B1E9B3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09-252867447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USER</author>
  </authors>
  <commentList>
    <comment ref="A2" authorId="0" shapeId="0" xr:uid="{9A390515-DCBF-45EF-8C02-57B8C0F36A2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09-979729000
</t>
        </r>
      </text>
    </comment>
    <comment ref="A15" authorId="0" shapeId="0" xr:uid="{29DC2427-9657-486F-A566-38F4D9D40550}">
      <text>
        <r>
          <rPr>
            <b/>
            <sz val="9"/>
            <color indexed="81"/>
            <rFont val="Tahoma"/>
            <family val="2"/>
          </rPr>
          <t xml:space="preserve">09-973575156
</t>
        </r>
      </text>
    </comment>
    <comment ref="A29" authorId="0" shapeId="0" xr:uid="{884DD344-9C70-48BD-86FB-E41DE11FF9AF}">
      <text>
        <r>
          <rPr>
            <b/>
            <sz val="9"/>
            <color indexed="81"/>
            <rFont val="Tahoma"/>
            <family val="2"/>
          </rPr>
          <t xml:space="preserve">09-973575156
</t>
        </r>
      </text>
    </comment>
    <comment ref="A43" authorId="0" shapeId="0" xr:uid="{D52EDAF0-3BD2-48EE-BD8E-AC3252108748}">
      <text>
        <r>
          <rPr>
            <b/>
            <sz val="9"/>
            <color indexed="81"/>
            <rFont val="Tahoma"/>
            <family val="2"/>
          </rPr>
          <t xml:space="preserve">09-942728562
</t>
        </r>
      </text>
    </comment>
    <comment ref="A57" authorId="1" shapeId="0" xr:uid="{BF2FD7A8-34CE-4F5D-8C1B-52F7BF0913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09-688063548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8F73F20F-FA65-4F51-8F85-B7B0EC27686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09-972768888
Ko Kaung Khant Zan 09-960619665
</t>
        </r>
      </text>
    </comment>
    <comment ref="A15" authorId="0" shapeId="0" xr:uid="{A891A23F-70A1-4D09-98C2-0B6F78B12893}">
      <text>
        <r>
          <rPr>
            <b/>
            <sz val="8"/>
            <color indexed="81"/>
            <rFont val="Tahoma"/>
            <family val="2"/>
          </rPr>
          <t xml:space="preserve">09-769097729
</t>
        </r>
      </text>
    </comment>
    <comment ref="A26" authorId="0" shapeId="0" xr:uid="{BCF45185-5121-4E0C-BA28-8B30159FD52B}">
      <text>
        <r>
          <rPr>
            <b/>
            <sz val="8"/>
            <color indexed="81"/>
            <rFont val="Tahoma"/>
            <family val="2"/>
          </rPr>
          <t xml:space="preserve">09-681633614
</t>
        </r>
      </text>
    </comment>
    <comment ref="A42" authorId="0" shapeId="0" xr:uid="{7CCF9EE4-16D6-46F9-8CB9-FFE96DD15275}">
      <text>
        <r>
          <rPr>
            <b/>
            <sz val="8"/>
            <color indexed="81"/>
            <rFont val="Tahoma"/>
            <family val="2"/>
          </rPr>
          <t xml:space="preserve">09-681633614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A3" authorId="0" shapeId="0" xr:uid="{1246DD3A-2580-43EA-9963-115B7D063026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09-967759117
</t>
        </r>
      </text>
    </comment>
    <comment ref="A16" authorId="0" shapeId="0" xr:uid="{E970E023-6D32-490C-BBF8-29098B3412A9}">
      <text>
        <r>
          <rPr>
            <b/>
            <sz val="8"/>
            <color indexed="81"/>
            <rFont val="Tahoma"/>
            <family val="2"/>
          </rPr>
          <t xml:space="preserve">09-975639999
</t>
        </r>
      </text>
    </comment>
    <comment ref="A28" authorId="1" shapeId="0" xr:uid="{3CA80D6E-9F1B-42C1-B637-FA9AD8A0EF1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09-250290250
</t>
        </r>
      </text>
    </comment>
    <comment ref="A40" authorId="1" shapeId="0" xr:uid="{0E202D1F-76FD-4335-A580-8F46901C00A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09-767841966
09-421066661
09-426445142
</t>
        </r>
      </text>
    </comment>
    <comment ref="A52" authorId="1" shapeId="0" xr:uid="{A95756B6-7C11-434D-BEDD-3BE9CEDEB3C7}">
      <text>
        <r>
          <rPr>
            <b/>
            <sz val="9"/>
            <color indexed="81"/>
            <rFont val="Tahoma"/>
            <family val="2"/>
          </rPr>
          <t xml:space="preserve">09-979729000
</t>
        </r>
      </text>
    </comment>
    <comment ref="A64" authorId="1" shapeId="0" xr:uid="{C5A7CCB6-313E-4B8B-966C-8329EB6582F8}">
      <text>
        <r>
          <rPr>
            <b/>
            <sz val="9"/>
            <color indexed="81"/>
            <rFont val="Tahoma"/>
            <family val="2"/>
          </rPr>
          <t xml:space="preserve">09-979729000
</t>
        </r>
      </text>
    </comment>
    <comment ref="A77" authorId="1" shapeId="0" xr:uid="{CD92928E-92DA-41D1-B0BA-81A560765E24}">
      <text>
        <r>
          <rPr>
            <b/>
            <sz val="9"/>
            <color indexed="81"/>
            <rFont val="Tahoma"/>
            <family val="2"/>
          </rPr>
          <t xml:space="preserve">09-780711888
</t>
        </r>
      </text>
    </comment>
    <comment ref="A91" authorId="1" shapeId="0" xr:uid="{5AAC9C11-8352-4485-B148-28AD01007338}">
      <text>
        <r>
          <rPr>
            <b/>
            <sz val="9"/>
            <color indexed="81"/>
            <rFont val="Tahoma"/>
            <family val="2"/>
          </rPr>
          <t xml:space="preserve">09-780711888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8FB6EF1A-E881-4307-A16A-3AE7483FA2EA}">
      <text>
        <r>
          <rPr>
            <b/>
            <sz val="8"/>
            <color indexed="81"/>
            <rFont val="Tahoma"/>
            <family val="2"/>
          </rPr>
          <t xml:space="preserve">09-456920989
</t>
        </r>
      </text>
    </comment>
    <comment ref="A15" authorId="0" shapeId="0" xr:uid="{25110D38-F638-47AA-A50B-7F14E2C2D43B}">
      <text>
        <r>
          <rPr>
            <b/>
            <sz val="8"/>
            <color indexed="81"/>
            <rFont val="Tahoma"/>
            <family val="2"/>
          </rPr>
          <t xml:space="preserve">09-449979965
</t>
        </r>
      </text>
    </comment>
    <comment ref="A28" authorId="0" shapeId="0" xr:uid="{FD088828-27A9-440A-A8FC-A02FEE9FA468}">
      <text>
        <r>
          <rPr>
            <b/>
            <sz val="8"/>
            <color indexed="81"/>
            <rFont val="Tahoma"/>
            <family val="2"/>
          </rPr>
          <t xml:space="preserve">09-972595988
</t>
        </r>
      </text>
    </comment>
    <comment ref="A49" authorId="0" shapeId="0" xr:uid="{F6C73C48-E66D-4E9F-90F9-39CED315D2A3}">
      <text>
        <r>
          <rPr>
            <b/>
            <sz val="8"/>
            <color indexed="81"/>
            <rFont val="Tahoma"/>
            <family val="2"/>
          </rPr>
          <t xml:space="preserve">09-972595988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  <author>USER</author>
  </authors>
  <commentList>
    <comment ref="A9" authorId="0" shapeId="0" xr:uid="{9D30F6C5-C88E-452B-A2DD-A77B57977625}">
      <text>
        <r>
          <rPr>
            <b/>
            <sz val="8"/>
            <color indexed="81"/>
            <rFont val="Tahoma"/>
            <family val="2"/>
          </rPr>
          <t xml:space="preserve">09-400600006
</t>
        </r>
      </text>
    </comment>
    <comment ref="A14" authorId="0" shapeId="0" xr:uid="{6B3048B4-11E8-4F3D-87F9-733A597EFB2F}">
      <text>
        <r>
          <rPr>
            <b/>
            <sz val="8"/>
            <color indexed="81"/>
            <rFont val="Tahoma"/>
            <family val="2"/>
          </rPr>
          <t xml:space="preserve">09-974082686,
09-688873888
</t>
        </r>
      </text>
    </comment>
    <comment ref="A21" authorId="1" shapeId="0" xr:uid="{2ADE322A-00F5-43FF-82E5-C5D4C38A4C0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09-403710116
</t>
        </r>
      </text>
    </comment>
    <comment ref="A30" authorId="1" shapeId="0" xr:uid="{F775FB82-6F7F-4AEF-AA7F-DE4F12EC9DA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09-678839368
09-256474951
</t>
        </r>
      </text>
    </comment>
    <comment ref="A39" authorId="1" shapeId="0" xr:uid="{C233FF14-FC57-4FED-94C2-67D39BC8A3F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09-678839368
09-256474951
</t>
        </r>
      </text>
    </comment>
    <comment ref="A48" authorId="1" shapeId="0" xr:uid="{E99EC58C-FD52-477F-A694-6410341ACF44}">
      <text>
        <r>
          <rPr>
            <b/>
            <sz val="9"/>
            <color indexed="81"/>
            <rFont val="Tahoma"/>
            <family val="2"/>
          </rPr>
          <t xml:space="preserve">09-975218888
</t>
        </r>
      </text>
    </comment>
    <comment ref="A58" authorId="1" shapeId="0" xr:uid="{AC57D7B5-DFE1-47AA-8316-EA01A8A2F699}">
      <text>
        <r>
          <rPr>
            <b/>
            <sz val="9"/>
            <color indexed="81"/>
            <rFont val="Tahoma"/>
            <family val="2"/>
          </rPr>
          <t xml:space="preserve">09-967066556
</t>
        </r>
      </text>
    </comment>
    <comment ref="A93" authorId="2" shapeId="0" xr:uid="{E05DE7F3-8FA0-45DB-ABB0-53295E51ED76}">
      <text>
        <r>
          <rPr>
            <sz val="9"/>
            <color indexed="81"/>
            <rFont val="Tahoma"/>
            <family val="2"/>
          </rPr>
          <t xml:space="preserve">09-777780034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EAF2AAC4-4B29-488B-B165-B43ACE4A43B7}">
      <text>
        <r>
          <rPr>
            <b/>
            <sz val="8"/>
            <color indexed="81"/>
            <rFont val="Tahoma"/>
            <family val="2"/>
          </rPr>
          <t xml:space="preserve">09-405139988
09-425303737 Driver 
</t>
        </r>
      </text>
    </comment>
    <comment ref="A11" authorId="0" shapeId="0" xr:uid="{46DFA34F-281D-4B8F-8DF7-9C6BD4D390F3}">
      <text>
        <r>
          <rPr>
            <b/>
            <sz val="8"/>
            <color indexed="81"/>
            <rFont val="Tahoma"/>
            <family val="2"/>
          </rPr>
          <t xml:space="preserve">09-955131419
</t>
        </r>
      </text>
    </comment>
    <comment ref="A23" authorId="0" shapeId="0" xr:uid="{686327FE-5A30-4225-8C34-A6E12B1C41C0}">
      <text>
        <r>
          <rPr>
            <b/>
            <sz val="8"/>
            <color indexed="81"/>
            <rFont val="Tahoma"/>
            <family val="2"/>
          </rPr>
          <t xml:space="preserve">09-775510085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A2" authorId="0" shapeId="0" xr:uid="{6D5F2684-B3CC-4137-9476-0BA5FD0B6CAA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09-456382167</t>
        </r>
      </text>
    </comment>
    <comment ref="A24" authorId="1" shapeId="0" xr:uid="{0AA2333F-4BDB-43D2-B69D-48475990F40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09-403710116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B86319E6-09E6-4CB0-B97D-5BBB3B57A8CF}">
      <text>
        <r>
          <rPr>
            <b/>
            <sz val="8"/>
            <color indexed="81"/>
            <rFont val="Tahoma"/>
            <family val="2"/>
          </rPr>
          <t xml:space="preserve">09-455588599
</t>
        </r>
      </text>
    </comment>
    <comment ref="A15" authorId="0" shapeId="0" xr:uid="{089DA9B5-FEB5-4318-AE07-9986BBDA2762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09-43192255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A2" authorId="0" shapeId="0" xr:uid="{6DE2F80E-A306-4507-A9EE-E50875FB8164}">
      <text>
        <r>
          <rPr>
            <b/>
            <sz val="8"/>
            <color indexed="81"/>
            <rFont val="Tahoma"/>
            <family val="2"/>
          </rPr>
          <t xml:space="preserve">09-951635555
</t>
        </r>
      </text>
    </comment>
    <comment ref="A15" authorId="0" shapeId="0" xr:uid="{EB2FD56B-F089-460E-BD98-D5FF5F6577FD}">
      <text>
        <r>
          <rPr>
            <b/>
            <sz val="8"/>
            <color indexed="81"/>
            <rFont val="Tahoma"/>
            <family val="2"/>
          </rPr>
          <t xml:space="preserve">09-795800679
</t>
        </r>
      </text>
    </comment>
    <comment ref="A28" authorId="1" shapeId="0" xr:uid="{BB6B9CA7-04E8-4E7F-9B3C-3A19D51369F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09-262860942
</t>
        </r>
      </text>
    </comment>
    <comment ref="A42" authorId="1" shapeId="0" xr:uid="{7CE68A07-E54F-4B7B-98D3-022F05625E8E}">
      <text>
        <r>
          <rPr>
            <b/>
            <sz val="9"/>
            <color indexed="81"/>
            <rFont val="Tahoma"/>
            <family val="2"/>
          </rPr>
          <t xml:space="preserve">09-979729000
</t>
        </r>
      </text>
    </comment>
    <comment ref="A55" authorId="1" shapeId="0" xr:uid="{9046D35E-787A-45FF-A87D-1D0727F1679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</t>
        </r>
      </text>
    </comment>
    <comment ref="A69" authorId="1" shapeId="0" xr:uid="{5AA5BEE3-D18F-424A-A871-B58F10657CA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</t>
        </r>
      </text>
    </comment>
    <comment ref="A82" authorId="1" shapeId="0" xr:uid="{1A7BDE84-7AB4-4E5B-9F8A-9F6A5B4E071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09-788851165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A2" authorId="0" shapeId="0" xr:uid="{E616E400-AD18-49CA-A996-6136BE9E5083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09-967759117
</t>
        </r>
      </text>
    </comment>
    <comment ref="A22" authorId="0" shapeId="0" xr:uid="{9362D5DC-E705-43ED-8A6D-C69281B21B28}">
      <text>
        <r>
          <rPr>
            <sz val="8"/>
            <color indexed="81"/>
            <rFont val="Tahoma"/>
            <family val="2"/>
          </rPr>
          <t xml:space="preserve">09-678489376
</t>
        </r>
      </text>
    </comment>
    <comment ref="A31" authorId="0" shapeId="0" xr:uid="{76859A56-82A7-4627-8E6F-EFE9E1D89B34}">
      <text>
        <r>
          <rPr>
            <sz val="8"/>
            <color indexed="81"/>
            <rFont val="Tahoma"/>
            <family val="2"/>
          </rPr>
          <t xml:space="preserve">09-252029688
</t>
        </r>
      </text>
    </comment>
    <comment ref="A45" authorId="1" shapeId="0" xr:uid="{BABB09C8-67FF-41F3-B008-A62D930E02F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09-699882903
Ko Sai Aung 09-668033777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5276BF4C-46BF-4F45-968C-FFC64E9A31A5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09-798500717 စကားျပန္ 
</t>
        </r>
      </text>
    </comment>
    <comment ref="A14" authorId="0" shapeId="0" xr:uid="{501FFF65-5EDE-4E91-B729-8254C76C39A7}">
      <text>
        <r>
          <rPr>
            <b/>
            <sz val="8"/>
            <color indexed="81"/>
            <rFont val="Tahoma"/>
            <family val="2"/>
          </rPr>
          <t xml:space="preserve">09-456382167
</t>
        </r>
      </text>
    </comment>
    <comment ref="A27" authorId="0" shapeId="0" xr:uid="{4C963604-FFE3-4FD2-91F5-09CD9E49A18F}">
      <text>
        <r>
          <rPr>
            <b/>
            <sz val="8"/>
            <color indexed="81"/>
            <rFont val="Tahoma"/>
            <family val="2"/>
          </rPr>
          <t xml:space="preserve">09-755013668
09-671871331
</t>
        </r>
      </text>
    </comment>
    <comment ref="A43" authorId="0" shapeId="0" xr:uid="{EA7D0F79-8E04-42FC-BE2D-3FB765DD2DFE}">
      <text>
        <r>
          <rPr>
            <b/>
            <sz val="8"/>
            <color indexed="81"/>
            <rFont val="Tahoma"/>
            <family val="2"/>
          </rPr>
          <t xml:space="preserve">09-888668558
</t>
        </r>
      </text>
    </comment>
    <comment ref="A56" authorId="0" shapeId="0" xr:uid="{23386B56-8D8A-4861-A5CA-75BF1F3658C6}">
      <text>
        <r>
          <rPr>
            <b/>
            <sz val="8"/>
            <color indexed="81"/>
            <rFont val="Tahoma"/>
            <family val="2"/>
          </rPr>
          <t xml:space="preserve">09-250153536
09-253778491
</t>
        </r>
      </text>
    </comment>
    <comment ref="A70" authorId="0" shapeId="0" xr:uid="{363870E2-DDDB-412D-BA60-990F8D126563}">
      <text>
        <r>
          <rPr>
            <b/>
            <sz val="8"/>
            <color indexed="81"/>
            <rFont val="Tahoma"/>
            <family val="2"/>
          </rPr>
          <t xml:space="preserve">09964771832
</t>
        </r>
      </text>
    </comment>
    <comment ref="A85" authorId="0" shapeId="0" xr:uid="{133B203C-DE9A-4C84-9811-5CC7F3280E44}">
      <text>
        <r>
          <rPr>
            <b/>
            <sz val="8"/>
            <color indexed="81"/>
            <rFont val="Tahoma"/>
            <family val="2"/>
          </rPr>
          <t xml:space="preserve">09-443476731
</t>
        </r>
      </text>
    </comment>
    <comment ref="A98" authorId="0" shapeId="0" xr:uid="{AEA3B14D-D5CA-4070-8DAC-8815E1450893}">
      <text>
        <r>
          <rPr>
            <b/>
            <sz val="8"/>
            <color indexed="81"/>
            <rFont val="Tahoma"/>
            <family val="2"/>
          </rPr>
          <t xml:space="preserve">09-795773378
</t>
        </r>
      </text>
    </comment>
    <comment ref="A105" authorId="0" shapeId="0" xr:uid="{9ECD60FB-E8EB-4F02-AABC-C036779F3F93}">
      <text>
        <r>
          <rPr>
            <b/>
            <sz val="8"/>
            <color indexed="81"/>
            <rFont val="Tahoma"/>
            <family val="2"/>
          </rPr>
          <t xml:space="preserve">09-443476731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DB74C37E-4CCE-4E09-8C82-644AFDD278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09-443476731
</t>
        </r>
      </text>
    </comment>
    <comment ref="A22" authorId="0" shapeId="0" xr:uid="{4C31CC61-5FEE-41DC-95F0-D2FD5EB2BD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09-762220883</t>
        </r>
      </text>
    </comment>
    <comment ref="A34" authorId="0" shapeId="0" xr:uid="{3E72896C-5336-4E30-B1EF-14B0223B81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09-5078776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A4358209-8140-4BD8-BE56-67E380FA22A8}">
      <text>
        <r>
          <rPr>
            <b/>
            <sz val="8"/>
            <color indexed="81"/>
            <rFont val="Tahoma"/>
            <family val="2"/>
          </rPr>
          <t xml:space="preserve">09-978576666
09-978279518 Ko Sai Aung 
</t>
        </r>
      </text>
    </comment>
    <comment ref="A20" authorId="0" shapeId="0" xr:uid="{5933CE60-956C-456F-81F6-759A4C84ADD7}">
      <text>
        <r>
          <rPr>
            <b/>
            <sz val="8"/>
            <color indexed="81"/>
            <rFont val="Tahoma"/>
            <family val="2"/>
          </rPr>
          <t>09-973568888</t>
        </r>
      </text>
    </comment>
    <comment ref="A21" authorId="0" shapeId="0" xr:uid="{8561A8A7-3A80-4101-8CFD-E1BA878AED2F}">
      <text>
        <r>
          <rPr>
            <b/>
            <sz val="8"/>
            <color indexed="81"/>
            <rFont val="Tahoma"/>
            <family val="2"/>
          </rPr>
          <t xml:space="preserve">09-456382167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1" authorId="0" shapeId="0" xr:uid="{A891806E-5A65-4F26-8ABA-B0413ED123CC}">
      <text>
        <r>
          <rPr>
            <sz val="8"/>
            <color indexed="81"/>
            <rFont val="Tahoma"/>
            <family val="2"/>
          </rPr>
          <t xml:space="preserve">09-763733315
</t>
        </r>
      </text>
    </comment>
    <comment ref="A9" authorId="0" shapeId="0" xr:uid="{F999D9C5-0050-4B36-A50F-5AC2B0BD9538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09-967759117
</t>
        </r>
      </text>
    </comment>
    <comment ref="A23" authorId="0" shapeId="0" xr:uid="{34E9BCE3-8ECD-4BAC-A676-E74238050372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09-893720679
</t>
        </r>
      </text>
    </comment>
    <comment ref="A35" authorId="0" shapeId="0" xr:uid="{D5B36D33-A00D-4381-BD86-4049A0163974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09-893720679
</t>
        </r>
      </text>
    </comment>
    <comment ref="A47" authorId="0" shapeId="0" xr:uid="{4EEC98CC-AE9A-442E-B2DD-1ACE6D26DD64}">
      <text>
        <r>
          <rPr>
            <b/>
            <sz val="8"/>
            <color indexed="81"/>
            <rFont val="Tahoma"/>
            <family val="2"/>
          </rPr>
          <t xml:space="preserve">09-43256666
</t>
        </r>
      </text>
    </comment>
    <comment ref="A61" authorId="0" shapeId="0" xr:uid="{77A5B58E-4661-49E0-B4C1-264CC3292375}">
      <text>
        <r>
          <rPr>
            <b/>
            <sz val="8"/>
            <color indexed="81"/>
            <rFont val="Tahoma"/>
            <family val="2"/>
          </rPr>
          <t xml:space="preserve">09-43256666
</t>
        </r>
      </text>
    </comment>
    <comment ref="A75" authorId="1" shapeId="0" xr:uid="{9AA0F57C-83CD-4F81-827D-A4608C2A74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09-957247838
</t>
        </r>
      </text>
    </comment>
    <comment ref="A88" authorId="1" shapeId="0" xr:uid="{C84EB9CE-BC2A-48F1-8750-795653658481}">
      <text>
        <r>
          <rPr>
            <sz val="9"/>
            <color indexed="81"/>
            <rFont val="Tahoma"/>
            <family val="2"/>
          </rPr>
          <t xml:space="preserve">09-942888771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129430F8-2E8A-47A5-93C6-0385B987685A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5" authorId="0" shapeId="0" xr:uid="{38C4459F-78B8-40DC-95F9-D85E124FE465}">
      <text>
        <r>
          <rPr>
            <b/>
            <sz val="8"/>
            <color indexed="81"/>
            <rFont val="Tahoma"/>
            <family val="2"/>
          </rPr>
          <t>09-973568888</t>
        </r>
      </text>
    </comment>
    <comment ref="A28" authorId="0" shapeId="0" xr:uid="{8A030F4F-2019-444C-90C0-02BD5EDF91E6}">
      <text>
        <r>
          <rPr>
            <b/>
            <sz val="8"/>
            <color indexed="81"/>
            <rFont val="Tahoma"/>
            <family val="2"/>
          </rPr>
          <t>09-973568888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75FA86B7-9E8A-4721-9C72-5E0CA0A25A58}">
      <text>
        <r>
          <rPr>
            <b/>
            <sz val="8"/>
            <color indexed="81"/>
            <rFont val="Tahoma"/>
            <family val="2"/>
          </rPr>
          <t>09-40100888</t>
        </r>
      </text>
    </comment>
    <comment ref="A15" authorId="0" shapeId="0" xr:uid="{1BF3F475-FD9D-462E-ADFB-65E9DAA2ED13}">
      <text>
        <r>
          <rPr>
            <b/>
            <sz val="8"/>
            <color indexed="81"/>
            <rFont val="Tahoma"/>
            <family val="2"/>
          </rPr>
          <t xml:space="preserve">09-
</t>
        </r>
      </text>
    </comment>
    <comment ref="A20" authorId="0" shapeId="0" xr:uid="{82DCF140-D8B0-4F98-9A76-DECEB41A5ED2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09-951058888
</t>
        </r>
      </text>
    </comment>
    <comment ref="A38" authorId="0" shapeId="0" xr:uid="{DDEBDABC-AD07-433D-9189-54EBF071F438}">
      <text>
        <r>
          <rPr>
            <b/>
            <sz val="8"/>
            <color indexed="81"/>
            <rFont val="Tahoma"/>
            <family val="2"/>
          </rPr>
          <t xml:space="preserve">09-402186676
</t>
        </r>
      </text>
    </comment>
    <comment ref="A51" authorId="0" shapeId="0" xr:uid="{97304198-45E5-4557-AE5D-E975C0297226}">
      <text>
        <r>
          <rPr>
            <b/>
            <sz val="8"/>
            <color indexed="81"/>
            <rFont val="Tahoma"/>
            <family val="2"/>
          </rPr>
          <t xml:space="preserve">09-688800999
</t>
        </r>
      </text>
    </comment>
    <comment ref="A61" authorId="0" shapeId="0" xr:uid="{80A747BE-B1E6-453B-AF41-95B5940F2FD0}">
      <text>
        <r>
          <rPr>
            <b/>
            <sz val="8"/>
            <color indexed="81"/>
            <rFont val="Tahoma"/>
            <family val="2"/>
          </rPr>
          <t xml:space="preserve">09-959786666
</t>
        </r>
      </text>
    </comment>
    <comment ref="A72" authorId="0" shapeId="0" xr:uid="{532518BB-D4C9-4244-AEC3-5B5F0D3AB9B3}">
      <text>
        <r>
          <rPr>
            <b/>
            <sz val="8"/>
            <color indexed="81"/>
            <rFont val="Tahoma"/>
            <family val="2"/>
          </rPr>
          <t xml:space="preserve">09-758527758
</t>
        </r>
      </text>
    </comment>
    <comment ref="A83" authorId="0" shapeId="0" xr:uid="{6EAA0230-89B0-49F5-B412-2B35A2DFBA9C}">
      <text>
        <r>
          <rPr>
            <b/>
            <sz val="8"/>
            <color indexed="81"/>
            <rFont val="Tahoma"/>
            <family val="2"/>
          </rPr>
          <t xml:space="preserve">09-952698314
</t>
        </r>
      </text>
    </comment>
    <comment ref="A101" authorId="1" shapeId="0" xr:uid="{CBE76FA9-DF55-496F-9BF4-1B4B3AA16E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09-782500552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9BF23AA8-6C00-4A23-A282-E180BE281E8F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09-951635555
</t>
        </r>
      </text>
    </comment>
    <comment ref="A9" authorId="0" shapeId="0" xr:uid="{1320783B-28F1-4B89-BEAA-E15D428F7CF3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09-778480989
</t>
        </r>
      </text>
    </comment>
    <comment ref="A19" authorId="0" shapeId="0" xr:uid="{4A5900FA-948B-403A-B926-27ED76C6D1CB}">
      <text>
        <r>
          <rPr>
            <b/>
            <sz val="8"/>
            <color indexed="81"/>
            <rFont val="Tahoma"/>
            <family val="2"/>
          </rPr>
          <t xml:space="preserve">09-954803293
</t>
        </r>
      </text>
    </comment>
    <comment ref="A33" authorId="0" shapeId="0" xr:uid="{D426BA93-44F6-4916-B8A6-7405D4F1173E}">
      <text>
        <r>
          <rPr>
            <b/>
            <sz val="8"/>
            <color indexed="81"/>
            <rFont val="Tahoma"/>
            <family val="2"/>
          </rPr>
          <t xml:space="preserve">09-780787768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  <author>USER</author>
  </authors>
  <commentList>
    <comment ref="A2" authorId="0" shapeId="0" xr:uid="{95DAC326-6DBD-4C5E-B778-4910593E17B4}">
      <text>
        <r>
          <rPr>
            <b/>
            <sz val="8"/>
            <color indexed="81"/>
            <rFont val="Tahoma"/>
            <family val="2"/>
          </rPr>
          <t xml:space="preserve">09-967278888
</t>
        </r>
      </text>
    </comment>
    <comment ref="A21" authorId="0" shapeId="0" xr:uid="{E66EAF53-F82A-4878-A3B7-4485D4D43C63}">
      <text>
        <r>
          <rPr>
            <b/>
            <sz val="8"/>
            <color indexed="81"/>
            <rFont val="Tahoma"/>
            <family val="2"/>
          </rPr>
          <t xml:space="preserve">09-455217628/09259767188
</t>
        </r>
      </text>
    </comment>
    <comment ref="A40" authorId="1" shapeId="0" xr:uid="{53F38438-E9C1-4CA8-BBE4-28C874F9245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09-966817111
</t>
        </r>
      </text>
    </comment>
    <comment ref="A61" authorId="2" shapeId="0" xr:uid="{0A34C87C-1530-4A6C-B449-C5D967FFA9B8}">
      <text>
        <r>
          <rPr>
            <sz val="9"/>
            <color indexed="81"/>
            <rFont val="Tahoma"/>
            <family val="2"/>
          </rPr>
          <t xml:space="preserve">09-403710116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A5A338D9-4CF6-45F4-A427-1D12F5F99DF7}">
      <text>
        <r>
          <rPr>
            <b/>
            <sz val="8"/>
            <color indexed="81"/>
            <rFont val="Tahoma"/>
            <family val="2"/>
          </rPr>
          <t xml:space="preserve">095052660
09-5022555
</t>
        </r>
      </text>
    </comment>
    <comment ref="A16" authorId="0" shapeId="0" xr:uid="{09ECFF23-D563-4E29-BEF5-632C442045B1}">
      <text>
        <r>
          <rPr>
            <b/>
            <sz val="8"/>
            <color indexed="81"/>
            <rFont val="Tahoma"/>
            <family val="2"/>
          </rPr>
          <t xml:space="preserve">09-698302967
</t>
        </r>
      </text>
    </comment>
    <comment ref="A29" authorId="0" shapeId="0" xr:uid="{F0A85D1A-4F7B-43C3-A027-824BF9D2D414}">
      <text>
        <r>
          <rPr>
            <b/>
            <sz val="8"/>
            <color indexed="81"/>
            <rFont val="Tahoma"/>
            <family val="2"/>
          </rPr>
          <t xml:space="preserve">09-698302967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999 tiger</author>
    <author>DELL</author>
  </authors>
  <commentList>
    <comment ref="A2" authorId="0" shapeId="0" xr:uid="{F4C0168F-CC20-4B20-A64F-2D6904577FE5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09-25 325 4337</t>
        </r>
      </text>
    </comment>
    <comment ref="A12" authorId="1" shapeId="0" xr:uid="{736607CC-A223-4EE3-A302-718BE1AF3D4D}">
      <text>
        <r>
          <rPr>
            <b/>
            <sz val="8"/>
            <color indexed="81"/>
            <rFont val="Tahoma"/>
            <family val="2"/>
          </rPr>
          <t>999 tiger:</t>
        </r>
        <r>
          <rPr>
            <sz val="8"/>
            <color indexed="81"/>
            <rFont val="Tahoma"/>
            <family val="2"/>
          </rPr>
          <t xml:space="preserve">
09-73185555</t>
        </r>
      </text>
    </comment>
    <comment ref="A44" authorId="1" shapeId="0" xr:uid="{6AE22189-5720-474A-9753-96A3B3D79757}">
      <text>
        <r>
          <rPr>
            <b/>
            <sz val="8"/>
            <color indexed="81"/>
            <rFont val="Tahoma"/>
            <family val="2"/>
          </rPr>
          <t xml:space="preserve">09-
</t>
        </r>
      </text>
    </comment>
    <comment ref="A58" authorId="0" shapeId="0" xr:uid="{A3F6068F-61C2-4FB2-9897-F7FDD9E7968B}">
      <text>
        <r>
          <rPr>
            <b/>
            <sz val="8"/>
            <color indexed="81"/>
            <rFont val="Tahoma"/>
            <family val="2"/>
          </rPr>
          <t xml:space="preserve">09-9788288983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71" authorId="0" shapeId="0" xr:uid="{5C1BB257-46C2-4140-B4BE-4CAC7CEBB5F0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09-960568738
</t>
        </r>
      </text>
    </comment>
    <comment ref="A86" authorId="2" shapeId="0" xr:uid="{5F646561-8902-420D-9793-57BBC83A07B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09-751466992
</t>
        </r>
      </text>
    </comment>
    <comment ref="A101" authorId="0" shapeId="0" xr:uid="{3B43EC0D-5659-4AC7-B0AD-E5275B9E34A1}">
      <text>
        <r>
          <rPr>
            <b/>
            <sz val="8"/>
            <color indexed="81"/>
            <rFont val="Tahoma"/>
            <family val="2"/>
          </rPr>
          <t xml:space="preserve">09-976326666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1" authorId="2" shapeId="0" xr:uid="{2EB25231-DF4B-44D6-A29F-B4057C7BDE08}">
      <text>
        <r>
          <rPr>
            <b/>
            <sz val="9"/>
            <color indexed="81"/>
            <rFont val="Tahoma"/>
            <family val="2"/>
          </rPr>
          <t xml:space="preserve">09-698666433
</t>
        </r>
      </text>
    </comment>
    <comment ref="A127" authorId="2" shapeId="0" xr:uid="{A1D5E6B6-ED65-4292-8340-D200A175A387}">
      <text>
        <r>
          <rPr>
            <b/>
            <sz val="9"/>
            <color indexed="81"/>
            <rFont val="Tahoma"/>
            <family val="2"/>
          </rPr>
          <t xml:space="preserve">09-976116915
</t>
        </r>
      </text>
    </comment>
    <comment ref="A141" authorId="2" shapeId="0" xr:uid="{C13AC2EE-1030-4ABD-AEFC-8DBB9E21E047}">
      <text>
        <r>
          <rPr>
            <b/>
            <sz val="9"/>
            <color indexed="81"/>
            <rFont val="Tahoma"/>
            <family val="2"/>
          </rPr>
          <t xml:space="preserve">09979014992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E3F4C6B2-A8A0-4185-8B77-D5C37D30DCC1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09-962288999
</t>
        </r>
      </text>
    </comment>
    <comment ref="A29" authorId="0" shapeId="0" xr:uid="{9981F16B-86F7-403B-A3C1-6F71E7FA4725}">
      <text>
        <r>
          <rPr>
            <b/>
            <sz val="8"/>
            <color indexed="81"/>
            <rFont val="Tahoma"/>
            <family val="2"/>
          </rPr>
          <t xml:space="preserve">09-6997000960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44" authorId="0" shapeId="0" xr:uid="{E0824863-FF4E-4511-84B3-D22AFF357E06}">
      <text>
        <r>
          <rPr>
            <b/>
            <sz val="8"/>
            <color indexed="81"/>
            <rFont val="Tahoma"/>
            <family val="2"/>
          </rPr>
          <t xml:space="preserve">09-787487870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68" authorId="1" shapeId="0" xr:uid="{CD6C7BAF-E5FA-4EDE-AE1A-4310CB24FF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09-753383920</t>
        </r>
      </text>
    </comment>
    <comment ref="H71" authorId="1" shapeId="0" xr:uid="{12CC448F-1703-488A-B19A-DE92C51D119C}">
      <text>
        <r>
          <rPr>
            <sz val="9"/>
            <color indexed="81"/>
            <rFont val="Tahoma"/>
            <family val="2"/>
          </rPr>
          <t xml:space="preserve">Address
Shop Hotel, Dum Restant 99 လမ်း၊ လှိုင်သာယာ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59" authorId="0" shapeId="0" xr:uid="{AD05B0C3-77A2-4734-897A-BEE24706075B}">
      <text>
        <r>
          <rPr>
            <sz val="9"/>
            <color indexed="81"/>
            <rFont val="Tahoma"/>
            <family val="2"/>
          </rPr>
          <t xml:space="preserve">09-770888638
</t>
        </r>
      </text>
    </comment>
    <comment ref="A77" authorId="1" shapeId="0" xr:uid="{41DDAF59-21A2-4724-A64D-C5066F8531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09684893988</t>
        </r>
      </text>
    </comment>
    <comment ref="A96" authorId="0" shapeId="0" xr:uid="{2501B2FA-89F3-4826-9AF6-4A287440FF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09-989909999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" authorId="0" shapeId="0" xr:uid="{7D249693-A233-416F-8423-A24320125ECE}">
      <text>
        <r>
          <rPr>
            <b/>
            <sz val="8"/>
            <color indexed="81"/>
            <rFont val="Tahoma"/>
            <family val="2"/>
          </rPr>
          <t xml:space="preserve">09-880151639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603E89C7-09CE-4640-B92F-675CC5C119C1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09-782152645
Ko Aung Myo Oo
</t>
        </r>
      </text>
    </comment>
    <comment ref="A28" authorId="0" shapeId="0" xr:uid="{2183A09A-672E-4AA4-8A19-494AD9D98F40}">
      <text>
        <r>
          <rPr>
            <b/>
            <sz val="8"/>
            <color indexed="81"/>
            <rFont val="Tahoma"/>
            <family val="2"/>
          </rPr>
          <t xml:space="preserve">09-880151639
</t>
        </r>
      </text>
    </comment>
    <comment ref="A44" authorId="0" shapeId="0" xr:uid="{1EA76483-B1AC-4E81-8A6B-7693781D1030}">
      <text>
        <r>
          <rPr>
            <b/>
            <sz val="8"/>
            <color indexed="81"/>
            <rFont val="Tahoma"/>
            <family val="2"/>
          </rPr>
          <t xml:space="preserve">09-880151639
</t>
        </r>
      </text>
    </comment>
    <comment ref="A54" authorId="1" shapeId="0" xr:uid="{7A289E6F-287F-4136-B4EA-19C1219688D1}">
      <text>
        <r>
          <rPr>
            <sz val="9"/>
            <color indexed="81"/>
            <rFont val="Tahoma"/>
            <family val="2"/>
          </rPr>
          <t xml:space="preserve">09-795608249
Palae Taw Win Housing, Pin Shwe Nyaung Street, Tamwe.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6A261C52-F97C-4D2B-9054-013BD245A80A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09-402506311
</t>
        </r>
      </text>
    </comment>
    <comment ref="A16" authorId="0" shapeId="0" xr:uid="{8341FD59-2B89-4C5B-87D9-D3572EBC0CC1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09-781112288
</t>
        </r>
      </text>
    </comment>
    <comment ref="A27" authorId="0" shapeId="0" xr:uid="{5FE85064-3783-4504-8BBD-610FF5DABD8E}">
      <text>
        <r>
          <rPr>
            <b/>
            <sz val="8"/>
            <color indexed="81"/>
            <rFont val="Tahoma"/>
            <family val="2"/>
          </rPr>
          <t xml:space="preserve">09-682900099
09-250815414
</t>
        </r>
      </text>
    </comment>
    <comment ref="A74" authorId="0" shapeId="0" xr:uid="{2DBA9F55-CE2B-4A7C-B90F-4DE45A30BBFE}">
      <text>
        <r>
          <rPr>
            <b/>
            <sz val="8"/>
            <color indexed="81"/>
            <rFont val="Tahoma"/>
            <family val="2"/>
          </rPr>
          <t xml:space="preserve">09-5008856
</t>
        </r>
      </text>
    </comment>
    <comment ref="A96" authorId="0" shapeId="0" xr:uid="{E1660347-4823-4E64-BEF6-6AA5DC1E4FAF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09-795773834
</t>
        </r>
      </text>
    </comment>
    <comment ref="A118" authorId="0" shapeId="0" xr:uid="{6A2FEEF4-1E7B-411E-86C0-BFCAD0585486}">
      <text>
        <r>
          <rPr>
            <b/>
            <sz val="8"/>
            <color indexed="81"/>
            <rFont val="Tahoma"/>
            <family val="2"/>
          </rPr>
          <t xml:space="preserve">09-455554848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29" authorId="0" shapeId="0" xr:uid="{CCF5AA35-592B-4DD3-967E-2888391A87CB}">
      <text>
        <r>
          <rPr>
            <b/>
            <sz val="8"/>
            <color indexed="81"/>
            <rFont val="Tahoma"/>
            <family val="2"/>
          </rPr>
          <t xml:space="preserve">09-455130560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40" authorId="0" shapeId="0" xr:uid="{2C9ADB79-DF43-4823-ADE0-24FCB991E77E}">
      <text>
        <r>
          <rPr>
            <b/>
            <sz val="8"/>
            <color indexed="81"/>
            <rFont val="Tahoma"/>
            <family val="2"/>
          </rPr>
          <t xml:space="preserve">09-456382167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53" authorId="0" shapeId="0" xr:uid="{CEE0796E-2C25-40A0-98BA-29C84C014DD0}">
      <text>
        <r>
          <rPr>
            <b/>
            <sz val="8"/>
            <color indexed="81"/>
            <rFont val="Tahoma"/>
            <family val="2"/>
          </rPr>
          <t xml:space="preserve">09-976326666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63" authorId="0" shapeId="0" xr:uid="{CBDFEDCF-DC98-40F4-A8C7-AD5AFFBAA264}">
      <text>
        <r>
          <rPr>
            <b/>
            <sz val="8"/>
            <color indexed="81"/>
            <rFont val="Tahoma"/>
            <family val="2"/>
          </rPr>
          <t xml:space="preserve">09-776185232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73" authorId="1" shapeId="0" xr:uid="{D171E281-FEF6-42D8-90C7-6A9314D7E5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09-421710808
</t>
        </r>
      </text>
    </comment>
    <comment ref="A185" authorId="1" shapeId="0" xr:uid="{8436BF0B-D418-47DF-B820-E1065F7C6817}">
      <text>
        <r>
          <rPr>
            <sz val="11"/>
            <color indexed="81"/>
            <rFont val="Tahoma"/>
            <family val="2"/>
          </rPr>
          <t>အမှတ် 6/B-104 ဈေး လေးမှတ်တိုင်၊နဝ
ဒေးအိမ်ယာ၊ လှိုင်သာယာ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A2" authorId="0" shapeId="0" xr:uid="{FBFE1FEF-FCFB-4A74-83D3-D9708C19368B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09-974682518</t>
        </r>
      </text>
    </comment>
    <comment ref="A60" authorId="1" shapeId="0" xr:uid="{A514DA23-1B58-4F5F-A3EF-83AD1B9E247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09-770888638
</t>
        </r>
      </text>
    </comment>
    <comment ref="A85" authorId="1" shapeId="0" xr:uid="{C440A813-0A8D-436E-A8D3-3EBBD933533E}">
      <text>
        <r>
          <rPr>
            <b/>
            <sz val="9"/>
            <color indexed="81"/>
            <rFont val="Tahoma"/>
            <family val="2"/>
          </rPr>
          <t xml:space="preserve">09-690633181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A2A4E8EF-6239-4486-92AF-FD1F01C11B56}">
      <text>
        <r>
          <rPr>
            <sz val="8"/>
            <color indexed="81"/>
            <rFont val="Tahoma"/>
            <family val="2"/>
          </rPr>
          <t xml:space="preserve">09-949216244
</t>
        </r>
      </text>
    </comment>
    <comment ref="A10" authorId="0" shapeId="0" xr:uid="{1D7C11F7-01BE-4EDC-BD4C-6247206DF570}">
      <text>
        <r>
          <rPr>
            <sz val="8"/>
            <color indexed="81"/>
            <rFont val="Tahoma"/>
            <family val="2"/>
          </rPr>
          <t xml:space="preserve">09-949216244
</t>
        </r>
      </text>
    </comment>
    <comment ref="A19" authorId="1" shapeId="0" xr:uid="{4E92F46F-120B-4BB7-BEFC-C8B87C3E24C8}">
      <text>
        <r>
          <rPr>
            <sz val="9"/>
            <color indexed="81"/>
            <rFont val="Tahoma"/>
            <family val="2"/>
          </rPr>
          <t xml:space="preserve">09-448006469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  <author>USER</author>
  </authors>
  <commentList>
    <comment ref="A2" authorId="0" shapeId="0" xr:uid="{C0C762FA-9561-450F-956A-304D859B922A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09-958630019
</t>
        </r>
      </text>
    </comment>
    <comment ref="A13" authorId="0" shapeId="0" xr:uid="{7F60FD3F-D4DA-491E-8FD7-1491A446B955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09-760948959
</t>
        </r>
      </text>
    </comment>
    <comment ref="A28" authorId="0" shapeId="0" xr:uid="{AE70AA6D-1A9A-4DB4-96B9-6DF860CB6B4D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09-97356888
</t>
        </r>
      </text>
    </comment>
    <comment ref="A38" authorId="0" shapeId="0" xr:uid="{5F84ECC1-F667-4AB9-A417-B1F05359DDFF}">
      <text>
        <r>
          <rPr>
            <b/>
            <sz val="8"/>
            <color indexed="81"/>
            <rFont val="Tahoma"/>
            <family val="2"/>
          </rPr>
          <t xml:space="preserve">09-979966999
</t>
        </r>
      </text>
    </comment>
    <comment ref="A48" authorId="0" shapeId="0" xr:uid="{47851507-57FF-4EC1-ADD3-704B0B892B4C}">
      <text>
        <r>
          <rPr>
            <b/>
            <sz val="8"/>
            <color indexed="81"/>
            <rFont val="Tahoma"/>
            <family val="2"/>
          </rPr>
          <t xml:space="preserve">09-954803293
</t>
        </r>
      </text>
    </comment>
    <comment ref="A57" authorId="0" shapeId="0" xr:uid="{DEB9E538-AF41-45FB-AE3C-BE795F4C1869}">
      <text>
        <r>
          <rPr>
            <b/>
            <sz val="8"/>
            <color indexed="81"/>
            <rFont val="Tahoma"/>
            <family val="2"/>
          </rPr>
          <t xml:space="preserve">09-954803293
</t>
        </r>
      </text>
    </comment>
    <comment ref="A72" authorId="1" shapeId="0" xr:uid="{ED371F2A-81AF-458A-8A33-EF3D09A3D5E7}">
      <text/>
    </comment>
    <comment ref="A82" authorId="1" shapeId="0" xr:uid="{939DDC83-CD54-438F-98FE-859AACBC5631}">
      <text>
        <r>
          <rPr>
            <b/>
            <sz val="9"/>
            <color indexed="81"/>
            <rFont val="Tahoma"/>
            <family val="2"/>
          </rPr>
          <t xml:space="preserve">09-252867447
</t>
        </r>
      </text>
    </comment>
    <comment ref="A91" authorId="1" shapeId="0" xr:uid="{C610C5EE-F66C-4162-A10B-706321B87163}">
      <text>
        <r>
          <rPr>
            <b/>
            <sz val="9"/>
            <color indexed="81"/>
            <rFont val="Tahoma"/>
            <family val="2"/>
          </rPr>
          <t xml:space="preserve">09-772304058
</t>
        </r>
      </text>
    </comment>
    <comment ref="A101" authorId="1" shapeId="0" xr:uid="{1ADAD4B1-C67C-44A4-9555-FCADE7D9FBCA}">
      <text>
        <r>
          <rPr>
            <b/>
            <sz val="9"/>
            <color indexed="81"/>
            <rFont val="Tahoma"/>
            <family val="2"/>
          </rPr>
          <t xml:space="preserve">09-772304058
</t>
        </r>
      </text>
    </comment>
    <comment ref="A114" authorId="2" shapeId="0" xr:uid="{012C432C-7840-410C-BC66-7FD9F6F5DD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09-421710808
</t>
        </r>
      </text>
    </comment>
    <comment ref="A126" authorId="2" shapeId="0" xr:uid="{1D69998B-DB19-4B99-87FC-EB6908FF14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09-676831041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FC0DD77B-5F1C-4416-B391-0EBEB7229B71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09254021624
</t>
        </r>
      </text>
    </comment>
    <comment ref="A18" authorId="0" shapeId="0" xr:uid="{D0FF9AA4-DB42-40C1-942B-A5B2D9838CAF}">
      <text>
        <r>
          <rPr>
            <b/>
            <sz val="8"/>
            <color indexed="81"/>
            <rFont val="Tahoma"/>
            <family val="2"/>
          </rPr>
          <t xml:space="preserve">09-262860942
</t>
        </r>
      </text>
    </comment>
    <comment ref="A31" authorId="0" shapeId="0" xr:uid="{7D6B4ADE-6E71-457E-A913-0AB2A3669624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09-894341166
</t>
        </r>
      </text>
    </comment>
    <comment ref="A42" authorId="0" shapeId="0" xr:uid="{ABCAA6B2-FC62-4C6C-AAF5-F9A73159718F}">
      <text>
        <r>
          <rPr>
            <b/>
            <sz val="8"/>
            <color indexed="81"/>
            <rFont val="Tahoma"/>
            <family val="2"/>
          </rPr>
          <t xml:space="preserve">09-950118927
</t>
        </r>
      </text>
    </comment>
    <comment ref="A52" authorId="0" shapeId="0" xr:uid="{350C4075-56BF-44E0-809B-4DBD5B76658D}">
      <text>
        <r>
          <rPr>
            <b/>
            <sz val="8"/>
            <color indexed="81"/>
            <rFont val="Tahoma"/>
            <family val="2"/>
          </rPr>
          <t xml:space="preserve">09-978934303
</t>
        </r>
      </text>
    </comment>
    <comment ref="A62" authorId="0" shapeId="0" xr:uid="{219D8558-D463-4EE1-98B9-1DDBEFF8E2BD}">
      <text>
        <r>
          <rPr>
            <b/>
            <sz val="8"/>
            <color indexed="81"/>
            <rFont val="Tahoma"/>
            <family val="2"/>
          </rPr>
          <t xml:space="preserve">09-250744044
</t>
        </r>
      </text>
    </comment>
    <comment ref="A72" authorId="0" shapeId="0" xr:uid="{D2E0371C-88F0-4550-A1DD-ADD614993E17}">
      <text>
        <r>
          <rPr>
            <b/>
            <sz val="8"/>
            <color indexed="81"/>
            <rFont val="Tahoma"/>
            <family val="2"/>
          </rPr>
          <t xml:space="preserve">09-250744044
</t>
        </r>
      </text>
    </comment>
    <comment ref="A84" authorId="1" shapeId="0" xr:uid="{2DC97110-5AD0-4972-BCA4-A15CCBC7FC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09-421710808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DELL</author>
  </authors>
  <commentList>
    <comment ref="A2" authorId="0" shapeId="0" xr:uid="{A1B74684-1AD6-4105-AD34-B577E8CAFE6E}">
      <text>
        <r>
          <rPr>
            <b/>
            <sz val="8"/>
            <color indexed="81"/>
            <rFont val="Tahoma"/>
            <family val="2"/>
          </rPr>
          <t xml:space="preserve">09 451 761 766 Translator
09 259 345 566
Zhong Xing Huang :Driver
</t>
        </r>
      </text>
    </comment>
    <comment ref="A20" authorId="0" shapeId="0" xr:uid="{2C3D8CF1-DA50-4F8B-8A6F-0B5772B2911C}">
      <text>
        <r>
          <rPr>
            <b/>
            <sz val="8"/>
            <color indexed="81"/>
            <rFont val="Tahoma"/>
            <family val="2"/>
          </rPr>
          <t xml:space="preserve">09-952393333
</t>
        </r>
      </text>
    </comment>
    <comment ref="A36" authorId="1" shapeId="0" xr:uid="{D4CC9786-5EEC-4FCF-976D-33B76244CBE6}">
      <text>
        <r>
          <rPr>
            <b/>
            <sz val="9"/>
            <color indexed="81"/>
            <rFont val="Tahoma"/>
            <family val="2"/>
          </rPr>
          <t xml:space="preserve">13949924686
</t>
        </r>
      </text>
    </comment>
    <comment ref="A68" authorId="1" shapeId="0" xr:uid="{6496B238-9619-447A-BBE5-55B98E05D56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09-791138643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2" authorId="0" shapeId="0" xr:uid="{E7CB4CBD-CD4D-4F1B-9B39-54EF3B5AC1A8}">
      <text>
        <r>
          <rPr>
            <b/>
            <sz val="8"/>
            <color indexed="81"/>
            <rFont val="Tahoma"/>
            <family val="2"/>
          </rPr>
          <t xml:space="preserve">09-678696888
09-401530560 U Shan
</t>
        </r>
      </text>
    </comment>
    <comment ref="A15" authorId="0" shapeId="0" xr:uid="{6D5E04D3-38EA-4B73-9A8B-F0B376CEC781}">
      <text>
        <r>
          <rPr>
            <b/>
            <sz val="8"/>
            <color indexed="81"/>
            <rFont val="Tahoma"/>
            <family val="2"/>
          </rPr>
          <t xml:space="preserve">09-
</t>
        </r>
      </text>
    </comment>
    <comment ref="A24" authorId="0" shapeId="0" xr:uid="{671625E9-1F0A-448E-9814-B9CC5AFA344A}">
      <text>
        <r>
          <rPr>
            <b/>
            <sz val="8"/>
            <color indexed="81"/>
            <rFont val="Tahoma"/>
            <family val="2"/>
          </rPr>
          <t xml:space="preserve">09-
</t>
        </r>
      </text>
    </comment>
    <comment ref="A36" authorId="1" shapeId="0" xr:uid="{CDFB246C-9B38-45CD-A19F-C8E2A04073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09-256712028
</t>
        </r>
      </text>
    </comment>
  </commentList>
</comments>
</file>

<file path=xl/sharedStrings.xml><?xml version="1.0" encoding="utf-8"?>
<sst xmlns="http://schemas.openxmlformats.org/spreadsheetml/2006/main" count="12240" uniqueCount="5090">
  <si>
    <t>5K-4168</t>
  </si>
  <si>
    <t>6I-8975</t>
  </si>
  <si>
    <t>1J-4747</t>
  </si>
  <si>
    <t>6L-5802</t>
  </si>
  <si>
    <t>1I-6866</t>
  </si>
  <si>
    <t>9H-5551</t>
  </si>
  <si>
    <t>2I-7677</t>
  </si>
  <si>
    <t>4K-7478</t>
  </si>
  <si>
    <t>5L-8865</t>
  </si>
  <si>
    <t>1K-2555</t>
  </si>
  <si>
    <t>999 Tiger Sevices Co.,Ltd Car Rent List</t>
  </si>
  <si>
    <t>No</t>
  </si>
  <si>
    <t>Car No</t>
  </si>
  <si>
    <t>Customer Name</t>
  </si>
  <si>
    <t>Car Type</t>
  </si>
  <si>
    <t>Chassis No</t>
  </si>
  <si>
    <t>Color &amp; Model Year</t>
  </si>
  <si>
    <t xml:space="preserve">Rental Monthy </t>
  </si>
  <si>
    <t>Ph Number</t>
  </si>
  <si>
    <t>Rent Period</t>
  </si>
  <si>
    <t>Over Due</t>
  </si>
  <si>
    <t>Insurance</t>
  </si>
  <si>
    <t>Insurance Name</t>
  </si>
  <si>
    <t>Owner Book Exp</t>
  </si>
  <si>
    <t xml:space="preserve">OB Name </t>
  </si>
  <si>
    <t>GPS Ph No</t>
  </si>
  <si>
    <t>Price</t>
  </si>
  <si>
    <t>Remark</t>
  </si>
  <si>
    <t>1I/4365</t>
  </si>
  <si>
    <t>Mr Yan Yue Peng</t>
  </si>
  <si>
    <t xml:space="preserve">Alphard </t>
  </si>
  <si>
    <t>ANH10-0013756</t>
  </si>
  <si>
    <t>Blue/2002</t>
  </si>
  <si>
    <t>09-256712028</t>
  </si>
  <si>
    <t>22.9.23 to 21.4.24</t>
  </si>
  <si>
    <t>4.6.2025</t>
  </si>
  <si>
    <t>A Insurance</t>
  </si>
  <si>
    <t>30.11.2025</t>
  </si>
  <si>
    <t>No MMO</t>
  </si>
  <si>
    <t>09-889905039</t>
  </si>
  <si>
    <t>2F/2142</t>
  </si>
  <si>
    <t>ANH10-0011502</t>
  </si>
  <si>
    <t>Gray/2002</t>
  </si>
  <si>
    <t>22.9.2024</t>
  </si>
  <si>
    <t>31.12.2025</t>
  </si>
  <si>
    <t>09-441906739</t>
  </si>
  <si>
    <t xml:space="preserve">7P/6769 (MMO) </t>
  </si>
  <si>
    <t xml:space="preserve">Mr Hu Lanxiong </t>
  </si>
  <si>
    <t xml:space="preserve">AD </t>
  </si>
  <si>
    <t>VAY12-051261</t>
  </si>
  <si>
    <t>White/2010</t>
  </si>
  <si>
    <t>09-791138643</t>
  </si>
  <si>
    <t>25.5.23 to 24.7.23</t>
  </si>
  <si>
    <t>8.7.2025</t>
  </si>
  <si>
    <t>30.6.2026</t>
  </si>
  <si>
    <t>MMO</t>
  </si>
  <si>
    <t>09-255199873</t>
  </si>
  <si>
    <t>6F/6516</t>
  </si>
  <si>
    <t>VAY12-012885</t>
  </si>
  <si>
    <t>White/2008</t>
  </si>
  <si>
    <t>31.8.2025</t>
  </si>
  <si>
    <t>09-893646032</t>
  </si>
  <si>
    <t>3H/5929</t>
  </si>
  <si>
    <t>Ko Nay Min Han</t>
  </si>
  <si>
    <t>VAY12-011173</t>
  </si>
  <si>
    <t>09-250283560</t>
  </si>
  <si>
    <t>1.6.24 to 30.6.24</t>
  </si>
  <si>
    <t>18.7.2025</t>
  </si>
  <si>
    <t>31.7.2025</t>
  </si>
  <si>
    <t>09-256440685</t>
  </si>
  <si>
    <t>1Q/1193 (MMO)</t>
  </si>
  <si>
    <t>VAY12-052122</t>
  </si>
  <si>
    <t>White/2011</t>
  </si>
  <si>
    <t>17.6.2025</t>
  </si>
  <si>
    <t>31.3.2025</t>
  </si>
  <si>
    <t>09-255209184</t>
  </si>
  <si>
    <t xml:space="preserve">1I/4960 </t>
  </si>
  <si>
    <t>Mr Tong Kai Liang</t>
  </si>
  <si>
    <t>VAY12-032927</t>
  </si>
  <si>
    <t>White/2009</t>
  </si>
  <si>
    <t>09-979014992</t>
  </si>
  <si>
    <t>29.4.24 to 28.8.24</t>
  </si>
  <si>
    <t>31.10.2025</t>
  </si>
  <si>
    <t>09-444593672</t>
  </si>
  <si>
    <t xml:space="preserve">2F/9171 </t>
  </si>
  <si>
    <t xml:space="preserve">U Win Naing </t>
  </si>
  <si>
    <t>VAY12-008101</t>
  </si>
  <si>
    <t>09-448006469</t>
  </si>
  <si>
    <t>5.3.24 to 4.5.24</t>
  </si>
  <si>
    <t>20.4.2025</t>
  </si>
  <si>
    <t>FNI</t>
  </si>
  <si>
    <t>09-443826770</t>
  </si>
  <si>
    <t xml:space="preserve">4H/8153 </t>
  </si>
  <si>
    <t xml:space="preserve">Mr Wang Chenghai </t>
  </si>
  <si>
    <t xml:space="preserve">Belta </t>
  </si>
  <si>
    <t>SCP92-1079701</t>
  </si>
  <si>
    <t>Blue/2011</t>
  </si>
  <si>
    <t>09-696633181</t>
  </si>
  <si>
    <t>7.1.24 to 6.3.24</t>
  </si>
  <si>
    <t>30.9.2025</t>
  </si>
  <si>
    <t>09-445031098</t>
  </si>
  <si>
    <t>7H/8541</t>
  </si>
  <si>
    <t xml:space="preserve">Civic </t>
  </si>
  <si>
    <t>FD3-1404900</t>
  </si>
  <si>
    <t>09-</t>
  </si>
  <si>
    <t>15.8.2024</t>
  </si>
  <si>
    <t>31.11.2025</t>
  </si>
  <si>
    <t>09-893646025</t>
  </si>
  <si>
    <t>2Q/1461 (MMO)</t>
  </si>
  <si>
    <t xml:space="preserve">Ko Soe Myint Oo </t>
  </si>
  <si>
    <t xml:space="preserve">Ciaz </t>
  </si>
  <si>
    <t>09-795608249</t>
  </si>
  <si>
    <t>2.7.24 to 31.7.24</t>
  </si>
  <si>
    <t>12.9.2024</t>
  </si>
  <si>
    <t>KBZ</t>
  </si>
  <si>
    <t>09-256450813</t>
  </si>
  <si>
    <t xml:space="preserve">2S/2927 </t>
  </si>
  <si>
    <t xml:space="preserve">Mr Kuo Yuan Yang </t>
  </si>
  <si>
    <t xml:space="preserve">MS1CVC41S00107658 </t>
  </si>
  <si>
    <t>09-880151639</t>
  </si>
  <si>
    <t>15.5.24 to 14.5.25</t>
  </si>
  <si>
    <t>3.4.2025</t>
  </si>
  <si>
    <t>09-256668776</t>
  </si>
  <si>
    <t xml:space="preserve">6L/2504 </t>
  </si>
  <si>
    <t>Hyundai H1</t>
  </si>
  <si>
    <t>7.9.2024</t>
  </si>
  <si>
    <t>31.5.2025</t>
  </si>
  <si>
    <t>09-427766945</t>
  </si>
  <si>
    <t>5Q/8505 (MMO)</t>
  </si>
  <si>
    <t>Mr Guo Ling</t>
  </si>
  <si>
    <t>Insight</t>
  </si>
  <si>
    <t>ZE2-1404250</t>
  </si>
  <si>
    <t>Gray/2012</t>
  </si>
  <si>
    <t>09-684893988/09-989909999</t>
  </si>
  <si>
    <t>24.3.24 to 23.6.24</t>
  </si>
  <si>
    <t>09-893655939</t>
  </si>
  <si>
    <t>1N/6213 (MMO)</t>
  </si>
  <si>
    <t>Mr Lu Jian Zhaung</t>
  </si>
  <si>
    <t>ZE2-1314067</t>
  </si>
  <si>
    <t>Gray/2011</t>
  </si>
  <si>
    <t>09-753383920</t>
  </si>
  <si>
    <t>1.4.24 to 30.6.24</t>
  </si>
  <si>
    <t>09-440693418</t>
  </si>
  <si>
    <t>7N/1419</t>
  </si>
  <si>
    <t>Mr.Zhao Ting</t>
  </si>
  <si>
    <t>ZE2-1314305</t>
  </si>
  <si>
    <t>09-425736759</t>
  </si>
  <si>
    <t>21.10.19 မွ 20.1.20 အထိေပးျပီး</t>
  </si>
  <si>
    <t>25.6.2024</t>
  </si>
  <si>
    <t>ပျောက်</t>
  </si>
  <si>
    <t xml:space="preserve">1M/9574 (MMO) </t>
  </si>
  <si>
    <t>Mr Yu Liang Liang</t>
  </si>
  <si>
    <t xml:space="preserve">Insight </t>
  </si>
  <si>
    <t>ZE2-1302406</t>
  </si>
  <si>
    <t>Gray/2010</t>
  </si>
  <si>
    <t>9.4.24 to 8.5.24</t>
  </si>
  <si>
    <t>30.9.2024</t>
  </si>
  <si>
    <t>09-883503014</t>
  </si>
  <si>
    <t>4H/5781 (MMO)</t>
  </si>
  <si>
    <t xml:space="preserve">Mr Wang Ping </t>
  </si>
  <si>
    <t>ZE2-1102867</t>
  </si>
  <si>
    <t>Blue/2009</t>
  </si>
  <si>
    <t>09-698300967</t>
  </si>
  <si>
    <t>3.10.23 to 2.11.23</t>
  </si>
  <si>
    <t>09-893655715</t>
  </si>
  <si>
    <t>7K/6305 (MMO)</t>
  </si>
  <si>
    <t xml:space="preserve">Mr Xu Yizhi </t>
  </si>
  <si>
    <t>ZE2-1223563</t>
  </si>
  <si>
    <t>Gray/Beige/2010</t>
  </si>
  <si>
    <t>09-403710116</t>
  </si>
  <si>
    <t>2.7.24 to 1.10.24</t>
  </si>
  <si>
    <t>09-893655708</t>
  </si>
  <si>
    <t>9J/5030 (MMO)</t>
  </si>
  <si>
    <t>Mr Pu Yuan Lun</t>
  </si>
  <si>
    <t>ZE2-1206408</t>
  </si>
  <si>
    <t>09-695219918</t>
  </si>
  <si>
    <t>1.7.24 to 31.7.24</t>
  </si>
  <si>
    <t>09-893655682</t>
  </si>
  <si>
    <t>4K/1329</t>
  </si>
  <si>
    <t xml:space="preserve">Mr Lee /Mr Tang Yong Clun </t>
  </si>
  <si>
    <t>ZE2-1212951</t>
  </si>
  <si>
    <t xml:space="preserve"> 09-780787768/09-689329208</t>
  </si>
  <si>
    <t>8.3.24 to 7.5.24</t>
  </si>
  <si>
    <t>09-257861209</t>
  </si>
  <si>
    <t>Bal;20L</t>
  </si>
  <si>
    <t>3J/4642 (MMO)</t>
  </si>
  <si>
    <t>U Aung Kyaw</t>
  </si>
  <si>
    <t>ZE2-1143345</t>
  </si>
  <si>
    <t>Gray/2009</t>
  </si>
  <si>
    <t>09-782500552</t>
  </si>
  <si>
    <t>27.1.24 to 26.6.24</t>
  </si>
  <si>
    <t>30.4.2026</t>
  </si>
  <si>
    <t>09-267991971</t>
  </si>
  <si>
    <t xml:space="preserve">4L/9873 (MMO) </t>
  </si>
  <si>
    <t xml:space="preserve">Ko Aung Kyaw </t>
  </si>
  <si>
    <t>ZE2-1223462</t>
  </si>
  <si>
    <t>1.8.23 to 29.2.24</t>
  </si>
  <si>
    <t>7.4.2025</t>
  </si>
  <si>
    <t>31.5.2026</t>
  </si>
  <si>
    <t>9L/9176 (MMO)</t>
  </si>
  <si>
    <t>Mr Xie Ming Jian</t>
  </si>
  <si>
    <t>ZE2-1208343</t>
  </si>
  <si>
    <t>09-942888771</t>
  </si>
  <si>
    <t>24.5.2025</t>
  </si>
  <si>
    <t>31.8.2024</t>
  </si>
  <si>
    <t>09-883503006</t>
  </si>
  <si>
    <t>6Q/1178(MMO)</t>
  </si>
  <si>
    <t>ZE2-1402490</t>
  </si>
  <si>
    <t>8.8.2024</t>
  </si>
  <si>
    <t>28.2.2026</t>
  </si>
  <si>
    <t>09-892259040</t>
  </si>
  <si>
    <t>5H/6646 (MMO)</t>
  </si>
  <si>
    <t>Mr Deng Shi Hui</t>
  </si>
  <si>
    <t>ZE2-1118679</t>
  </si>
  <si>
    <t>09-676831041</t>
  </si>
  <si>
    <t>21.3.24 to 20.6.24</t>
  </si>
  <si>
    <t>6.4.2025</t>
  </si>
  <si>
    <t>09-407142778</t>
  </si>
  <si>
    <t>9H/5551 (MMO)</t>
  </si>
  <si>
    <t xml:space="preserve">U Hla Myint </t>
  </si>
  <si>
    <t>ZE2-1140775</t>
  </si>
  <si>
    <t>09-795773378</t>
  </si>
  <si>
    <t>3.6.24 to 2.8.24</t>
  </si>
  <si>
    <t>31.1.2026</t>
  </si>
  <si>
    <t>09-254799275</t>
  </si>
  <si>
    <t>1L/1050 (MMO)</t>
  </si>
  <si>
    <t xml:space="preserve">Ko Hla Aung Mmo fri </t>
  </si>
  <si>
    <t>ZE2-1228722</t>
  </si>
  <si>
    <t>09-5023388</t>
  </si>
  <si>
    <t>2.9.23 to 1.7.24</t>
  </si>
  <si>
    <t>19.2.2025</t>
  </si>
  <si>
    <t>09-440693482</t>
  </si>
  <si>
    <t>5N/5306 (MMO)</t>
  </si>
  <si>
    <t xml:space="preserve">Mr Zhe Jiang </t>
  </si>
  <si>
    <t>ZE2-1205902</t>
  </si>
  <si>
    <t>09-788851165</t>
  </si>
  <si>
    <t>10.11.23 to 9.2.24</t>
  </si>
  <si>
    <t>30.6.2025</t>
  </si>
  <si>
    <t>09-440693613</t>
  </si>
  <si>
    <t>9J/7302 (MMO)</t>
  </si>
  <si>
    <t xml:space="preserve">Mr Yu Xiang Zhong </t>
  </si>
  <si>
    <t>ZE2-1206203</t>
  </si>
  <si>
    <t>09-97379999</t>
  </si>
  <si>
    <t>12.6.23 to 11.8.23</t>
  </si>
  <si>
    <t>09-440693263</t>
  </si>
  <si>
    <t>5L/4960 (MMO)</t>
  </si>
  <si>
    <t>ZE2-1221390</t>
  </si>
  <si>
    <t>19.6.24 to 18.9.24</t>
  </si>
  <si>
    <t>09-256450081</t>
  </si>
  <si>
    <t xml:space="preserve">6L/8556 (MMO) </t>
  </si>
  <si>
    <t>Mr XUAN YULONG</t>
  </si>
  <si>
    <t>ZE2-1199092</t>
  </si>
  <si>
    <t>31.7.2026</t>
  </si>
  <si>
    <t>09-440693440</t>
  </si>
  <si>
    <t>4K/7943 (MMO)</t>
  </si>
  <si>
    <t>Ko Kyaw Kyaw</t>
  </si>
  <si>
    <t>ZE2-1207101</t>
  </si>
  <si>
    <t>09-777780034</t>
  </si>
  <si>
    <t>20.5.24 to 19.6.24</t>
  </si>
  <si>
    <t>09-422058037</t>
  </si>
  <si>
    <t>1K/7482 (MMO)</t>
  </si>
  <si>
    <t>Mr Liu Zhaoyun</t>
  </si>
  <si>
    <t>ZE2-1212209</t>
  </si>
  <si>
    <t>09-783711396(စကားျပန္ 09-785078351,09-984601535)</t>
  </si>
  <si>
    <t>2.5.24 to 1.8.24</t>
  </si>
  <si>
    <t>09-440707168</t>
  </si>
  <si>
    <t xml:space="preserve">5L/1648 (MMO) </t>
  </si>
  <si>
    <t xml:space="preserve">Ko Kyaw Nyi Nyi Lwin </t>
  </si>
  <si>
    <t>ZE2-1302188</t>
  </si>
  <si>
    <t>09-798875888</t>
  </si>
  <si>
    <t>09-440693606</t>
  </si>
  <si>
    <t xml:space="preserve">7C/8788 </t>
  </si>
  <si>
    <t xml:space="preserve">Mr Xiao Lusheng </t>
  </si>
  <si>
    <t>ZE2-1196846</t>
  </si>
  <si>
    <t>Violet/2009</t>
  </si>
  <si>
    <t xml:space="preserve">09-681633614 Hsu Tint Tint Naing </t>
  </si>
  <si>
    <t>1.4.24 to 31.5.24</t>
  </si>
  <si>
    <t>09-445031178</t>
  </si>
  <si>
    <t>7H/8222</t>
  </si>
  <si>
    <t>Mr Deng Li</t>
  </si>
  <si>
    <t>ZE2-1104889</t>
  </si>
  <si>
    <t>09-688063548</t>
  </si>
  <si>
    <t>8.6.24 to 7.9.24</t>
  </si>
  <si>
    <t>09-256449882</t>
  </si>
  <si>
    <t>9J/5405</t>
  </si>
  <si>
    <t xml:space="preserve">Mr Mo Enging/Zvan Yip </t>
  </si>
  <si>
    <t>ZE2-1208362</t>
  </si>
  <si>
    <t>09-255078565/09-421710808</t>
  </si>
  <si>
    <t>1.3.24 to 30.6.24</t>
  </si>
  <si>
    <t>09-256450982</t>
  </si>
  <si>
    <t>2J/3021</t>
  </si>
  <si>
    <t>Mr Bai Luokun</t>
  </si>
  <si>
    <t>ZE22-1166431</t>
  </si>
  <si>
    <t>09-898088881</t>
  </si>
  <si>
    <t>25.6.24 to 24.9.24</t>
  </si>
  <si>
    <t xml:space="preserve"> MMO</t>
  </si>
  <si>
    <t>09-441906289</t>
  </si>
  <si>
    <t>7K/5798</t>
  </si>
  <si>
    <t xml:space="preserve">Mr Zeng Jin </t>
  </si>
  <si>
    <t>ZE2-1224852</t>
  </si>
  <si>
    <t>09-682128847</t>
  </si>
  <si>
    <t>25.4.23 to 24.5.23</t>
  </si>
  <si>
    <t>29.6.2024</t>
  </si>
  <si>
    <t>09-445021091</t>
  </si>
  <si>
    <t>7J/5038</t>
  </si>
  <si>
    <t xml:space="preserve">Mr Kway Chi </t>
  </si>
  <si>
    <t>ZE2-1211182</t>
  </si>
  <si>
    <t>09-766465958</t>
  </si>
  <si>
    <t>17.7.24 to 16.8.24</t>
  </si>
  <si>
    <t>09-441907866</t>
  </si>
  <si>
    <t>9H/6009</t>
  </si>
  <si>
    <t>Yang Jiu Ping</t>
  </si>
  <si>
    <t>ZE2-1119470</t>
  </si>
  <si>
    <t>09-957352431</t>
  </si>
  <si>
    <t>29.2.24 to 28.3.24</t>
  </si>
  <si>
    <t>09-441907844</t>
  </si>
  <si>
    <t xml:space="preserve">4D/4361 </t>
  </si>
  <si>
    <t>Mr Xue Hua Bei</t>
  </si>
  <si>
    <t>ZE2-1103406</t>
  </si>
  <si>
    <t>09-794149914</t>
  </si>
  <si>
    <t>17.1.24 to 16.2.24</t>
  </si>
  <si>
    <t>09-441906721</t>
  </si>
  <si>
    <t>1J/4747</t>
  </si>
  <si>
    <t>ZE2-1166438</t>
  </si>
  <si>
    <t>09-441906308</t>
  </si>
  <si>
    <t xml:space="preserve">2E/7802 </t>
  </si>
  <si>
    <t xml:space="preserve">Mr Xu Fen </t>
  </si>
  <si>
    <t>ZE2-1113612</t>
  </si>
  <si>
    <t>09-961118666</t>
  </si>
  <si>
    <t>3.6.23 to 2.7.23</t>
  </si>
  <si>
    <t>25.8.2024</t>
  </si>
  <si>
    <t>31.1.2025</t>
  </si>
  <si>
    <t>09-262768697</t>
  </si>
  <si>
    <t>5D/3266</t>
  </si>
  <si>
    <t>Mr Hu Fengbo</t>
  </si>
  <si>
    <t>ZE2-1164108</t>
  </si>
  <si>
    <t>09-760736648</t>
  </si>
  <si>
    <t>29.5.24 to 28.8.24</t>
  </si>
  <si>
    <t>6.9.2024</t>
  </si>
  <si>
    <t>09-454897109</t>
  </si>
  <si>
    <t>1L/2491</t>
  </si>
  <si>
    <t xml:space="preserve">U Zaw Lin Aung </t>
  </si>
  <si>
    <t>ZE2-1225823</t>
  </si>
  <si>
    <t>09-791333507/09-740802221</t>
  </si>
  <si>
    <t>21.12.23 to 20.7.24</t>
  </si>
  <si>
    <t>13.9.2024</t>
  </si>
  <si>
    <t>09-889944170</t>
  </si>
  <si>
    <t xml:space="preserve">1K/7025 </t>
  </si>
  <si>
    <t xml:space="preserve">Mr Chen Dexiong </t>
  </si>
  <si>
    <t>ZE2-1203978</t>
  </si>
  <si>
    <t>09-978294842</t>
  </si>
  <si>
    <t>20.8.23 to 19.3.24</t>
  </si>
  <si>
    <t>19.9.2024</t>
  </si>
  <si>
    <t>09-409413775</t>
  </si>
  <si>
    <t>Bal;8L</t>
  </si>
  <si>
    <t>5K/8905</t>
  </si>
  <si>
    <t xml:space="preserve">Mr Liu Yi Chung </t>
  </si>
  <si>
    <t>ZE2-1213978</t>
  </si>
  <si>
    <t>09-755013668/09-679404102</t>
  </si>
  <si>
    <t>18.5.24 to 17.7.24</t>
  </si>
  <si>
    <t>09-895549586</t>
  </si>
  <si>
    <t xml:space="preserve">3M/3477 </t>
  </si>
  <si>
    <t xml:space="preserve">Mr Jin Zheng Chun/SJ Co., Ltd </t>
  </si>
  <si>
    <t xml:space="preserve">ZE2-1302121 </t>
  </si>
  <si>
    <t>09-401282070/09958325317</t>
  </si>
  <si>
    <t>18.10.2024</t>
  </si>
  <si>
    <t>31.10.2024</t>
  </si>
  <si>
    <t>09-251940471</t>
  </si>
  <si>
    <t>3D/6534</t>
  </si>
  <si>
    <t>STEK-MDY Office</t>
  </si>
  <si>
    <t>ZE2-1102903</t>
  </si>
  <si>
    <t>7.6.24 to 31.7.24</t>
  </si>
  <si>
    <t>12.10.2024</t>
  </si>
  <si>
    <t>09-261696327</t>
  </si>
  <si>
    <t xml:space="preserve">1I/6866 </t>
  </si>
  <si>
    <t>Mr Zhu Qing Lei</t>
  </si>
  <si>
    <t>ZE2-1127868</t>
  </si>
  <si>
    <t>09-770888638</t>
  </si>
  <si>
    <t>19.6.24 to 18.7.24</t>
  </si>
  <si>
    <t>09-883390128</t>
  </si>
  <si>
    <t>Kpay - KYK</t>
  </si>
  <si>
    <t>3L/6640</t>
  </si>
  <si>
    <t>Mr Xiong Zhong Xiang</t>
  </si>
  <si>
    <t>ZE2-1223414</t>
  </si>
  <si>
    <t>09-678065570</t>
  </si>
  <si>
    <t>24.7.24 to 23.10.24</t>
  </si>
  <si>
    <t>09-255536753</t>
  </si>
  <si>
    <t>2M/1710</t>
  </si>
  <si>
    <t xml:space="preserve">Mr Dai Ajian </t>
  </si>
  <si>
    <t>ZE2-1220497</t>
  </si>
  <si>
    <t>09-966776631</t>
  </si>
  <si>
    <t>23.6.23 to 22.9.23</t>
  </si>
  <si>
    <t>09-440466092</t>
  </si>
  <si>
    <t>‌</t>
  </si>
  <si>
    <t>4K/7478</t>
  </si>
  <si>
    <t xml:space="preserve">Mr Yan Xuzhong </t>
  </si>
  <si>
    <t>ZE2-1215882</t>
  </si>
  <si>
    <t>09-971269999</t>
  </si>
  <si>
    <t>23.11.23 to 22.5.24</t>
  </si>
  <si>
    <t>22.3.2025</t>
  </si>
  <si>
    <t>09-447372072</t>
  </si>
  <si>
    <t>7H/1783</t>
  </si>
  <si>
    <t xml:space="preserve">Mr Xu Liangihang </t>
  </si>
  <si>
    <t>ZE2-1135885</t>
  </si>
  <si>
    <t>09-681803600</t>
  </si>
  <si>
    <t>24.9.23 to 23.11.23</t>
  </si>
  <si>
    <t>09-422058056</t>
  </si>
  <si>
    <t>1I/8971</t>
  </si>
  <si>
    <t xml:space="preserve">Mr Hu Xiaobin </t>
  </si>
  <si>
    <t>ZE2-1149190</t>
  </si>
  <si>
    <t>09-966997295</t>
  </si>
  <si>
    <t>1.5.24 to 31.12.24</t>
  </si>
  <si>
    <t>09-256668756</t>
  </si>
  <si>
    <t xml:space="preserve">7K/3137 </t>
  </si>
  <si>
    <t>Ko Hein Htut Aung</t>
  </si>
  <si>
    <t>ZE2-1217355</t>
  </si>
  <si>
    <t>09-965200201</t>
  </si>
  <si>
    <t>14.6.24 to 13.9.24</t>
  </si>
  <si>
    <t>09-260006457</t>
  </si>
  <si>
    <t xml:space="preserve">7K/4229 </t>
  </si>
  <si>
    <t>U Zay Paing Htoo</t>
  </si>
  <si>
    <t>ZE2-1216873</t>
  </si>
  <si>
    <t>09-976116915</t>
  </si>
  <si>
    <t>12.6.24 to 11.8.24</t>
  </si>
  <si>
    <t>09-403384840</t>
  </si>
  <si>
    <t xml:space="preserve">2M/5574 </t>
  </si>
  <si>
    <t>Mr Huang Haiming</t>
  </si>
  <si>
    <t>ZE2-1212302</t>
  </si>
  <si>
    <t>09-960555999</t>
  </si>
  <si>
    <t>23.5.24 to 22.7.24</t>
  </si>
  <si>
    <t>09-453891357</t>
  </si>
  <si>
    <t xml:space="preserve">1M/7872 </t>
  </si>
  <si>
    <t xml:space="preserve">Mr Dong Caigun </t>
  </si>
  <si>
    <t>ZE2-1209158</t>
  </si>
  <si>
    <t xml:space="preserve">09-942759605/09-409934942 ကားဆရာ </t>
  </si>
  <si>
    <t>6.5.23 to 5.10.23</t>
  </si>
  <si>
    <t>09-880107318</t>
  </si>
  <si>
    <t xml:space="preserve">9K/7202 </t>
  </si>
  <si>
    <t xml:space="preserve">Mr Yu Jingsong </t>
  </si>
  <si>
    <t xml:space="preserve">ZE2-1228329 </t>
  </si>
  <si>
    <t>09-758230392</t>
  </si>
  <si>
    <t xml:space="preserve">20.7.23 to 19.8.23 </t>
  </si>
  <si>
    <t>09-447835309</t>
  </si>
  <si>
    <t xml:space="preserve">9J/1459 </t>
  </si>
  <si>
    <t>Mr Dong Lei</t>
  </si>
  <si>
    <t xml:space="preserve">ZE2-1206147 </t>
  </si>
  <si>
    <t>09-751089029</t>
  </si>
  <si>
    <t>09-890341104</t>
  </si>
  <si>
    <t>12L Bal;</t>
  </si>
  <si>
    <t>6L/5802</t>
  </si>
  <si>
    <t>Mr Huang Wei Meng</t>
  </si>
  <si>
    <t>ZE2-2008968</t>
  </si>
  <si>
    <t>09-890666566</t>
  </si>
  <si>
    <t>7.3.24 to 6.6.24</t>
  </si>
  <si>
    <t>09-267635397</t>
  </si>
  <si>
    <t xml:space="preserve">2I/7677 </t>
  </si>
  <si>
    <t>Mr Huang Xin Leng</t>
  </si>
  <si>
    <t>ZE2-1106886</t>
  </si>
  <si>
    <t>09-963298888</t>
  </si>
  <si>
    <t>23.6.24 to 22.7.24</t>
  </si>
  <si>
    <t>09-403778367</t>
  </si>
  <si>
    <t xml:space="preserve">6K/9464 </t>
  </si>
  <si>
    <t>Mr Chen Sheng Li</t>
  </si>
  <si>
    <t>ZE2-1158402</t>
  </si>
  <si>
    <t>Black/2009</t>
  </si>
  <si>
    <t>09-67114115</t>
  </si>
  <si>
    <t>1.5.24 to 30.6.24</t>
  </si>
  <si>
    <t>09-254862165</t>
  </si>
  <si>
    <t>1K/2555</t>
  </si>
  <si>
    <t>ZE2-1187843</t>
  </si>
  <si>
    <t>27.5.24 to 26.6.24</t>
  </si>
  <si>
    <t>09-893655937</t>
  </si>
  <si>
    <t xml:space="preserve">5K/4168 </t>
  </si>
  <si>
    <t xml:space="preserve">Mr Ye Zhao Zheng </t>
  </si>
  <si>
    <t>ZE2-1304102</t>
  </si>
  <si>
    <t xml:space="preserve">09-973237502 </t>
  </si>
  <si>
    <t>13.11.23 to 12.4.24</t>
  </si>
  <si>
    <t>09-883493532</t>
  </si>
  <si>
    <t>6L/2250 (MMO)</t>
  </si>
  <si>
    <t>Ko Aung Thura Kyaw</t>
  </si>
  <si>
    <t>March</t>
  </si>
  <si>
    <t>AK12-968495</t>
  </si>
  <si>
    <t>8.7.21 to 7.12.21 အထိေပးျပီး</t>
  </si>
  <si>
    <t>11.10.2024</t>
  </si>
  <si>
    <t>31.11.2024</t>
  </si>
  <si>
    <t>1G/8399 (MMO)</t>
  </si>
  <si>
    <t>Ko Thein Shwe</t>
  </si>
  <si>
    <t>Mark II</t>
  </si>
  <si>
    <t xml:space="preserve">GX110-6012668 </t>
  </si>
  <si>
    <t>09-5162779</t>
  </si>
  <si>
    <t>26.5.2019 to 25.7.2019 ထိပေးပြီး</t>
  </si>
  <si>
    <t>09-255199886</t>
  </si>
  <si>
    <t>7P/6171 (MMO)</t>
  </si>
  <si>
    <t xml:space="preserve">Ma Phyu Phyu Moe </t>
  </si>
  <si>
    <t xml:space="preserve">Ractis </t>
  </si>
  <si>
    <t>NSP122-2000993</t>
  </si>
  <si>
    <t>09-268717690</t>
  </si>
  <si>
    <t>23.12.23 to 22.1.24</t>
  </si>
  <si>
    <t>09-256451045</t>
  </si>
  <si>
    <t>1R/7367 (MMO)</t>
  </si>
  <si>
    <t xml:space="preserve">Sunny </t>
  </si>
  <si>
    <t>MT8BABN17KL002599</t>
  </si>
  <si>
    <t>11.7.24 to 10.9.24</t>
  </si>
  <si>
    <t>5.3.2025</t>
  </si>
  <si>
    <t>09-267993721</t>
  </si>
  <si>
    <t xml:space="preserve">9N/2999 </t>
  </si>
  <si>
    <t xml:space="preserve">Mr Fu Qiang </t>
  </si>
  <si>
    <t>MT8BABN17HL000715</t>
  </si>
  <si>
    <t>09-881888018</t>
  </si>
  <si>
    <t>20.5.23 to 19.11.23</t>
  </si>
  <si>
    <t>28.2.2025</t>
  </si>
  <si>
    <t>09-883004515</t>
  </si>
  <si>
    <t>1P/1210</t>
  </si>
  <si>
    <t xml:space="preserve">Mr Zhou Jimimg </t>
  </si>
  <si>
    <t>MT8BABN17HL000514</t>
  </si>
  <si>
    <t>09-699700960</t>
  </si>
  <si>
    <t>9.7.24 to 8.8.24</t>
  </si>
  <si>
    <t>15.3.2025</t>
  </si>
  <si>
    <t>09-264338334</t>
  </si>
  <si>
    <t>7N/1797 (MMO)</t>
  </si>
  <si>
    <t xml:space="preserve">U Myat Min Paing </t>
  </si>
  <si>
    <t>Vitz</t>
  </si>
  <si>
    <t>KSP90-5226402</t>
  </si>
  <si>
    <t xml:space="preserve">09-450552920 (Battery Charges 6.9.22 102,000) </t>
  </si>
  <si>
    <t>24.5.24 to 23.6.24</t>
  </si>
  <si>
    <t>09-883004564</t>
  </si>
  <si>
    <t>1K/5984 (MMO)</t>
  </si>
  <si>
    <t xml:space="preserve">Ko Hein Htet </t>
  </si>
  <si>
    <t xml:space="preserve">Vitz </t>
  </si>
  <si>
    <t xml:space="preserve">SCP90-5159046 </t>
  </si>
  <si>
    <t>Red/2010</t>
  </si>
  <si>
    <t>09-448003116</t>
  </si>
  <si>
    <t>28.6.24 to 27.7.24</t>
  </si>
  <si>
    <t>5P/6639 (MMO)</t>
  </si>
  <si>
    <t xml:space="preserve">Mr Lin Xiao Yun </t>
  </si>
  <si>
    <t>ZE2-1314200</t>
  </si>
  <si>
    <t>09-977334888</t>
  </si>
  <si>
    <t>22.8.23 to 21.3.24</t>
  </si>
  <si>
    <t>31.3.2026</t>
  </si>
  <si>
    <t>09-893644397</t>
  </si>
  <si>
    <t>Bal;6373328/-</t>
  </si>
  <si>
    <t>6I/8975 (MMO)</t>
  </si>
  <si>
    <t xml:space="preserve">Mr Li Zuolong </t>
  </si>
  <si>
    <t>ZE2-1400613</t>
  </si>
  <si>
    <t>09-771082591</t>
  </si>
  <si>
    <t>1.12.23 to 29.2.24</t>
  </si>
  <si>
    <t>09-893655953</t>
  </si>
  <si>
    <t>7H/1942 (MMO)</t>
  </si>
  <si>
    <t>Mr Fu Shaoyou</t>
  </si>
  <si>
    <t>ZE2-1133816</t>
  </si>
  <si>
    <t>09-456182888/09-263112657</t>
  </si>
  <si>
    <t>24.7.24 to 23.8.24</t>
  </si>
  <si>
    <t>09-893655936</t>
  </si>
  <si>
    <t>4Q/9683 (MMO)</t>
  </si>
  <si>
    <t>Ma Thandar</t>
  </si>
  <si>
    <t>ZE2-1404252</t>
  </si>
  <si>
    <t>22.7.24 to 21.8.24</t>
  </si>
  <si>
    <t>09-445031109</t>
  </si>
  <si>
    <t>5P/5451</t>
  </si>
  <si>
    <t>Mr Wu Wei Jun</t>
  </si>
  <si>
    <t>ZE2-1314180</t>
  </si>
  <si>
    <t>09-966817111</t>
  </si>
  <si>
    <t>5.4.24 to 4.8.24</t>
  </si>
  <si>
    <t>20.9.2024</t>
  </si>
  <si>
    <t>09-885236228</t>
  </si>
  <si>
    <t>1M/9575</t>
  </si>
  <si>
    <t>STEK</t>
  </si>
  <si>
    <t>ZE2-1303311</t>
  </si>
  <si>
    <t>20.6.24 to 31.7.24</t>
  </si>
  <si>
    <t>14.3.2025</t>
  </si>
  <si>
    <t>09-884834589</t>
  </si>
  <si>
    <t>6L/9338</t>
  </si>
  <si>
    <t>Mr Liu Shiquan</t>
  </si>
  <si>
    <t>ZE2-1107864</t>
  </si>
  <si>
    <t>09-5078776</t>
  </si>
  <si>
    <t>8.7.24 to 7.8.24</t>
  </si>
  <si>
    <t>4.4.2025</t>
  </si>
  <si>
    <t>1L/6464</t>
  </si>
  <si>
    <t>Daw May Hnin Phyu</t>
  </si>
  <si>
    <t>ZE2-1222821</t>
  </si>
  <si>
    <t>Blue/2010</t>
  </si>
  <si>
    <t>09-777792888/09-421034302</t>
  </si>
  <si>
    <t>29.2.2026</t>
  </si>
  <si>
    <t>09-884792881</t>
  </si>
  <si>
    <t>2L/5621</t>
  </si>
  <si>
    <t>Mr Zhu Yun Jian</t>
  </si>
  <si>
    <t>ZE2-1111023</t>
  </si>
  <si>
    <t>09-423410854</t>
  </si>
  <si>
    <t>6.7.24 to 5.8.24</t>
  </si>
  <si>
    <t>24.4.2025</t>
  </si>
  <si>
    <t>09-884262488</t>
  </si>
  <si>
    <t>9J/7318</t>
  </si>
  <si>
    <t>ZE2-1205575</t>
  </si>
  <si>
    <t>09-698300967/090-695219910</t>
  </si>
  <si>
    <t>25.4.2025</t>
  </si>
  <si>
    <t>09-450349936</t>
  </si>
  <si>
    <t>1N/3473</t>
  </si>
  <si>
    <t>ZE2-1205804</t>
  </si>
  <si>
    <t>7.5.2025</t>
  </si>
  <si>
    <t>09-450238982</t>
  </si>
  <si>
    <t>5L/8865</t>
  </si>
  <si>
    <t>Ma Hla Hla Maw</t>
  </si>
  <si>
    <t>ZE2-1218832</t>
  </si>
  <si>
    <t>7.7.24 to 6.8.24</t>
  </si>
  <si>
    <t>12.4.2025</t>
  </si>
  <si>
    <t>09-407145060</t>
  </si>
  <si>
    <t>3I/2599</t>
  </si>
  <si>
    <t>STEK - YGN Office</t>
  </si>
  <si>
    <t>ZE2-1152050</t>
  </si>
  <si>
    <t>23.7.24 to 31.7.24</t>
  </si>
  <si>
    <t>15.5.2025</t>
  </si>
  <si>
    <t>09-409444043</t>
  </si>
  <si>
    <t>5L/5487</t>
  </si>
  <si>
    <t>Mr Du Jian</t>
  </si>
  <si>
    <t>ZE2-1305713</t>
  </si>
  <si>
    <t>09-262860942</t>
  </si>
  <si>
    <t>1.6.24 ကို‌ဇော်ဇော် ကားသွားပို့</t>
  </si>
  <si>
    <t>21.5.2025</t>
  </si>
  <si>
    <t>09-265713745</t>
  </si>
  <si>
    <t>1.6.24 ကားသွားပို့</t>
  </si>
  <si>
    <t>2E/7644</t>
  </si>
  <si>
    <t>Mr Lei Ming</t>
  </si>
  <si>
    <t>ZE2-1109441</t>
  </si>
  <si>
    <t>09-9626178888/09-266266232 (စကားပြန်)</t>
  </si>
  <si>
    <t>3.6.24 to 2.9.24</t>
  </si>
  <si>
    <t>27.5.2025</t>
  </si>
  <si>
    <t>09-450465466</t>
  </si>
  <si>
    <t>6L/2311</t>
  </si>
  <si>
    <t>Mr Hou Dongcheng</t>
  </si>
  <si>
    <t>ZE2-1218143</t>
  </si>
  <si>
    <t>13.6.24 to 12.9.24</t>
  </si>
  <si>
    <t>09-899302726</t>
  </si>
  <si>
    <t>3D/5417</t>
  </si>
  <si>
    <t xml:space="preserve">Mr Yuan Zhichao/SJ Co., Ltd </t>
  </si>
  <si>
    <t>ZE2-1159966</t>
  </si>
  <si>
    <t>09-401282070</t>
  </si>
  <si>
    <t>6.6.2025</t>
  </si>
  <si>
    <t>09-899744378</t>
  </si>
  <si>
    <t>3D/4211</t>
  </si>
  <si>
    <t>Mr Chen Jun</t>
  </si>
  <si>
    <t>ZE2-1109891</t>
  </si>
  <si>
    <t>09-787487870</t>
  </si>
  <si>
    <t>21.6.2025</t>
  </si>
  <si>
    <t>09-260176969</t>
  </si>
  <si>
    <t>21.6.24 Buy</t>
  </si>
  <si>
    <t>2L/8057</t>
  </si>
  <si>
    <t>ZE2-1203200</t>
  </si>
  <si>
    <t>1.8.2024 Buying</t>
  </si>
  <si>
    <t>Name!A1</t>
  </si>
  <si>
    <t>Repair Expense</t>
  </si>
  <si>
    <t>Datte</t>
  </si>
  <si>
    <t>Description</t>
  </si>
  <si>
    <t>Amt</t>
  </si>
  <si>
    <t>No.</t>
  </si>
  <si>
    <t>Car  
Name</t>
  </si>
  <si>
    <t>Chassis No.</t>
  </si>
  <si>
    <t>Period</t>
  </si>
  <si>
    <t>Vr.No.</t>
  </si>
  <si>
    <t>Receive
 Date</t>
  </si>
  <si>
    <t>Receive</t>
  </si>
  <si>
    <t>Amount</t>
  </si>
  <si>
    <t>Deposit</t>
  </si>
  <si>
    <t>0470</t>
  </si>
  <si>
    <t>13.6.24</t>
  </si>
  <si>
    <t>Cash</t>
  </si>
  <si>
    <t>Total</t>
  </si>
  <si>
    <t>0456</t>
  </si>
  <si>
    <t>Kpay 999 TG Ser</t>
  </si>
  <si>
    <t>Mr Yuan Zhichao</t>
  </si>
  <si>
    <t>0455</t>
  </si>
  <si>
    <t>Kpay 999 12L+ Cash 20L</t>
  </si>
  <si>
    <t>2E/7611</t>
  </si>
  <si>
    <t>3.6.24</t>
  </si>
  <si>
    <t>1.6.24 တွင် ကိုဇော်ဇော် ကားသွားပို့</t>
  </si>
  <si>
    <t>3L/6640 နဲ့တစ်အိမ်တည်း</t>
  </si>
  <si>
    <t>Mr Lu Jianzhaung</t>
  </si>
  <si>
    <t>AD</t>
  </si>
  <si>
    <t>0413</t>
  </si>
  <si>
    <t>25.5.24</t>
  </si>
  <si>
    <t xml:space="preserve"> </t>
  </si>
  <si>
    <t>25.5.24 to 29.5.24</t>
  </si>
  <si>
    <t>0420</t>
  </si>
  <si>
    <t>30.5.24</t>
  </si>
  <si>
    <t>(4day*30000)</t>
  </si>
  <si>
    <t>Deposit Refund</t>
  </si>
  <si>
    <t>20.5.24</t>
  </si>
  <si>
    <t>Car Repair Exp</t>
  </si>
  <si>
    <t>0421</t>
  </si>
  <si>
    <t>Mr Hu Xiao Bin</t>
  </si>
  <si>
    <t>0460</t>
  </si>
  <si>
    <t>20.6.24</t>
  </si>
  <si>
    <t>0410</t>
  </si>
  <si>
    <t>23.5.24</t>
  </si>
  <si>
    <t>0506</t>
  </si>
  <si>
    <t>26.7.24</t>
  </si>
  <si>
    <t>Name</t>
  </si>
  <si>
    <t xml:space="preserve">Mr Pei Zhanwen </t>
  </si>
  <si>
    <t>Car brand</t>
  </si>
  <si>
    <t>Chassis</t>
  </si>
  <si>
    <t>Time Duration</t>
  </si>
  <si>
    <t>Received
 Date</t>
  </si>
  <si>
    <t xml:space="preserve">Honda Insight </t>
  </si>
  <si>
    <t>4D/4361</t>
  </si>
  <si>
    <t xml:space="preserve">Deposit </t>
  </si>
  <si>
    <t>00118</t>
  </si>
  <si>
    <t>28.7.22</t>
  </si>
  <si>
    <t>28.7.22 to 27.8.22</t>
  </si>
  <si>
    <t>27.10.22</t>
  </si>
  <si>
    <t>00210</t>
  </si>
  <si>
    <t>28.8.22 to 27.10.22</t>
  </si>
  <si>
    <t xml:space="preserve">Kpay MM AC </t>
  </si>
  <si>
    <t>31.12.22</t>
  </si>
  <si>
    <t>00328</t>
  </si>
  <si>
    <t>28.10.22 to 27.12.22</t>
  </si>
  <si>
    <t>2.3.22</t>
  </si>
  <si>
    <t>00405</t>
  </si>
  <si>
    <t>28.12.22 to 27.2.23</t>
  </si>
  <si>
    <t>25.5.23</t>
  </si>
  <si>
    <t>00518</t>
  </si>
  <si>
    <t>28.2.23 to 27.4.23</t>
  </si>
  <si>
    <t>Kpay MM AC 10L</t>
  </si>
  <si>
    <t>30.6.23</t>
  </si>
  <si>
    <t>00575</t>
  </si>
  <si>
    <t xml:space="preserve">28.2.23 to 27.4.23 Bal </t>
  </si>
  <si>
    <t>28.4.23 to 27.6.23</t>
  </si>
  <si>
    <t xml:space="preserve">ကားအပ္ျပီး </t>
  </si>
  <si>
    <t>0006</t>
  </si>
  <si>
    <t xml:space="preserve">27.7.23 </t>
  </si>
  <si>
    <t>27.7.23 to 26.8.23</t>
  </si>
  <si>
    <t>27.8.23 to 26.9.23</t>
  </si>
  <si>
    <t>0044</t>
  </si>
  <si>
    <t>1.9.23</t>
  </si>
  <si>
    <t xml:space="preserve">Kpay 999 Tg Services </t>
  </si>
  <si>
    <t xml:space="preserve">Mr Xue Huaibei </t>
  </si>
  <si>
    <t>0077</t>
  </si>
  <si>
    <t>17.10.23</t>
  </si>
  <si>
    <t xml:space="preserve">Cash </t>
  </si>
  <si>
    <t>17.10.23 to 16.11.23</t>
  </si>
  <si>
    <t xml:space="preserve">Kpay 999 Tg Servcies </t>
  </si>
  <si>
    <t>17.11.23 to 16.12.23</t>
  </si>
  <si>
    <t>0160</t>
  </si>
  <si>
    <t>21.11.2023</t>
  </si>
  <si>
    <t>17.12.2023 to 16.1.2024</t>
  </si>
  <si>
    <t>0200</t>
  </si>
  <si>
    <t>27.12.2023</t>
  </si>
  <si>
    <t>0218</t>
  </si>
  <si>
    <t>22.1.24</t>
  </si>
  <si>
    <t>0395</t>
  </si>
  <si>
    <t>8.5.24</t>
  </si>
  <si>
    <t>Cash15L+Kpay 999 TG 1L</t>
  </si>
  <si>
    <t>8.5.24 to 7.6.24</t>
  </si>
  <si>
    <t>8.6.24 to 7.7.24</t>
  </si>
  <si>
    <t>0478</t>
  </si>
  <si>
    <t>10.7.24</t>
  </si>
  <si>
    <t xml:space="preserve">Kpay 999 TG </t>
  </si>
  <si>
    <t>29.7.24</t>
  </si>
  <si>
    <t>Mr Liu Shi Quan</t>
  </si>
  <si>
    <t>0386</t>
  </si>
  <si>
    <t>6.5.24</t>
  </si>
  <si>
    <t>6.5.24 to 5.6.24</t>
  </si>
  <si>
    <t>6.6.24 to 5.7.24</t>
  </si>
  <si>
    <t>0448</t>
  </si>
  <si>
    <t>10.6.24</t>
  </si>
  <si>
    <t>0519</t>
  </si>
  <si>
    <t>1.8.24</t>
  </si>
  <si>
    <t>0387</t>
  </si>
  <si>
    <t>Cash 10L+Kpay 999 (6L)</t>
  </si>
  <si>
    <t>0453</t>
  </si>
  <si>
    <t>Kpay 999 TG Services</t>
  </si>
  <si>
    <t>0512</t>
  </si>
  <si>
    <t>Kpay 999 TG 23.7.24</t>
  </si>
  <si>
    <t>6.4.24</t>
  </si>
  <si>
    <t>အောက်အင်ဂျင်ကာဘာလယ်</t>
  </si>
  <si>
    <t>ZE2-1400559</t>
  </si>
  <si>
    <t>0330</t>
  </si>
  <si>
    <t>8.4.24</t>
  </si>
  <si>
    <t>999 TG Ser Kpay</t>
  </si>
  <si>
    <t>8.4.24 to 7.5.24</t>
  </si>
  <si>
    <t>8.5.24 to 7.7.24</t>
  </si>
  <si>
    <t>0464</t>
  </si>
  <si>
    <t>22.6.24</t>
  </si>
  <si>
    <t>0465</t>
  </si>
  <si>
    <t>11.7.24 999 TG Ser Kpay  6L</t>
  </si>
  <si>
    <t>GEP Co.,Ltd</t>
  </si>
  <si>
    <t>6Q/1178</t>
  </si>
  <si>
    <t xml:space="preserve">29.3.24 to 5.4.24 </t>
  </si>
  <si>
    <t>(8day*65000)</t>
  </si>
  <si>
    <t>0379</t>
  </si>
  <si>
    <t>24.4.24</t>
  </si>
  <si>
    <t>29.3.24</t>
  </si>
  <si>
    <t>30.3.24</t>
  </si>
  <si>
    <t>31.3.24</t>
  </si>
  <si>
    <t>1.4.24</t>
  </si>
  <si>
    <t>2.4.24</t>
  </si>
  <si>
    <t>3.4.24</t>
  </si>
  <si>
    <t>4.4.24</t>
  </si>
  <si>
    <t>5.4.24</t>
  </si>
  <si>
    <t>Ko Kyaw Min Thu</t>
  </si>
  <si>
    <t>0327</t>
  </si>
  <si>
    <t>KBZ MM AC</t>
  </si>
  <si>
    <t>8.4.24 to 7.7.24</t>
  </si>
  <si>
    <t>0475</t>
  </si>
  <si>
    <t>8.7.24</t>
  </si>
  <si>
    <t>24.7.24</t>
  </si>
  <si>
    <t>24.7.24 ကားပြန်အပ်</t>
  </si>
  <si>
    <t>Rental Refund</t>
  </si>
  <si>
    <t>Battery Charges</t>
  </si>
  <si>
    <t>Date</t>
  </si>
  <si>
    <t>အောက်အင်ဂျင်ကာဘာ (L+R)</t>
  </si>
  <si>
    <t>0361</t>
  </si>
  <si>
    <t>နောက်ဘယ်တံခါးအမဲပြားအဖုံး</t>
  </si>
  <si>
    <t>0393</t>
  </si>
  <si>
    <t>7.4.24</t>
  </si>
  <si>
    <t>Wheel Aligment Service Charge Front</t>
  </si>
  <si>
    <t>0447</t>
  </si>
  <si>
    <t xml:space="preserve">Rear Axle Rod Replace </t>
  </si>
  <si>
    <t>0520</t>
  </si>
  <si>
    <t>Suspension Service Charge R (L/R)</t>
  </si>
  <si>
    <t>Sr</t>
  </si>
  <si>
    <t xml:space="preserve">Chassis No; </t>
  </si>
  <si>
    <t xml:space="preserve">5H/6646 </t>
  </si>
  <si>
    <t xml:space="preserve">25.6.22 to 30.7.22 </t>
  </si>
  <si>
    <t>000042</t>
  </si>
  <si>
    <t>25.6.22</t>
  </si>
  <si>
    <t>1.8.22 to 31.8.22</t>
  </si>
  <si>
    <t>00136</t>
  </si>
  <si>
    <t>22.8.22</t>
  </si>
  <si>
    <t xml:space="preserve">1.9.22 to 30.9.22 </t>
  </si>
  <si>
    <t>00161</t>
  </si>
  <si>
    <t>12.9.22</t>
  </si>
  <si>
    <t>1.10.22 to 31.10.22</t>
  </si>
  <si>
    <t>00200</t>
  </si>
  <si>
    <t>18.10.22</t>
  </si>
  <si>
    <t>1.11.22 to 30.11.22</t>
  </si>
  <si>
    <t>00246</t>
  </si>
  <si>
    <t>28.11.22</t>
  </si>
  <si>
    <t xml:space="preserve">1.12.22 to 31.12.22 </t>
  </si>
  <si>
    <t>00321</t>
  </si>
  <si>
    <t>29.12.22</t>
  </si>
  <si>
    <t>1.1.23 to 31.1.23</t>
  </si>
  <si>
    <t>30.1.23</t>
  </si>
  <si>
    <t>1.2.23 to 28.2.23</t>
  </si>
  <si>
    <t>00396</t>
  </si>
  <si>
    <t>20.2.23</t>
  </si>
  <si>
    <t>1.3.23 to 31.3.23</t>
  </si>
  <si>
    <t>00428</t>
  </si>
  <si>
    <t>16.3.23</t>
  </si>
  <si>
    <t>1.7.23 to 31.7.23</t>
  </si>
  <si>
    <t>0204</t>
  </si>
  <si>
    <t>20.4.23</t>
  </si>
  <si>
    <t>1.4.23 to 30.4.23</t>
  </si>
  <si>
    <t>00522</t>
  </si>
  <si>
    <t>27.5.23</t>
  </si>
  <si>
    <t>1.8.23 to 31.8.23</t>
  </si>
  <si>
    <t>19.6.23</t>
  </si>
  <si>
    <t>1.5.23 to 31.6.23</t>
  </si>
  <si>
    <t>0019</t>
  </si>
  <si>
    <t>9.8.23</t>
  </si>
  <si>
    <t>1.9.23 to 30.9.23</t>
  </si>
  <si>
    <t>30.9.23</t>
  </si>
  <si>
    <t>1.10.23 to 31.10.23</t>
  </si>
  <si>
    <t>6.1.24</t>
  </si>
  <si>
    <t>Kpay</t>
  </si>
  <si>
    <t>14.12.23</t>
  </si>
  <si>
    <t>1.11.23 to 30.11.23</t>
  </si>
  <si>
    <t>1.12.23 to 6.1.24</t>
  </si>
  <si>
    <t>0205</t>
  </si>
  <si>
    <t>13.5.24</t>
  </si>
  <si>
    <t>12.5.24 MM Kpay 10L+13.5.24 3.6L</t>
  </si>
  <si>
    <t>Repair Charges</t>
  </si>
  <si>
    <t>14.3.24</t>
  </si>
  <si>
    <t>‌ေအာက်ပိုင်း RL စစ်ဆေး</t>
  </si>
  <si>
    <t xml:space="preserve">9Q/5615 </t>
  </si>
  <si>
    <t>00464</t>
  </si>
  <si>
    <t>21.4.23</t>
  </si>
  <si>
    <t>15.3.24 5H/6646 ကားချိန်းသွား</t>
  </si>
  <si>
    <t xml:space="preserve">Change to </t>
  </si>
  <si>
    <t>21.4.23 to 20.5.23</t>
  </si>
  <si>
    <t>5H/6646</t>
  </si>
  <si>
    <t>21.5.23 to 20.12.23</t>
  </si>
  <si>
    <t>0278</t>
  </si>
  <si>
    <t>21.12.23 to 20.3.24</t>
  </si>
  <si>
    <t>0279</t>
  </si>
  <si>
    <t>20.5.24 5H/6646 ယာဉ်တိုက်မှုဖြစ်ပွား</t>
  </si>
  <si>
    <t>0438</t>
  </si>
  <si>
    <t>4.6.24</t>
  </si>
  <si>
    <t>0291</t>
  </si>
  <si>
    <t>20.3.24</t>
  </si>
  <si>
    <t>20.3.24 to 19.4.24</t>
  </si>
  <si>
    <t>20.4.24 to 19.6.24</t>
  </si>
  <si>
    <t>0412</t>
  </si>
  <si>
    <t>KBZ MM</t>
  </si>
  <si>
    <t>0505</t>
  </si>
  <si>
    <t>Mr Huang Dong Xiao</t>
  </si>
  <si>
    <t>Chassis No:</t>
  </si>
  <si>
    <t xml:space="preserve">2F/2142 </t>
  </si>
  <si>
    <t xml:space="preserve">ANH10-0011502 </t>
  </si>
  <si>
    <t>00203</t>
  </si>
  <si>
    <t>21.10.22</t>
  </si>
  <si>
    <t xml:space="preserve">21.10.22 to 20.11.22 </t>
  </si>
  <si>
    <t>21.11.22 to 20.12.22</t>
  </si>
  <si>
    <t>00304</t>
  </si>
  <si>
    <t>7.12.22</t>
  </si>
  <si>
    <t>21.12.22 to 20.2.23</t>
  </si>
  <si>
    <t>00372</t>
  </si>
  <si>
    <t>1.2.23</t>
  </si>
  <si>
    <t>21.2.23 to 20.5.23</t>
  </si>
  <si>
    <t>00543</t>
  </si>
  <si>
    <t>9.6.23</t>
  </si>
  <si>
    <t>21.5.23 to 20.6.23</t>
  </si>
  <si>
    <t>00544</t>
  </si>
  <si>
    <t>29.3.23</t>
  </si>
  <si>
    <t>21.6.23 to 20.8.23</t>
  </si>
  <si>
    <t>0025</t>
  </si>
  <si>
    <t>12.8.23</t>
  </si>
  <si>
    <t>21.8.23 to 20.10.23</t>
  </si>
  <si>
    <t>0094</t>
  </si>
  <si>
    <t>7.11.23</t>
  </si>
  <si>
    <t>Daw Aye Aye Khaing</t>
  </si>
  <si>
    <t>13.1.23 to 16.1.23</t>
  </si>
  <si>
    <t>0213</t>
  </si>
  <si>
    <t>16.1.23</t>
  </si>
  <si>
    <t>(4day*46500) 999 TG Kpay AC</t>
  </si>
  <si>
    <t>U Saw Min Min Oo</t>
  </si>
  <si>
    <t>11.3.24 to 10.4.24</t>
  </si>
  <si>
    <t>0270</t>
  </si>
  <si>
    <t>11.3.24</t>
  </si>
  <si>
    <t>Refund</t>
  </si>
  <si>
    <t>19.3.24</t>
  </si>
  <si>
    <t>18.3.24 ကားအပ်ပြီး</t>
  </si>
  <si>
    <t>Ma Nwae Nwae</t>
  </si>
  <si>
    <t>0362</t>
  </si>
  <si>
    <t>18.4.24</t>
  </si>
  <si>
    <t>UNO ရှော့ဘား(5p)</t>
  </si>
  <si>
    <t>18.4.24 to 3.5.24</t>
  </si>
  <si>
    <t>ဒူးဆစ် သဲကာ / မဲဆီ</t>
  </si>
  <si>
    <t>3.5.24 တွင်ကားအပ်သည်</t>
  </si>
  <si>
    <t>Services Fee</t>
  </si>
  <si>
    <t>5.3.24</t>
  </si>
  <si>
    <t>Discharges Pipe</t>
  </si>
  <si>
    <t>R1340 Gas Charge</t>
  </si>
  <si>
    <t>0267</t>
  </si>
  <si>
    <t>Flir Con Service</t>
  </si>
  <si>
    <t>5.3.24 to 4.4.24</t>
  </si>
  <si>
    <t>0514</t>
  </si>
  <si>
    <t>KBZ 999 TG Services</t>
  </si>
  <si>
    <t>Ko Win Kyaw Tun</t>
  </si>
  <si>
    <t>Sunny</t>
  </si>
  <si>
    <t>1R/7367</t>
  </si>
  <si>
    <t>0072</t>
  </si>
  <si>
    <t>10.10.23</t>
  </si>
  <si>
    <t>Kpay 999 TG AC</t>
  </si>
  <si>
    <t>10.10.23 to 9.11.23</t>
  </si>
  <si>
    <t>10.11.23 to 9.12.23</t>
  </si>
  <si>
    <t>0091</t>
  </si>
  <si>
    <t>1.11.23</t>
  </si>
  <si>
    <t>Seagram Myanmar Co.,Ltd</t>
  </si>
  <si>
    <t>24.2.24</t>
  </si>
  <si>
    <t>Engine Oil</t>
  </si>
  <si>
    <t>Oil Filter</t>
  </si>
  <si>
    <t>29.2.24</t>
  </si>
  <si>
    <t>1.3.24 to 31.3.24</t>
  </si>
  <si>
    <t>1.4.24 to 30.4.24</t>
  </si>
  <si>
    <t>0358</t>
  </si>
  <si>
    <t xml:space="preserve">Total </t>
  </si>
  <si>
    <t>1.5.24 to 31.5.24</t>
  </si>
  <si>
    <t>0385</t>
  </si>
  <si>
    <t>3.5.24</t>
  </si>
  <si>
    <t>0450</t>
  </si>
  <si>
    <t>11.6.24</t>
  </si>
  <si>
    <t>0484</t>
  </si>
  <si>
    <t>11.7.24</t>
  </si>
  <si>
    <t xml:space="preserve">Mr Huang Caitu </t>
  </si>
  <si>
    <t>Expense (s)</t>
  </si>
  <si>
    <t xml:space="preserve">Date </t>
  </si>
  <si>
    <t xml:space="preserve">Description </t>
  </si>
  <si>
    <t xml:space="preserve">Amt </t>
  </si>
  <si>
    <t xml:space="preserve">Profit </t>
  </si>
  <si>
    <t>ZE2-1206468</t>
  </si>
  <si>
    <t>9J/5030</t>
  </si>
  <si>
    <t xml:space="preserve">25.6.19 to 24.9.19 </t>
  </si>
  <si>
    <t>01166</t>
  </si>
  <si>
    <t>25.6.19</t>
  </si>
  <si>
    <t>21.6.19</t>
  </si>
  <si>
    <t xml:space="preserve">  ေရွ ႔ ဘယ္/ညာ မွန္ (၂)ဖက္ </t>
  </si>
  <si>
    <t>25.9.19 to 24.11.19</t>
  </si>
  <si>
    <t>01930</t>
  </si>
  <si>
    <t>7.10.19</t>
  </si>
  <si>
    <t>14.6.19</t>
  </si>
  <si>
    <t xml:space="preserve">Air Cleaner </t>
  </si>
  <si>
    <t>25.11.19 to 24.1.2020</t>
  </si>
  <si>
    <t>01467</t>
  </si>
  <si>
    <t>23.12.19</t>
  </si>
  <si>
    <t xml:space="preserve"> Repair charges Wingabar</t>
  </si>
  <si>
    <t>25.1.2020 to 24.2.2020</t>
  </si>
  <si>
    <t>01537</t>
  </si>
  <si>
    <t>11.2.2020</t>
  </si>
  <si>
    <t>17.6.19</t>
  </si>
  <si>
    <t xml:space="preserve">Insurance </t>
  </si>
  <si>
    <t>25.2.2020 to 24.4.2020</t>
  </si>
  <si>
    <t>01548</t>
  </si>
  <si>
    <t>3.4.2020</t>
  </si>
  <si>
    <t>25.4.2020 to 14.5.2020</t>
  </si>
  <si>
    <t>01839</t>
  </si>
  <si>
    <t>14.5.2020</t>
  </si>
  <si>
    <t>15.5.2020 ကားအပ္ျပီး</t>
  </si>
  <si>
    <t xml:space="preserve">Discount </t>
  </si>
  <si>
    <t>01773</t>
  </si>
  <si>
    <t>8.6.2020</t>
  </si>
  <si>
    <t>8.6.2020 to 7.7.2020</t>
  </si>
  <si>
    <t xml:space="preserve">Ma Mi Mi Myat Than </t>
  </si>
  <si>
    <t>10.9.21 to 9.10.21</t>
  </si>
  <si>
    <t>01642</t>
  </si>
  <si>
    <t>10.9.2021</t>
  </si>
  <si>
    <t>10.10.21 to 9.11.21</t>
  </si>
  <si>
    <t>01647</t>
  </si>
  <si>
    <t>9.10.2021</t>
  </si>
  <si>
    <t>10.11.21 to 9.12.21</t>
  </si>
  <si>
    <t>02411</t>
  </si>
  <si>
    <t>9.11.2021</t>
  </si>
  <si>
    <t xml:space="preserve">Cheng Ji Yong </t>
  </si>
  <si>
    <t>02428</t>
  </si>
  <si>
    <t>13.12.21</t>
  </si>
  <si>
    <t>13.12.21 to 12.1.2022</t>
  </si>
  <si>
    <t>13.1.22 to 12.2.2022</t>
  </si>
  <si>
    <t>02445</t>
  </si>
  <si>
    <t>26.1.21</t>
  </si>
  <si>
    <t xml:space="preserve">Refund Depoit </t>
  </si>
  <si>
    <t>11.2.22</t>
  </si>
  <si>
    <t xml:space="preserve">Ko Cho Gyi </t>
  </si>
  <si>
    <t xml:space="preserve">2.3.22 to 1.4.22 </t>
  </si>
  <si>
    <t>02116</t>
  </si>
  <si>
    <t>3.3.22</t>
  </si>
  <si>
    <t xml:space="preserve">2.4.22 to 1.5.22 </t>
  </si>
  <si>
    <t>02126</t>
  </si>
  <si>
    <t>5.4.22</t>
  </si>
  <si>
    <t>2.5.22 to 1.6.22</t>
  </si>
  <si>
    <t>02146</t>
  </si>
  <si>
    <t>5.5.22</t>
  </si>
  <si>
    <t>2.6.22 to 2.7.22</t>
  </si>
  <si>
    <t>00024</t>
  </si>
  <si>
    <t>6.6.22</t>
  </si>
  <si>
    <t xml:space="preserve">Kpay MM </t>
  </si>
  <si>
    <t>2.7.22 to 2.8.22</t>
  </si>
  <si>
    <t>00050</t>
  </si>
  <si>
    <t>7.7.22</t>
  </si>
  <si>
    <t>2.8.22 to 1.9.22</t>
  </si>
  <si>
    <t>00125</t>
  </si>
  <si>
    <t>4.8.22</t>
  </si>
  <si>
    <t xml:space="preserve">2.9.22 to 1.10.22 </t>
  </si>
  <si>
    <t>00157</t>
  </si>
  <si>
    <t>8.9.22</t>
  </si>
  <si>
    <t>2.10.22 to 1.11.22</t>
  </si>
  <si>
    <t>00188</t>
  </si>
  <si>
    <t>6.10.22</t>
  </si>
  <si>
    <t xml:space="preserve">Mr Xu Haipeng </t>
  </si>
  <si>
    <t>00218</t>
  </si>
  <si>
    <t>2.11.22</t>
  </si>
  <si>
    <t xml:space="preserve">7H/8541 Change </t>
  </si>
  <si>
    <t xml:space="preserve">2.11.22 to 1.12.22 </t>
  </si>
  <si>
    <t>2.12.22 to 1.1.23</t>
  </si>
  <si>
    <t>00240</t>
  </si>
  <si>
    <t>21.11.22</t>
  </si>
  <si>
    <t>2.1.23 to 1.2.23</t>
  </si>
  <si>
    <t>00317</t>
  </si>
  <si>
    <t>27.12.22</t>
  </si>
  <si>
    <t xml:space="preserve">Refund Deposit </t>
  </si>
  <si>
    <t>31.1.23</t>
  </si>
  <si>
    <t xml:space="preserve">Mr Dai Long </t>
  </si>
  <si>
    <t xml:space="preserve">7H/8541 </t>
  </si>
  <si>
    <t>00370</t>
  </si>
  <si>
    <t xml:space="preserve">31.1.23 to 28.2.23 </t>
  </si>
  <si>
    <t xml:space="preserve">1.3.23 to 31.3.23 </t>
  </si>
  <si>
    <t>00498</t>
  </si>
  <si>
    <t xml:space="preserve">10.5.23 </t>
  </si>
  <si>
    <t xml:space="preserve">5.5.23 Kpay MM </t>
  </si>
  <si>
    <t xml:space="preserve">Repair Charges </t>
  </si>
  <si>
    <t xml:space="preserve">1.4.23 to 30.5.23 </t>
  </si>
  <si>
    <t>00510</t>
  </si>
  <si>
    <t>26.5.23</t>
  </si>
  <si>
    <t xml:space="preserve">Mr Luo Yoqiang </t>
  </si>
  <si>
    <t>00305</t>
  </si>
  <si>
    <t>7.12.22 to 6.2.23</t>
  </si>
  <si>
    <t>7.2.23 to 6.8.23</t>
  </si>
  <si>
    <t>0051</t>
  </si>
  <si>
    <t>14.9.23</t>
  </si>
  <si>
    <t>MM KBZ cash AC (5L Bal)</t>
  </si>
  <si>
    <t>7.8.23 to 6.9.23</t>
  </si>
  <si>
    <t>0202</t>
  </si>
  <si>
    <t>7.9.23 to 6.10.23</t>
  </si>
  <si>
    <t>7.10.23 to 6.11.23</t>
  </si>
  <si>
    <t>7.11.23 to 6.12.23</t>
  </si>
  <si>
    <t>7.12.23 to 6.1.24</t>
  </si>
  <si>
    <t>0254</t>
  </si>
  <si>
    <t>1.3.2024</t>
  </si>
  <si>
    <t>0396</t>
  </si>
  <si>
    <t>9.5.24</t>
  </si>
  <si>
    <t>0446</t>
  </si>
  <si>
    <t>Kpay 999</t>
  </si>
  <si>
    <t>0480</t>
  </si>
  <si>
    <t>0516</t>
  </si>
  <si>
    <t>26.2.24</t>
  </si>
  <si>
    <t>O2 Sensor</t>
  </si>
  <si>
    <t>Sensor Change,Oil Repair,Computer Check Services Fee</t>
  </si>
  <si>
    <t>27.2.24 to 26.3.24</t>
  </si>
  <si>
    <t>0247</t>
  </si>
  <si>
    <t>27.2.24</t>
  </si>
  <si>
    <t>27.3.24 to 26.4.24</t>
  </si>
  <si>
    <t>0371</t>
  </si>
  <si>
    <t>12.4.24</t>
  </si>
  <si>
    <t>Kpay MM AC</t>
  </si>
  <si>
    <t>27.4.24 to 26.5.24</t>
  </si>
  <si>
    <t>0415</t>
  </si>
  <si>
    <t>27.5.24</t>
  </si>
  <si>
    <t>Total Amt</t>
  </si>
  <si>
    <t>0493</t>
  </si>
  <si>
    <t>15.7.24</t>
  </si>
  <si>
    <t>23.5.23 to 22.6.23</t>
  </si>
  <si>
    <t>00513</t>
  </si>
  <si>
    <t>22.5.23</t>
  </si>
  <si>
    <t>23.6.23 to 22.8.23</t>
  </si>
  <si>
    <t>0008</t>
  </si>
  <si>
    <t>31.7.23</t>
  </si>
  <si>
    <t>23.8.23 to 22.10.23</t>
  </si>
  <si>
    <t>0058</t>
  </si>
  <si>
    <t>21.9.23</t>
  </si>
  <si>
    <t>23.10.23 to 22.11.23</t>
  </si>
  <si>
    <t>0164</t>
  </si>
  <si>
    <t>29.11.23</t>
  </si>
  <si>
    <t>23.11.23 to 29.11.23 (7day)</t>
  </si>
  <si>
    <t>0187</t>
  </si>
  <si>
    <t>22.12.23</t>
  </si>
  <si>
    <t>to Change</t>
  </si>
  <si>
    <t>22.12.23 to 21.1.24</t>
  </si>
  <si>
    <t>22.1.24 to 21.4.24</t>
  </si>
  <si>
    <t>0354</t>
  </si>
  <si>
    <t>22.4.24 to 22.6.24</t>
  </si>
  <si>
    <t>0430</t>
  </si>
  <si>
    <t>1.6.24</t>
  </si>
  <si>
    <t>0509</t>
  </si>
  <si>
    <t>25.7.24</t>
  </si>
  <si>
    <t>Ma Wai</t>
  </si>
  <si>
    <t xml:space="preserve">ZE2-1127868 </t>
  </si>
  <si>
    <t xml:space="preserve">1L/6866 </t>
  </si>
  <si>
    <t>0168</t>
  </si>
  <si>
    <t>2.12.23</t>
  </si>
  <si>
    <t>2.12.23 to 1.1.24</t>
  </si>
  <si>
    <t>1I/4960</t>
  </si>
  <si>
    <t>2.1.24 to 1.2.24</t>
  </si>
  <si>
    <t>U La Dee</t>
  </si>
  <si>
    <t>0238</t>
  </si>
  <si>
    <t>9.2.24</t>
  </si>
  <si>
    <t>9.2.24 to 8.3.24</t>
  </si>
  <si>
    <t>Cash (KTP)</t>
  </si>
  <si>
    <t>26.3.24</t>
  </si>
  <si>
    <t>Goother TV FM</t>
  </si>
  <si>
    <t>0240</t>
  </si>
  <si>
    <t>19.2.24</t>
  </si>
  <si>
    <t>Yuan 3300xR480</t>
  </si>
  <si>
    <t>19.2.24 to 18.3.24</t>
  </si>
  <si>
    <t>19.3.24 to 18.4.24</t>
  </si>
  <si>
    <t>0292</t>
  </si>
  <si>
    <t>21.3.24</t>
  </si>
  <si>
    <t>Yuan 1600*R498</t>
  </si>
  <si>
    <t>19.4.24 to 18.5.24</t>
  </si>
  <si>
    <t>0405</t>
  </si>
  <si>
    <t>21.5.24</t>
  </si>
  <si>
    <t>19.5.24 to 18.6.24</t>
  </si>
  <si>
    <t>0477</t>
  </si>
  <si>
    <t>9.7.24</t>
  </si>
  <si>
    <t>0501</t>
  </si>
  <si>
    <t>Kpay 999 TG</t>
  </si>
  <si>
    <t>Honda Insight</t>
  </si>
  <si>
    <t xml:space="preserve">21.8.17 to 20.2.18 </t>
  </si>
  <si>
    <t xml:space="preserve">00344 </t>
  </si>
  <si>
    <t>21.8.17</t>
  </si>
  <si>
    <t xml:space="preserve">Bal </t>
  </si>
  <si>
    <t>00439</t>
  </si>
  <si>
    <t>16.11.17</t>
  </si>
  <si>
    <t>21.2.18 to 20.5.18</t>
  </si>
  <si>
    <t>23.2.18</t>
  </si>
  <si>
    <t>21.5.18 to 20.8.18</t>
  </si>
  <si>
    <t>00637</t>
  </si>
  <si>
    <t>24.5.18</t>
  </si>
  <si>
    <t>21.8.18 to 20.11.18</t>
  </si>
  <si>
    <t>01292</t>
  </si>
  <si>
    <t>3.9.18</t>
  </si>
  <si>
    <t>21.11.18 to 20.2.19</t>
  </si>
  <si>
    <t>01001</t>
  </si>
  <si>
    <t>7.1.19</t>
  </si>
  <si>
    <t>21.2.19 to 20.5.19</t>
  </si>
  <si>
    <t>01051</t>
  </si>
  <si>
    <t>25.3.19</t>
  </si>
  <si>
    <t>21.5.19 to 20.8.19</t>
  </si>
  <si>
    <t>01152</t>
  </si>
  <si>
    <t>21.8.19 to 20.10.19</t>
  </si>
  <si>
    <t>01922</t>
  </si>
  <si>
    <t>2.10.19</t>
  </si>
  <si>
    <t>21.10.19 to 20.1.20</t>
  </si>
  <si>
    <t>01929</t>
  </si>
  <si>
    <t>Mr.Liang Fengyuan</t>
  </si>
  <si>
    <t>ZE2-1314190</t>
  </si>
  <si>
    <t>Rental Deposit</t>
  </si>
  <si>
    <t>00296</t>
  </si>
  <si>
    <t>21.7.17</t>
  </si>
  <si>
    <t>21.7.17 to 20.8.17</t>
  </si>
  <si>
    <t>Refund Rental deposit</t>
  </si>
  <si>
    <t>5.8.17 တြင္3M/9984 အား 7N/1419 ျဖင့္လဲေပးသည္။</t>
  </si>
  <si>
    <t>21.8.17 တြင္ 7N/1419 ကားျပန္အပ္သည္။</t>
  </si>
  <si>
    <t>Ko Sai/U Soe Min Naing</t>
  </si>
  <si>
    <t>Hyundai H-1</t>
  </si>
  <si>
    <t>6L/2504</t>
  </si>
  <si>
    <t>25.9.17  to  28.9.17</t>
  </si>
  <si>
    <t>00389</t>
  </si>
  <si>
    <t>29.9.17</t>
  </si>
  <si>
    <t xml:space="preserve">Mr Jin Chenglin /Myanmar Life </t>
  </si>
  <si>
    <t>H1</t>
  </si>
  <si>
    <t xml:space="preserve">30.11.18 to 28.2.19 </t>
  </si>
  <si>
    <t>00948</t>
  </si>
  <si>
    <t>30.11.18</t>
  </si>
  <si>
    <t>00969</t>
  </si>
  <si>
    <t>1.3.20</t>
  </si>
  <si>
    <t>transfer to KBZ call AC (6.3.19)</t>
  </si>
  <si>
    <t>1.3.19 to 30.4.19</t>
  </si>
  <si>
    <t xml:space="preserve">Guang Textiles Co., Ltd </t>
  </si>
  <si>
    <t>5.8.19 to 9.8.19</t>
  </si>
  <si>
    <t>01209</t>
  </si>
  <si>
    <t>26.8.19</t>
  </si>
  <si>
    <t xml:space="preserve">The Avenue </t>
  </si>
  <si>
    <t>4.5.2020 to 14.5.2020</t>
  </si>
  <si>
    <t>01778</t>
  </si>
  <si>
    <t>12.6.2020</t>
  </si>
  <si>
    <t>01782</t>
  </si>
  <si>
    <t>15.6.2020</t>
  </si>
  <si>
    <t xml:space="preserve">Mr Liu Xiaowu </t>
  </si>
  <si>
    <t>16.11.22 to 19.11.22</t>
  </si>
  <si>
    <t>00238</t>
  </si>
  <si>
    <t>15.11.22</t>
  </si>
  <si>
    <t>Mr Wan Xin Kyue</t>
  </si>
  <si>
    <t>2.12.22</t>
  </si>
  <si>
    <t>Ko Aye</t>
  </si>
  <si>
    <t>Car brand &amp; Chassis</t>
  </si>
  <si>
    <t>Received Date</t>
  </si>
  <si>
    <t>Bal (ရရန္)</t>
  </si>
  <si>
    <t>6L/2808</t>
  </si>
  <si>
    <t>22.7.16  to  21.8.16</t>
  </si>
  <si>
    <t>2.8.16</t>
  </si>
  <si>
    <t>18.4.17  to  30.4.17</t>
  </si>
  <si>
    <t>22.8.16  to  21.9.16</t>
  </si>
  <si>
    <t>white</t>
  </si>
  <si>
    <t>22.9.16  to  21.10.16</t>
  </si>
  <si>
    <t>1.11.16</t>
  </si>
  <si>
    <t>by MAB cheque</t>
  </si>
  <si>
    <t>22.10.16  to  21.11.16</t>
  </si>
  <si>
    <t>22.11.16  to  21.12.16</t>
  </si>
  <si>
    <t>7.4.17</t>
  </si>
  <si>
    <t>by Cash/ Ko Thet Htet</t>
  </si>
  <si>
    <t>22.12.16  to  21.1.17</t>
  </si>
  <si>
    <t>22.1.17  to  21.2.17</t>
  </si>
  <si>
    <t>22.2.17  to  21.3.17</t>
  </si>
  <si>
    <t>17.10.17</t>
  </si>
  <si>
    <t>22.3.17  to  21.4.17</t>
  </si>
  <si>
    <t>9.11.17</t>
  </si>
  <si>
    <t>by cash/Ko Wai Lin</t>
  </si>
  <si>
    <t>22.4.17  to  21.5.17</t>
  </si>
  <si>
    <t>22.5.17  to  21.6.17</t>
  </si>
  <si>
    <t>22.6.17  to  21.7.17</t>
  </si>
  <si>
    <t>bal -2.5L</t>
  </si>
  <si>
    <t>22.7.17  to  21.8.17</t>
  </si>
  <si>
    <t>Discount</t>
  </si>
  <si>
    <t>22.8.17  to  21.9.17</t>
  </si>
  <si>
    <t>22.9.17  to  21.10.17</t>
  </si>
  <si>
    <t>22.10.17  to  21.11.17</t>
  </si>
  <si>
    <t>10 L သတ္မွတ္</t>
  </si>
  <si>
    <t>22.11.17 to 21.12.17</t>
  </si>
  <si>
    <t>22.12.17 to 21.1.18</t>
  </si>
  <si>
    <t>22.1.18 to 21.2.18</t>
  </si>
  <si>
    <t>Hyundai H-2</t>
  </si>
  <si>
    <t>22.2.18 to 21.3.18</t>
  </si>
  <si>
    <t>Hyundai H-3</t>
  </si>
  <si>
    <t>22.3.18 to 21.4.18</t>
  </si>
  <si>
    <t>Hyundai H-4</t>
  </si>
  <si>
    <t>22.4.18 to 21.5.18</t>
  </si>
  <si>
    <t>Hyundai H-5</t>
  </si>
  <si>
    <t>22.5.18 to 21.6.18</t>
  </si>
  <si>
    <t>Hyundai H-6</t>
  </si>
  <si>
    <t>22.6.18 to 21.7.18</t>
  </si>
  <si>
    <t>Hyundai H-7</t>
  </si>
  <si>
    <t>22.7.18 to 21.8.18</t>
  </si>
  <si>
    <t>Hyundai H-8</t>
  </si>
  <si>
    <t>22.8.18 to 21.9.18</t>
  </si>
  <si>
    <t>Hyundai H-9</t>
  </si>
  <si>
    <t>22.9.18 to 21.10.18</t>
  </si>
  <si>
    <t>Hyundai H-10</t>
  </si>
  <si>
    <t>22.10.18 to 21.11.18</t>
  </si>
  <si>
    <t>Hyundai H-11</t>
  </si>
  <si>
    <t>22.11.18 to 21.12.18</t>
  </si>
  <si>
    <t>22.12.18 to 21.1.18</t>
  </si>
  <si>
    <t>black</t>
  </si>
  <si>
    <t>Shell</t>
  </si>
  <si>
    <t>00480</t>
  </si>
  <si>
    <t>1.5.23</t>
  </si>
  <si>
    <t>Handing Charges</t>
  </si>
  <si>
    <t>1.5.23 to 31.5.23</t>
  </si>
  <si>
    <t>1.6.23 to 31.7.23</t>
  </si>
  <si>
    <t>0034</t>
  </si>
  <si>
    <t>21.8.23</t>
  </si>
  <si>
    <t>1951GS1S Kenda Tyre</t>
  </si>
  <si>
    <t>1.8.23 to 30.11.23</t>
  </si>
  <si>
    <t>0276</t>
  </si>
  <si>
    <t>13.3.24</t>
  </si>
  <si>
    <t>Dis</t>
  </si>
  <si>
    <t>3.2.24 Car Repair Charges</t>
  </si>
  <si>
    <t>0513</t>
  </si>
  <si>
    <t>27.7.24</t>
  </si>
  <si>
    <t xml:space="preserve">Mr He Lifang </t>
  </si>
  <si>
    <t>00465</t>
  </si>
  <si>
    <t>22.4.23</t>
  </si>
  <si>
    <t>22.4.23 to 21.5.23</t>
  </si>
  <si>
    <t>MMO Special AC</t>
  </si>
  <si>
    <t>to change</t>
  </si>
  <si>
    <t>2.3.24</t>
  </si>
  <si>
    <t>ရှေ့ရှော့ဘား (2P)</t>
  </si>
  <si>
    <t>ရှေ့ရှော့ဘား သဲကာ</t>
  </si>
  <si>
    <t>AD VAN</t>
  </si>
  <si>
    <t>0351</t>
  </si>
  <si>
    <t>ဒူးစစ်သဲကာ+မဲဆီ</t>
  </si>
  <si>
    <t>29.3.24 to 28.4.24</t>
  </si>
  <si>
    <t>Engine Oil 10W 40L</t>
  </si>
  <si>
    <t>0511</t>
  </si>
  <si>
    <t>ABS Sensor (5p)</t>
  </si>
  <si>
    <t>9.4.24</t>
  </si>
  <si>
    <t>Steering arm shaft used</t>
  </si>
  <si>
    <t>Suspension Service Charges F (L/R)</t>
  </si>
  <si>
    <t xml:space="preserve">Mr Deng Li </t>
  </si>
  <si>
    <t>00220</t>
  </si>
  <si>
    <t>10.11.22</t>
  </si>
  <si>
    <t>to</t>
  </si>
  <si>
    <t>10.11.22 to 9.12.22</t>
  </si>
  <si>
    <t>10.12.22 to 9.1.23</t>
  </si>
  <si>
    <t>00306</t>
  </si>
  <si>
    <t>8.12.22</t>
  </si>
  <si>
    <t>10.1.23 to 9.2.23</t>
  </si>
  <si>
    <t>00338</t>
  </si>
  <si>
    <t>12.1.23</t>
  </si>
  <si>
    <t>10.2.23 to 9.3.23</t>
  </si>
  <si>
    <t>00386</t>
  </si>
  <si>
    <t>13.2.23</t>
  </si>
  <si>
    <t>10.3.23 to 9.4.23</t>
  </si>
  <si>
    <t>00410</t>
  </si>
  <si>
    <t>13.3.23</t>
  </si>
  <si>
    <t>10.4.23 to 9.5.23</t>
  </si>
  <si>
    <t>00459</t>
  </si>
  <si>
    <t>6.4.23</t>
  </si>
  <si>
    <t>10.5.23 to 9.6.23</t>
  </si>
  <si>
    <t>00496</t>
  </si>
  <si>
    <t>9.5.23</t>
  </si>
  <si>
    <t>10.6.23 to 9.7.23</t>
  </si>
  <si>
    <t>00546</t>
  </si>
  <si>
    <t xml:space="preserve">10.7.23 to 9.9.23 </t>
  </si>
  <si>
    <t>00600</t>
  </si>
  <si>
    <t>20.7.23</t>
  </si>
  <si>
    <t>10.9.23 to 9.12.23</t>
  </si>
  <si>
    <t>0049</t>
  </si>
  <si>
    <t>11.9.23</t>
  </si>
  <si>
    <t>Honda</t>
  </si>
  <si>
    <t>0192</t>
  </si>
  <si>
    <t>26.12.23</t>
  </si>
  <si>
    <t>26.12.23 to 25.1.24</t>
  </si>
  <si>
    <t>26.1.24 to 25.6.24</t>
  </si>
  <si>
    <t>0414</t>
  </si>
  <si>
    <t>ပြန်အပ်ပြီး</t>
  </si>
  <si>
    <t>0500</t>
  </si>
  <si>
    <t>Mr Wu Jian Qing</t>
  </si>
  <si>
    <t>Nissan Sunny</t>
  </si>
  <si>
    <t>MT8BAN17JL001593</t>
  </si>
  <si>
    <t>3Q-7409</t>
  </si>
  <si>
    <t>0104</t>
  </si>
  <si>
    <t>12.12.23</t>
  </si>
  <si>
    <t>12.12.23 to 11.1.24</t>
  </si>
  <si>
    <t>12.1.24 to 11.2.24</t>
  </si>
  <si>
    <t>Mr Ye Zhao Zheng</t>
  </si>
  <si>
    <t>13.9.23 to 12.10.23</t>
  </si>
  <si>
    <t>0163</t>
  </si>
  <si>
    <t>24.11.23</t>
  </si>
  <si>
    <t>13.10.23 to 12.11.23</t>
  </si>
  <si>
    <t>0613</t>
  </si>
  <si>
    <t>13.11.23 to 12.12.23</t>
  </si>
  <si>
    <t>0294</t>
  </si>
  <si>
    <t>22.3.24</t>
  </si>
  <si>
    <t>Kpay 999 TG Services AC</t>
  </si>
  <si>
    <t>13.12.23 to 12.4.24</t>
  </si>
  <si>
    <t xml:space="preserve">Mr Wen Bing Xing/Ranger Luo /Guangdand Textiles Imp &amp; Exp Co., Ltd </t>
  </si>
  <si>
    <t>Chassis No,</t>
  </si>
  <si>
    <t>4Q/9683</t>
  </si>
  <si>
    <t>00981</t>
  </si>
  <si>
    <t>4.3.19</t>
  </si>
  <si>
    <t>4.3.19 to 3.4.19</t>
  </si>
  <si>
    <t>00982</t>
  </si>
  <si>
    <t xml:space="preserve">GPS </t>
  </si>
  <si>
    <t>4.4.19 to 3.5.19</t>
  </si>
  <si>
    <t>00983</t>
  </si>
  <si>
    <t xml:space="preserve">4.5.19 to 3.6.19 </t>
  </si>
  <si>
    <t>01099</t>
  </si>
  <si>
    <t>10.5.19</t>
  </si>
  <si>
    <t>4.6.19 to 3.7.19</t>
  </si>
  <si>
    <t>01100</t>
  </si>
  <si>
    <t>4.7.19 to 3.9.19</t>
  </si>
  <si>
    <t>01208</t>
  </si>
  <si>
    <t>4.9.19 to 3.11.19</t>
  </si>
  <si>
    <t>01919</t>
  </si>
  <si>
    <t>9.9.19</t>
  </si>
  <si>
    <t>USD 654*R1530</t>
  </si>
  <si>
    <t>4.11.19 to 3.1.2020</t>
  </si>
  <si>
    <t>01485</t>
  </si>
  <si>
    <t xml:space="preserve">30.12.19 </t>
  </si>
  <si>
    <t>USD 674*R1484</t>
  </si>
  <si>
    <t>4.1.20 to 3.3.2020</t>
  </si>
  <si>
    <t>01504</t>
  </si>
  <si>
    <t>27.2.2020</t>
  </si>
  <si>
    <t>USD 694*R1441</t>
  </si>
  <si>
    <t>4.3.20 to 3.7.2020</t>
  </si>
  <si>
    <t>01755</t>
  </si>
  <si>
    <t>26.5.2020</t>
  </si>
  <si>
    <t>USD 1243*R1408</t>
  </si>
  <si>
    <t>4.7.20 to 3.11.2020</t>
  </si>
  <si>
    <t>01382</t>
  </si>
  <si>
    <t>23.10.20</t>
  </si>
  <si>
    <t>USD1517*R1318</t>
  </si>
  <si>
    <t>4.11.20 to 3.1.2021</t>
  </si>
  <si>
    <t>02524</t>
  </si>
  <si>
    <t>26.12.2020</t>
  </si>
  <si>
    <t>USD743*R1345</t>
  </si>
  <si>
    <t>4.1.2021 to 3.4.2021</t>
  </si>
  <si>
    <t>02639</t>
  </si>
  <si>
    <t>5.8.2021</t>
  </si>
  <si>
    <t>USD 2115*R1655</t>
  </si>
  <si>
    <t>4.4.2021 to 3.8.2021</t>
  </si>
  <si>
    <t>02334</t>
  </si>
  <si>
    <t>4.8.2021 to 3.1.2022</t>
  </si>
  <si>
    <t>002421</t>
  </si>
  <si>
    <t>3.12.2021</t>
  </si>
  <si>
    <t>USD 1396*R1790</t>
  </si>
  <si>
    <t>4.1.2022 to 3.7.2022</t>
  </si>
  <si>
    <t>02145</t>
  </si>
  <si>
    <t>5.5.2022</t>
  </si>
  <si>
    <t>4.7.2022 to 3.1.2023</t>
  </si>
  <si>
    <t>00192</t>
  </si>
  <si>
    <t>13.10.22</t>
  </si>
  <si>
    <t>KBZ Cheque</t>
  </si>
  <si>
    <t xml:space="preserve">4.1.23 to 3.7.23 </t>
  </si>
  <si>
    <t>00424</t>
  </si>
  <si>
    <t xml:space="preserve">4.7.23 to 3.10.23 </t>
  </si>
  <si>
    <t>00590</t>
  </si>
  <si>
    <t>18.7.23</t>
  </si>
  <si>
    <t>4.10.23 to 3.11.23</t>
  </si>
  <si>
    <t>0170</t>
  </si>
  <si>
    <t>8.12.23</t>
  </si>
  <si>
    <t>4.11.23 to 3.12.23</t>
  </si>
  <si>
    <t>4.12.23 to 3.1.24</t>
  </si>
  <si>
    <t>1.1.24 to 30.6.24</t>
  </si>
  <si>
    <t>0426</t>
  </si>
  <si>
    <t>0112</t>
  </si>
  <si>
    <t>1.7.24</t>
  </si>
  <si>
    <t>1.7.2024 ကားပြန်အပ်သည်</t>
  </si>
  <si>
    <t>U Wai Phyo Kyaw / Ma Thandar</t>
  </si>
  <si>
    <t>0499</t>
  </si>
  <si>
    <t>22.7.24</t>
  </si>
  <si>
    <t xml:space="preserve">Mr Wei Bin </t>
  </si>
  <si>
    <t>khin</t>
  </si>
  <si>
    <t xml:space="preserve">7H/1942 </t>
  </si>
  <si>
    <t>01049</t>
  </si>
  <si>
    <t>27.2.19</t>
  </si>
  <si>
    <t>27.2.19 to 26.4.19</t>
  </si>
  <si>
    <t>8.3.19</t>
  </si>
  <si>
    <t>ဂန္းဘြတ္၊သဲကာ၊နတ္တိုင္၊ဆီတိုင္ကီပန္႔ဆီစစ္၊ေရွ႔ေအာက္</t>
  </si>
  <si>
    <t>27.4.19 to 26.6.19</t>
  </si>
  <si>
    <t>01119</t>
  </si>
  <si>
    <t>27.5.19</t>
  </si>
  <si>
    <t>22.6.19</t>
  </si>
  <si>
    <t xml:space="preserve"> Engine Oil လဲလက္ခ </t>
  </si>
  <si>
    <t>27.6.19 to 26.7.19</t>
  </si>
  <si>
    <t>00658</t>
  </si>
  <si>
    <t>24.7.19</t>
  </si>
  <si>
    <t>ဂီယာေဘာက္ခ်၊ကလပ္ပလိတ္၊ဝါရွာ၊ကလပ္ဝါရွာ=126000</t>
  </si>
  <si>
    <t xml:space="preserve">အခင္းျပား </t>
  </si>
  <si>
    <t xml:space="preserve">ေအာက္ပိုင္းစစ္ </t>
  </si>
  <si>
    <t>28.2.19</t>
  </si>
  <si>
    <t xml:space="preserve">24.7.19 ကားျပန္အပ္ </t>
  </si>
  <si>
    <t xml:space="preserve">Mr Lee </t>
  </si>
  <si>
    <t>7.9.19 to 6.10.19</t>
  </si>
  <si>
    <t>01237</t>
  </si>
  <si>
    <t>7.9.19</t>
  </si>
  <si>
    <t>7.10.19 to 6.12.19</t>
  </si>
  <si>
    <t>01888</t>
  </si>
  <si>
    <t>15.11.19</t>
  </si>
  <si>
    <t>7.12.19 to 6.1.2020</t>
  </si>
  <si>
    <t>01455</t>
  </si>
  <si>
    <t>10.12.19</t>
  </si>
  <si>
    <t>7.1.2020 to 6.2.2020</t>
  </si>
  <si>
    <t>01522</t>
  </si>
  <si>
    <t>19.3.2020</t>
  </si>
  <si>
    <t>7.2.2020 to 6.3.2020</t>
  </si>
  <si>
    <t>7.3.2020 to 13.3.2020</t>
  </si>
  <si>
    <t xml:space="preserve">13.3.2020 ကားအပ္ </t>
  </si>
  <si>
    <t xml:space="preserve">Mr Du Wei Xing </t>
  </si>
  <si>
    <t>ZE2-1108710</t>
  </si>
  <si>
    <t xml:space="preserve">9H/4459 </t>
  </si>
  <si>
    <t>01482</t>
  </si>
  <si>
    <t>28.12.19</t>
  </si>
  <si>
    <t xml:space="preserve">5L/8865 Change </t>
  </si>
  <si>
    <t>28.12.19 to 27.1.2020</t>
  </si>
  <si>
    <t>28.1.2020 to 27.3.2020</t>
  </si>
  <si>
    <t>01540</t>
  </si>
  <si>
    <t>25.3.20</t>
  </si>
  <si>
    <t>28.3.2020 to 27.4.2020</t>
  </si>
  <si>
    <t>01544</t>
  </si>
  <si>
    <t>31.3.2020</t>
  </si>
  <si>
    <t>28.4.2020 to 27.5.202</t>
  </si>
  <si>
    <t>28.5.2020 to 27.6.2020</t>
  </si>
  <si>
    <t>28.6.2020 to 24.7.2020</t>
  </si>
  <si>
    <t xml:space="preserve">Mr Quo Xiuquang </t>
  </si>
  <si>
    <t>00017</t>
  </si>
  <si>
    <t>1.6.22</t>
  </si>
  <si>
    <t xml:space="preserve">1.6.22 to 31.6.22 </t>
  </si>
  <si>
    <t>1.7.22 to 30.9.22</t>
  </si>
  <si>
    <t>00172</t>
  </si>
  <si>
    <t>27.9.22</t>
  </si>
  <si>
    <t>SJ Company Ltd</t>
  </si>
  <si>
    <t>7H/1942</t>
  </si>
  <si>
    <t>0080</t>
  </si>
  <si>
    <t>25.10.23</t>
  </si>
  <si>
    <t>30.8.23 to 29.9.23</t>
  </si>
  <si>
    <t>30.9.23 to 31.3.24</t>
  </si>
  <si>
    <t>0263</t>
  </si>
  <si>
    <t>17.6.24</t>
  </si>
  <si>
    <t>KBZ MM 45.5L</t>
  </si>
  <si>
    <t>0382</t>
  </si>
  <si>
    <t>24.4.24 to 23.5.24</t>
  </si>
  <si>
    <t>ပါးခြမ်း၊ဖောင်း၊ရှေ့ဘန်ဘာ၊အရိုးအစစ်ဘော်ဒီပြုပြင်</t>
  </si>
  <si>
    <t>0411</t>
  </si>
  <si>
    <t>Kpay 999 TG Ser 6.35L+Repair 1.65L</t>
  </si>
  <si>
    <t>ရှေ့ဘီးတွင်းသဲကာ (LR)</t>
  </si>
  <si>
    <t>24.6.24 to 23.7.24</t>
  </si>
  <si>
    <t>0466</t>
  </si>
  <si>
    <t>24.6.24</t>
  </si>
  <si>
    <t>Kpay 999 TG Ser 5L+ Repair 3L</t>
  </si>
  <si>
    <t>‌အောက်အင်ဂျင်ကာဘာ(LR)</t>
  </si>
  <si>
    <t>0502</t>
  </si>
  <si>
    <t>Cash 6.6L+Repair 1.4L</t>
  </si>
  <si>
    <t>‌အောက်အင်ဂျင်ကာဘာလယ်</t>
  </si>
  <si>
    <t xml:space="preserve">Mr Liu Xiao Yun </t>
  </si>
  <si>
    <t>5P/6639</t>
  </si>
  <si>
    <t>အထြက္</t>
  </si>
  <si>
    <t xml:space="preserve">5P/6639 </t>
  </si>
  <si>
    <t>01367</t>
  </si>
  <si>
    <t>5.12.18</t>
  </si>
  <si>
    <t>9.5.16</t>
  </si>
  <si>
    <t>Alignment စစ္</t>
  </si>
  <si>
    <t xml:space="preserve">5.12.18 to 4.2.19 </t>
  </si>
  <si>
    <t>ဦးစုိး၀င္း</t>
  </si>
  <si>
    <t>5.2.19 to 4.3.19</t>
  </si>
  <si>
    <t>00975</t>
  </si>
  <si>
    <t>5.3.19</t>
  </si>
  <si>
    <t>11.5.19</t>
  </si>
  <si>
    <t>ပထမအၿကိမ္MDY သြား</t>
  </si>
  <si>
    <t>5.6.19 to 4.7.19</t>
  </si>
  <si>
    <t>01143</t>
  </si>
  <si>
    <t>11.6.19</t>
  </si>
  <si>
    <t>8.6.19</t>
  </si>
  <si>
    <t xml:space="preserve">ဒုတိယ အၿကိမ္MDY သြား </t>
  </si>
  <si>
    <t>20.6.19</t>
  </si>
  <si>
    <t>13.6.19</t>
  </si>
  <si>
    <t>ကုိေျပာင္ၾကီး ေမာင္းေၾကး</t>
  </si>
  <si>
    <t>5.7.19 to 4.8.19</t>
  </si>
  <si>
    <t>01186</t>
  </si>
  <si>
    <t>9.7.19</t>
  </si>
  <si>
    <t>ဒု -အၿကိမ္ MDY သြား လုိေငြ</t>
  </si>
  <si>
    <t>5.8.19 to 4.9.19</t>
  </si>
  <si>
    <t>00692</t>
  </si>
  <si>
    <t>15.8.19</t>
  </si>
  <si>
    <t>Insurance လိုေငြ</t>
  </si>
  <si>
    <t>5.9.19 to 4.10.19</t>
  </si>
  <si>
    <t>01234</t>
  </si>
  <si>
    <t>5.9.19</t>
  </si>
  <si>
    <t>5.10.19 to 4.11.19</t>
  </si>
  <si>
    <t>01928</t>
  </si>
  <si>
    <t>5.11.19 to 4.12.19</t>
  </si>
  <si>
    <t>01453</t>
  </si>
  <si>
    <t>6.12.19</t>
  </si>
  <si>
    <t xml:space="preserve">Transfer to KBZ MMO (201) Ac </t>
  </si>
  <si>
    <t>5.12.19 to 4.1.2020</t>
  </si>
  <si>
    <t>01551</t>
  </si>
  <si>
    <t>7.1.2020</t>
  </si>
  <si>
    <t>5.1.2020 to 4.2.2020</t>
  </si>
  <si>
    <t>01589</t>
  </si>
  <si>
    <t>5.2.2020 to 4.3.2020</t>
  </si>
  <si>
    <t>01590</t>
  </si>
  <si>
    <t>7.11.2019 Transfer to KBZ MMO (201)AC</t>
  </si>
  <si>
    <t>5.3.2020 to 4.4.2020</t>
  </si>
  <si>
    <t>01514</t>
  </si>
  <si>
    <t>11.3.2020</t>
  </si>
  <si>
    <t xml:space="preserve">11.3.2020 Transfer to KBZ MMO (201) AC </t>
  </si>
  <si>
    <t>5.4.2020 to 4.5.2020</t>
  </si>
  <si>
    <t>01845</t>
  </si>
  <si>
    <t>7.4.2020</t>
  </si>
  <si>
    <t xml:space="preserve">7.4.2020 Trasnfer to KBZ MMO (201) Ac </t>
  </si>
  <si>
    <t>5.5.2020 to 4.6.2020</t>
  </si>
  <si>
    <t>01846</t>
  </si>
  <si>
    <t>7.4.2020 Trasnfer to KBZ MMO (201) AC</t>
  </si>
  <si>
    <t>5.6.2020 to 4.7.2020</t>
  </si>
  <si>
    <t>01776</t>
  </si>
  <si>
    <t>10.6.2020</t>
  </si>
  <si>
    <t xml:space="preserve">10.6.2020 Trasnfer to KBZ Mmo (201) AC </t>
  </si>
  <si>
    <t>5.7.2020 to 4.8.2020</t>
  </si>
  <si>
    <t>00764</t>
  </si>
  <si>
    <t>9.7.2020</t>
  </si>
  <si>
    <t xml:space="preserve">9.7.2020 Trasnfer to KBZ MMO (201) AC </t>
  </si>
  <si>
    <t xml:space="preserve">Mr Liu Xiao Yun (Receivable) 23..23 (5P/6639) </t>
  </si>
  <si>
    <t>5.8.2020 to 4.10.2020</t>
  </si>
  <si>
    <t>02627</t>
  </si>
  <si>
    <t>12.4.2021</t>
  </si>
  <si>
    <t xml:space="preserve">5.8.21 to 4.8.22 </t>
  </si>
  <si>
    <t xml:space="preserve">12months*5L </t>
  </si>
  <si>
    <t>5.10.20 to 4.8.21</t>
  </si>
  <si>
    <t>00033</t>
  </si>
  <si>
    <t>18.6.22</t>
  </si>
  <si>
    <t>5.8.22 to 4.1.23</t>
  </si>
  <si>
    <t xml:space="preserve">5months*5L </t>
  </si>
  <si>
    <t xml:space="preserve">7.12.2020 T/F to KBZ MMO (201) AC </t>
  </si>
  <si>
    <t>5.1.23 to 12.1.23</t>
  </si>
  <si>
    <t>8days*16,666</t>
  </si>
  <si>
    <t>5.8.21 to14.1.23</t>
  </si>
  <si>
    <t>00346</t>
  </si>
  <si>
    <t>14.1.23</t>
  </si>
  <si>
    <t xml:space="preserve">7.12.20 MMO 201 KBZ Paid </t>
  </si>
  <si>
    <t>22.2.23 to 21.3.23</t>
  </si>
  <si>
    <t>00398</t>
  </si>
  <si>
    <t>22.2.23</t>
  </si>
  <si>
    <t>22.3.23 to 21.8.23</t>
  </si>
  <si>
    <t>0047</t>
  </si>
  <si>
    <t>6.9.23</t>
  </si>
  <si>
    <t xml:space="preserve">KBZ MM cash AC </t>
  </si>
  <si>
    <t xml:space="preserve">14.1.23 Cash </t>
  </si>
  <si>
    <t>0353</t>
  </si>
  <si>
    <t>30.3.24 Cash 20L Received</t>
  </si>
  <si>
    <t xml:space="preserve">Repair charges </t>
  </si>
  <si>
    <t>0353 Invoice Balance-6,373,328/-</t>
  </si>
  <si>
    <t xml:space="preserve">23.3.23 Kpay MMO </t>
  </si>
  <si>
    <t xml:space="preserve">4.5.23 Kpay Mmo </t>
  </si>
  <si>
    <t>30.3.24 Cash Received</t>
  </si>
  <si>
    <t xml:space="preserve">Receivable from </t>
  </si>
  <si>
    <t>ကုန္က်စရိတ္</t>
  </si>
  <si>
    <t>9.7.19 (Pay)</t>
  </si>
  <si>
    <t xml:space="preserve"> (က်န္ေငြ314500 အား5P/6639 ကားျပန္လွ်င္က်န္ေငြ 314500ေပးမည္။ကားျပန္မအပ္ျဖစ္လွ်င္5P/6639 အတြက္ Deposit 500000 က်ပ္တိတိေတာငါးရမည္     (ရွင္းျပီး 9.7.19)</t>
  </si>
  <si>
    <t>Ko Zin Min Tun</t>
  </si>
  <si>
    <t>Toyota Vitz</t>
  </si>
  <si>
    <t>SCP90-5159046</t>
  </si>
  <si>
    <t>1K/5984</t>
  </si>
  <si>
    <t>Rental deposit</t>
  </si>
  <si>
    <t>00036</t>
  </si>
  <si>
    <t>17.1.17</t>
  </si>
  <si>
    <t>Red</t>
  </si>
  <si>
    <t>18.1.17  to  27.1.17</t>
  </si>
  <si>
    <t>00062</t>
  </si>
  <si>
    <t>4.2.17</t>
  </si>
  <si>
    <t>8.2.17  to  17.2.17</t>
  </si>
  <si>
    <t>00084</t>
  </si>
  <si>
    <t>21.2.17</t>
  </si>
  <si>
    <t>18.2.17  to  27.2.17</t>
  </si>
  <si>
    <t>00098</t>
  </si>
  <si>
    <t>3.3.17</t>
  </si>
  <si>
    <t>28.2.17  to  9.3.17</t>
  </si>
  <si>
    <t>00109</t>
  </si>
  <si>
    <t>11.3.17</t>
  </si>
  <si>
    <t>10.3.17  to  19.3.17</t>
  </si>
  <si>
    <t>00129</t>
  </si>
  <si>
    <t>22.3.17</t>
  </si>
  <si>
    <t>20.3.17  to  29.3.17</t>
  </si>
  <si>
    <t>00154</t>
  </si>
  <si>
    <t>2.4.17</t>
  </si>
  <si>
    <t>30.3.17  to  8.4.17</t>
  </si>
  <si>
    <t>00170</t>
  </si>
  <si>
    <t>14.4.17</t>
  </si>
  <si>
    <t>9.4.17  to  18.4.17</t>
  </si>
  <si>
    <t>00187</t>
  </si>
  <si>
    <t>21.4.17</t>
  </si>
  <si>
    <t>19.4.17  to  28.4.17</t>
  </si>
  <si>
    <t>00180</t>
  </si>
  <si>
    <t>2.5.17</t>
  </si>
  <si>
    <t>29.4.17  to  8.5.17</t>
  </si>
  <si>
    <t>00193</t>
  </si>
  <si>
    <t>12.5.17</t>
  </si>
  <si>
    <t>9.5.17  to  18.5.17</t>
  </si>
  <si>
    <t>00219</t>
  </si>
  <si>
    <t>24.5.17</t>
  </si>
  <si>
    <t>19.5.17  to  28.5.17</t>
  </si>
  <si>
    <t>00233</t>
  </si>
  <si>
    <t>3.6.17</t>
  </si>
  <si>
    <t>29.5.17  to  7.6.17</t>
  </si>
  <si>
    <t>00250</t>
  </si>
  <si>
    <t>15.6.17</t>
  </si>
  <si>
    <t>8.6.17  to  17.6.17</t>
  </si>
  <si>
    <t>00259</t>
  </si>
  <si>
    <t>24.6.17</t>
  </si>
  <si>
    <t>18.6.17  to  27.6.17</t>
  </si>
  <si>
    <t>00287</t>
  </si>
  <si>
    <t>12.7.17</t>
  </si>
  <si>
    <t>28.6.17  to  7.7.17</t>
  </si>
  <si>
    <t>8.7.17  to  17.7.17</t>
  </si>
  <si>
    <t>00300</t>
  </si>
  <si>
    <t>26.7.17</t>
  </si>
  <si>
    <t>18.7.17  to  27.7.17</t>
  </si>
  <si>
    <t>00319</t>
  </si>
  <si>
    <t>3.8.17</t>
  </si>
  <si>
    <t>28.7.17  to  6.8.17</t>
  </si>
  <si>
    <t>00334</t>
  </si>
  <si>
    <t>14.8.17</t>
  </si>
  <si>
    <t>7.8.17  to  16.8.17</t>
  </si>
  <si>
    <t>00345</t>
  </si>
  <si>
    <t>17.8.17  to  26.8.17</t>
  </si>
  <si>
    <t>00501</t>
  </si>
  <si>
    <t>26.1.18</t>
  </si>
  <si>
    <t>27.8.17  to  7.9.17</t>
  </si>
  <si>
    <t>ကားအပ္ျပီး</t>
  </si>
  <si>
    <t>Ko Paing Zaw Myo(Rent)</t>
  </si>
  <si>
    <t>11.8.15</t>
  </si>
  <si>
    <t>03582</t>
  </si>
  <si>
    <t>အငွါးစရံေငြ</t>
  </si>
  <si>
    <t>03633</t>
  </si>
  <si>
    <t>1.9.15</t>
  </si>
  <si>
    <t>17/8/15 to 31/8/15</t>
  </si>
  <si>
    <t>03669</t>
  </si>
  <si>
    <t>21.9.15</t>
  </si>
  <si>
    <t>1/9/15 to 20/9/15</t>
  </si>
  <si>
    <t>03691</t>
  </si>
  <si>
    <t>1.10.15</t>
  </si>
  <si>
    <t>21/9/15 to 30/9/15</t>
  </si>
  <si>
    <t>03737</t>
  </si>
  <si>
    <t>21.10.15</t>
  </si>
  <si>
    <t>1/10/15 to 19/10/15</t>
  </si>
  <si>
    <t>03768</t>
  </si>
  <si>
    <t>2.11.15</t>
  </si>
  <si>
    <t>20/10/15 to 31/10/15</t>
  </si>
  <si>
    <t>03816</t>
  </si>
  <si>
    <t>1.12.15</t>
  </si>
  <si>
    <t>စရံေငြျပန္ထုတ္</t>
  </si>
  <si>
    <t>1/11/15 to 30/11/15</t>
  </si>
  <si>
    <t>03908</t>
  </si>
  <si>
    <t>5.1.16</t>
  </si>
  <si>
    <t>1/12/15 to 31/12/15</t>
  </si>
  <si>
    <t>03974</t>
  </si>
  <si>
    <t>3.2.16</t>
  </si>
  <si>
    <t>1/1/16 to 31/1/16</t>
  </si>
  <si>
    <t>01032</t>
  </si>
  <si>
    <t>3.3.16</t>
  </si>
  <si>
    <t>1/2/16 to 29/2/16</t>
  </si>
  <si>
    <t>01146</t>
  </si>
  <si>
    <t>4.4.16</t>
  </si>
  <si>
    <t>1/3/16 to 31/3/16</t>
  </si>
  <si>
    <t>01494</t>
  </si>
  <si>
    <t>1.4.16  to  30.4.16</t>
  </si>
  <si>
    <t>balance for January</t>
  </si>
  <si>
    <t>01615</t>
  </si>
  <si>
    <t>6.6.16</t>
  </si>
  <si>
    <t>1.5.16  to  31.5.16</t>
  </si>
  <si>
    <t>01751</t>
  </si>
  <si>
    <t>20.8.16</t>
  </si>
  <si>
    <t>1.8.16  to  15.8.16</t>
  </si>
  <si>
    <t>for June balance</t>
  </si>
  <si>
    <t>01793</t>
  </si>
  <si>
    <t>7.9.16</t>
  </si>
  <si>
    <t>16.8.16  to  31.8.16</t>
  </si>
  <si>
    <t>01945</t>
  </si>
  <si>
    <t>13.10.16</t>
  </si>
  <si>
    <t>1.9.16  to  30.9.16</t>
  </si>
  <si>
    <t>02028</t>
  </si>
  <si>
    <t>12.11.16</t>
  </si>
  <si>
    <t>1.10.16  to  31.10.16</t>
  </si>
  <si>
    <t>00028</t>
  </si>
  <si>
    <t>10.1.17</t>
  </si>
  <si>
    <t>1.11.16  to  30.11.16</t>
  </si>
  <si>
    <t xml:space="preserve">Ko Hla Htwe </t>
  </si>
  <si>
    <t>01989</t>
  </si>
  <si>
    <t>6.10.18</t>
  </si>
  <si>
    <t>250000-200000=Bal 50000</t>
  </si>
  <si>
    <t>16.10.18 to 30.10.18</t>
  </si>
  <si>
    <t>00910</t>
  </si>
  <si>
    <t>26.10.18</t>
  </si>
  <si>
    <t>31.10.18 to 14.11.18</t>
  </si>
  <si>
    <t>00923</t>
  </si>
  <si>
    <t>6.11.18</t>
  </si>
  <si>
    <t>15.11.18 to 29.11.18</t>
  </si>
  <si>
    <t>00943</t>
  </si>
  <si>
    <t>26.11.18</t>
  </si>
  <si>
    <t>30.11.18 to 14.12.18</t>
  </si>
  <si>
    <t>01373</t>
  </si>
  <si>
    <t>6.12.18</t>
  </si>
  <si>
    <t xml:space="preserve">15.12.18 to 29.12.18 </t>
  </si>
  <si>
    <t>01388</t>
  </si>
  <si>
    <t>24.12.18</t>
  </si>
  <si>
    <t>30.12.18 to 13.1.19</t>
  </si>
  <si>
    <t>01399</t>
  </si>
  <si>
    <t>14.1.19 to 13.2.19</t>
  </si>
  <si>
    <t>01033</t>
  </si>
  <si>
    <t>7.2.19</t>
  </si>
  <si>
    <t xml:space="preserve">168500 က်န္ </t>
  </si>
  <si>
    <t>14.2.19 to 28.2.19</t>
  </si>
  <si>
    <t>00976</t>
  </si>
  <si>
    <t>6.3.19</t>
  </si>
  <si>
    <t>1.3.19 to 15.3.19</t>
  </si>
  <si>
    <t>00991</t>
  </si>
  <si>
    <t>13.3.19</t>
  </si>
  <si>
    <t xml:space="preserve">16.3.19 to 15.4.19 </t>
  </si>
  <si>
    <t>01077</t>
  </si>
  <si>
    <t>23.4.19</t>
  </si>
  <si>
    <t xml:space="preserve">16.4.19 to 15.5.19 </t>
  </si>
  <si>
    <t>01141</t>
  </si>
  <si>
    <t xml:space="preserve">428500 က်န္ </t>
  </si>
  <si>
    <t>16.5.19 to 15.6.19</t>
  </si>
  <si>
    <t>Ko Wai Lin Tun</t>
  </si>
  <si>
    <t xml:space="preserve">29.4.18-3.5.18 </t>
  </si>
  <si>
    <t>8.5.18-12.5.18</t>
  </si>
  <si>
    <t>25.5.18-14.6.18</t>
  </si>
  <si>
    <t>00625</t>
  </si>
  <si>
    <t>16.5.18</t>
  </si>
  <si>
    <t xml:space="preserve">40000 received </t>
  </si>
  <si>
    <t>18.6.18 to 17.7.18</t>
  </si>
  <si>
    <t>01326</t>
  </si>
  <si>
    <t>22.6.18</t>
  </si>
  <si>
    <t xml:space="preserve">18.7.18 to 17.8.18 </t>
  </si>
  <si>
    <t>01268</t>
  </si>
  <si>
    <t>25.7.18</t>
  </si>
  <si>
    <t xml:space="preserve">Ko  Wai Phyo Aung </t>
  </si>
  <si>
    <t>01173</t>
  </si>
  <si>
    <t>28.6.19</t>
  </si>
  <si>
    <t>15 ရက္တခါရွင္းမည္</t>
  </si>
  <si>
    <t>01196</t>
  </si>
  <si>
    <t>29.6.19 to 13.7.19</t>
  </si>
  <si>
    <t>00675</t>
  </si>
  <si>
    <t xml:space="preserve">14.7.19 to 28.7.19 </t>
  </si>
  <si>
    <t xml:space="preserve">15.7.19 </t>
  </si>
  <si>
    <t xml:space="preserve">သက္တမ္းတိုး </t>
  </si>
  <si>
    <t>00691</t>
  </si>
  <si>
    <t>29.7.19 to 12.8.19</t>
  </si>
  <si>
    <t>01225</t>
  </si>
  <si>
    <t>13.8.19 to 27.8.19</t>
  </si>
  <si>
    <t>01923</t>
  </si>
  <si>
    <t>29.8.19 to 28.9.19</t>
  </si>
  <si>
    <t>01865</t>
  </si>
  <si>
    <t>29.9.19 to 28.10.19</t>
  </si>
  <si>
    <t>01451</t>
  </si>
  <si>
    <t>29.10.19 to 28.11.19</t>
  </si>
  <si>
    <t>ယာဥ္ျပင္ 8000 (-)</t>
  </si>
  <si>
    <t>01493</t>
  </si>
  <si>
    <t xml:space="preserve">29.11.19 to 28.12.19 </t>
  </si>
  <si>
    <t>နားရက္ (56000-)+repair charges 65000</t>
  </si>
  <si>
    <t>01576</t>
  </si>
  <si>
    <t>29.12.19 to 28.1.2020</t>
  </si>
  <si>
    <t>01515</t>
  </si>
  <si>
    <t>29.1.20 to 28.2.20</t>
  </si>
  <si>
    <t>02630</t>
  </si>
  <si>
    <t>28.4.21</t>
  </si>
  <si>
    <t>1Day*7000</t>
  </si>
  <si>
    <t>28.4.21 to 27.5.21</t>
  </si>
  <si>
    <t>01601</t>
  </si>
  <si>
    <t>28.5.21</t>
  </si>
  <si>
    <t>28.5.21 to 27.6.21</t>
  </si>
  <si>
    <t>01611</t>
  </si>
  <si>
    <t>28.6.21</t>
  </si>
  <si>
    <t>28.6.21 to 27.7.21</t>
  </si>
  <si>
    <t>01649</t>
  </si>
  <si>
    <t>14.8.21</t>
  </si>
  <si>
    <t>Transfer to KBZ MM AC (14.8.21)</t>
  </si>
  <si>
    <t>28.7.21 to 27.9.21</t>
  </si>
  <si>
    <t>11.10.21</t>
  </si>
  <si>
    <t xml:space="preserve">11.10.21 CB MM </t>
  </si>
  <si>
    <t>28.9.21 to 27.10.21</t>
  </si>
  <si>
    <t>02416</t>
  </si>
  <si>
    <t>22.11.21</t>
  </si>
  <si>
    <t xml:space="preserve">KBZ MM AC </t>
  </si>
  <si>
    <t>28.10.21 to 27.11.21</t>
  </si>
  <si>
    <t>02441</t>
  </si>
  <si>
    <t>29.12.21</t>
  </si>
  <si>
    <t>KBZ MM AC 510,000</t>
  </si>
  <si>
    <t>28.11.21 to 27.1.22</t>
  </si>
  <si>
    <t>02108</t>
  </si>
  <si>
    <t>23.3.22</t>
  </si>
  <si>
    <t>28.1.22 to 27.2.22</t>
  </si>
  <si>
    <t>02133</t>
  </si>
  <si>
    <t>19.4.22</t>
  </si>
  <si>
    <t>28.2.22 to 27.3.22</t>
  </si>
  <si>
    <t>02147</t>
  </si>
  <si>
    <t>9.5.22</t>
  </si>
  <si>
    <t>28.3.22 to 27.4.22</t>
  </si>
  <si>
    <t>00027</t>
  </si>
  <si>
    <t>13.6.22</t>
  </si>
  <si>
    <t>28.4.22 to 27.5.22</t>
  </si>
  <si>
    <t>00045</t>
  </si>
  <si>
    <t>1.7.22</t>
  </si>
  <si>
    <t>28.5.22 to 27.7.22</t>
  </si>
  <si>
    <t>00131</t>
  </si>
  <si>
    <t>10.8.22</t>
  </si>
  <si>
    <t>28.7.22 to 27.9.22</t>
  </si>
  <si>
    <t>23.9.22</t>
  </si>
  <si>
    <t>28.9.22 to 27.10.22</t>
  </si>
  <si>
    <t>00217</t>
  </si>
  <si>
    <t>1.11.22</t>
  </si>
  <si>
    <t xml:space="preserve">Gear Change Charges </t>
  </si>
  <si>
    <t>28.10.22 to 28.11.22</t>
  </si>
  <si>
    <t>00308</t>
  </si>
  <si>
    <t>10.12.22</t>
  </si>
  <si>
    <t>Kpay MM 310,000</t>
  </si>
  <si>
    <t>28.11.22 to 27.12.22</t>
  </si>
  <si>
    <t>00353</t>
  </si>
  <si>
    <t>15.1.23</t>
  </si>
  <si>
    <t>28.12.12 to 27.1.23</t>
  </si>
  <si>
    <t>00391</t>
  </si>
  <si>
    <t>15.2.23</t>
  </si>
  <si>
    <t xml:space="preserve">Dis </t>
  </si>
  <si>
    <t xml:space="preserve">28.1.23 to 27.2.23 </t>
  </si>
  <si>
    <t>00484</t>
  </si>
  <si>
    <t>17.3.23</t>
  </si>
  <si>
    <t xml:space="preserve">28.2.23 to 27.4.23 </t>
  </si>
  <si>
    <t>00485</t>
  </si>
  <si>
    <t>2.5.23</t>
  </si>
  <si>
    <t xml:space="preserve">28.4.23 to 27.7.23 </t>
  </si>
  <si>
    <t>0003</t>
  </si>
  <si>
    <t>21.7.23</t>
  </si>
  <si>
    <t xml:space="preserve">Kpay MM Ac </t>
  </si>
  <si>
    <t>28.7.23 to 27.11.23</t>
  </si>
  <si>
    <t>0250</t>
  </si>
  <si>
    <t>28.2.24</t>
  </si>
  <si>
    <t>28.11.23 to 27.2.24</t>
  </si>
  <si>
    <t>0380</t>
  </si>
  <si>
    <t>28.2.24 to 27.4.24</t>
  </si>
  <si>
    <t>0443</t>
  </si>
  <si>
    <t>7.6.24</t>
  </si>
  <si>
    <t>28.4.24 to 27.6.24</t>
  </si>
  <si>
    <t>0476</t>
  </si>
  <si>
    <t>0522</t>
  </si>
  <si>
    <t>2.8.24</t>
  </si>
  <si>
    <t>U Thein Zaw</t>
  </si>
  <si>
    <t>7N/1797</t>
  </si>
  <si>
    <t>4.8.17  to  3.11.17</t>
  </si>
  <si>
    <t>00311 &amp; 00320</t>
  </si>
  <si>
    <t>31.7.17</t>
  </si>
  <si>
    <t>4.11.17  to  3.2.18</t>
  </si>
  <si>
    <t>31.10.17</t>
  </si>
  <si>
    <t>4.2.18 to 3.4.18</t>
  </si>
  <si>
    <t>00508</t>
  </si>
  <si>
    <t>3.2.18</t>
  </si>
  <si>
    <t>4.4.18 to 3.6.18</t>
  </si>
  <si>
    <t>00573</t>
  </si>
  <si>
    <t>29.3.18</t>
  </si>
  <si>
    <t>4.8.18 to 3.9.18</t>
  </si>
  <si>
    <t>01961</t>
  </si>
  <si>
    <t>3.8.18</t>
  </si>
  <si>
    <t>4.9.18 to 3.10.18</t>
  </si>
  <si>
    <t>01297</t>
  </si>
  <si>
    <t>5.9.18</t>
  </si>
  <si>
    <t>4.10.18 to 3.11.18</t>
  </si>
  <si>
    <t>01985</t>
  </si>
  <si>
    <t>3.10.18</t>
  </si>
  <si>
    <t>4.11.18 to 3.12.18</t>
  </si>
  <si>
    <t>00926</t>
  </si>
  <si>
    <t>350000-Dis30000-Baterry47000</t>
  </si>
  <si>
    <t>4.12.18 to 3.1.19</t>
  </si>
  <si>
    <t>01372</t>
  </si>
  <si>
    <t>4.1.19 to 3.2.19</t>
  </si>
  <si>
    <t>00954</t>
  </si>
  <si>
    <t>9.1.19</t>
  </si>
  <si>
    <t>transfer to Ko Min Myat AC</t>
  </si>
  <si>
    <t>4.2.19 to 3.3.19</t>
  </si>
  <si>
    <t>01035</t>
  </si>
  <si>
    <t>8.2.19</t>
  </si>
  <si>
    <t>00977</t>
  </si>
  <si>
    <t>01067</t>
  </si>
  <si>
    <t>3.4.19</t>
  </si>
  <si>
    <t>4.5.19 to 3.6.19</t>
  </si>
  <si>
    <t>01090</t>
  </si>
  <si>
    <t>6.5.19</t>
  </si>
  <si>
    <t>01129</t>
  </si>
  <si>
    <t>6.6.19</t>
  </si>
  <si>
    <t>4.7.19 to 3.8.19</t>
  </si>
  <si>
    <t>01179</t>
  </si>
  <si>
    <t>5.7.19</t>
  </si>
  <si>
    <t>4.8.19 to 3.9.19</t>
  </si>
  <si>
    <t>00676</t>
  </si>
  <si>
    <t>31.7.19</t>
  </si>
  <si>
    <t>4.9.19 to 3.10.19</t>
  </si>
  <si>
    <t>01909</t>
  </si>
  <si>
    <t>6.9.19</t>
  </si>
  <si>
    <t xml:space="preserve">4.10.19 to 3.11.19 </t>
  </si>
  <si>
    <t>01924</t>
  </si>
  <si>
    <t>4.11.19 to 3.12.19</t>
  </si>
  <si>
    <t>01871</t>
  </si>
  <si>
    <t>8.11.19</t>
  </si>
  <si>
    <t>4.12.19 to 3.1.2020</t>
  </si>
  <si>
    <t>01496</t>
  </si>
  <si>
    <t>8.1.2020</t>
  </si>
  <si>
    <t>4.1.2020 to 3.2.2020</t>
  </si>
  <si>
    <t>01575</t>
  </si>
  <si>
    <t>5.2.2020</t>
  </si>
  <si>
    <t>4.2.2020 to 3.3.2020</t>
  </si>
  <si>
    <t>01512</t>
  </si>
  <si>
    <t>10.3.2020</t>
  </si>
  <si>
    <t>4.3.2020 to 3.4.2020</t>
  </si>
  <si>
    <t>01542</t>
  </si>
  <si>
    <t>4.4.2020 to 3.5.2020</t>
  </si>
  <si>
    <t>01822</t>
  </si>
  <si>
    <t>4.5.2020</t>
  </si>
  <si>
    <t>4.5.2020 to 3.6.2020</t>
  </si>
  <si>
    <t>01752</t>
  </si>
  <si>
    <t>4.6.2020</t>
  </si>
  <si>
    <t>4.6.2020 to 3.7.2020</t>
  </si>
  <si>
    <t>00752</t>
  </si>
  <si>
    <t>3.7.2020</t>
  </si>
  <si>
    <t>4.6.2020 to 3.8.2020</t>
  </si>
  <si>
    <t>2.12.2019</t>
  </si>
  <si>
    <t xml:space="preserve">Refund </t>
  </si>
  <si>
    <t xml:space="preserve">Ko Myat Min Paing </t>
  </si>
  <si>
    <t>01352</t>
  </si>
  <si>
    <t>24.8.2020</t>
  </si>
  <si>
    <t>24.8.20 to 23.9.20</t>
  </si>
  <si>
    <t>24.9.20 to 23.10.20</t>
  </si>
  <si>
    <t>01378</t>
  </si>
  <si>
    <t>24.9.2020</t>
  </si>
  <si>
    <t>24.10.20 to 23.11.20</t>
  </si>
  <si>
    <t>01384</t>
  </si>
  <si>
    <t>26.10.20</t>
  </si>
  <si>
    <t>24.11.20 to 23.12.20</t>
  </si>
  <si>
    <t>02507</t>
  </si>
  <si>
    <t>26.11.20</t>
  </si>
  <si>
    <t>24.12.20 to 23.1.2021</t>
  </si>
  <si>
    <t>02526</t>
  </si>
  <si>
    <t>31.12.20</t>
  </si>
  <si>
    <t>24.1.2021 to 23.2.2021</t>
  </si>
  <si>
    <t>02601</t>
  </si>
  <si>
    <t>2.2.21</t>
  </si>
  <si>
    <t>24.2.2021 to 23.3.2021</t>
  </si>
  <si>
    <t>02609</t>
  </si>
  <si>
    <t>24.3.2021 to 23.3.2022</t>
  </si>
  <si>
    <t xml:space="preserve">12 Yrs </t>
  </si>
  <si>
    <t xml:space="preserve">2023 (April) </t>
  </si>
  <si>
    <t xml:space="preserve">Kpay Mmo </t>
  </si>
  <si>
    <t xml:space="preserve">2023 (May,June) </t>
  </si>
  <si>
    <t xml:space="preserve">Engine Oil Change </t>
  </si>
  <si>
    <t xml:space="preserve">2023 (July) </t>
  </si>
  <si>
    <t>5.8.23</t>
  </si>
  <si>
    <t xml:space="preserve">2023 (Aug) </t>
  </si>
  <si>
    <t>24.2.24 to 23.4..24</t>
  </si>
  <si>
    <t>0394</t>
  </si>
  <si>
    <t>0467</t>
  </si>
  <si>
    <t>0489</t>
  </si>
  <si>
    <t xml:space="preserve">Mr Xing Xiang Yang </t>
  </si>
  <si>
    <t xml:space="preserve">MT8BABN17HL000514 </t>
  </si>
  <si>
    <t xml:space="preserve">1P/1210 </t>
  </si>
  <si>
    <t xml:space="preserve">3.4.23 to 2.10.23 </t>
  </si>
  <si>
    <t>00454</t>
  </si>
  <si>
    <t>00457</t>
  </si>
  <si>
    <t>5.4.23</t>
  </si>
  <si>
    <t xml:space="preserve">Mr Zhou Jiming </t>
  </si>
  <si>
    <t>0069</t>
  </si>
  <si>
    <t>9.10.23</t>
  </si>
  <si>
    <t>9.10.23 to 8.11.23</t>
  </si>
  <si>
    <t>9.11.23 to 8.12.23</t>
  </si>
  <si>
    <t>0152</t>
  </si>
  <si>
    <t>13.11.23</t>
  </si>
  <si>
    <t>9.12.23 to 8.1.24</t>
  </si>
  <si>
    <t>0177</t>
  </si>
  <si>
    <t>13.12.23</t>
  </si>
  <si>
    <t>9.1.24 to 8.2.24</t>
  </si>
  <si>
    <t>0208</t>
  </si>
  <si>
    <t>10.1.24</t>
  </si>
  <si>
    <t>0236</t>
  </si>
  <si>
    <t>9.3.24 to 8.4.24</t>
  </si>
  <si>
    <t>0268</t>
  </si>
  <si>
    <t>9.3.24</t>
  </si>
  <si>
    <t>0381</t>
  </si>
  <si>
    <t>9.5.24 to 8.6.24</t>
  </si>
  <si>
    <t>0401</t>
  </si>
  <si>
    <t>17.5.24</t>
  </si>
  <si>
    <t>9.6.24 to 8.7.24</t>
  </si>
  <si>
    <t>0454</t>
  </si>
  <si>
    <t>0481</t>
  </si>
  <si>
    <t>Mr Jin Chenglin</t>
  </si>
  <si>
    <t xml:space="preserve">Suuny </t>
  </si>
  <si>
    <t>9N/2999</t>
  </si>
  <si>
    <t>01965</t>
  </si>
  <si>
    <t>12.9.18</t>
  </si>
  <si>
    <t>12.9.18 to 11.10.18</t>
  </si>
  <si>
    <t xml:space="preserve">12.10.18 to 11.12.18 </t>
  </si>
  <si>
    <t>00921</t>
  </si>
  <si>
    <t xml:space="preserve">11 days refund </t>
  </si>
  <si>
    <t>1.11.18 to 11.11.18</t>
  </si>
  <si>
    <t xml:space="preserve">Refund deposit </t>
  </si>
  <si>
    <t xml:space="preserve">30.11.18 ကားျပန္အပ္ </t>
  </si>
  <si>
    <t xml:space="preserve">Golden Enchant Co., Ltd </t>
  </si>
  <si>
    <t>01003</t>
  </si>
  <si>
    <t>10.1.19</t>
  </si>
  <si>
    <t>KM:11099</t>
  </si>
  <si>
    <t xml:space="preserve">10.1.19 to 9.3.19 </t>
  </si>
  <si>
    <t>9.3.19 ျပန္အပ္</t>
  </si>
  <si>
    <t xml:space="preserve">Myanmar Life </t>
  </si>
  <si>
    <t>00992</t>
  </si>
  <si>
    <t>18.3.19</t>
  </si>
  <si>
    <t>18.3.19 to 17.4.19</t>
  </si>
  <si>
    <t>18.4.19 to 17.5.19</t>
  </si>
  <si>
    <t>01078</t>
  </si>
  <si>
    <t>24.4.19</t>
  </si>
  <si>
    <t>transfer to KBZ call AC</t>
  </si>
  <si>
    <t>18.5.19 to 17.6.19</t>
  </si>
  <si>
    <t>01115</t>
  </si>
  <si>
    <t>24.5.19</t>
  </si>
  <si>
    <t>18.6.19 to 17.7.19</t>
  </si>
  <si>
    <t>01161</t>
  </si>
  <si>
    <t>18.7.19 to 17.8.19</t>
  </si>
  <si>
    <t>01197</t>
  </si>
  <si>
    <t>17.7.19</t>
  </si>
  <si>
    <t>18.8.19 to 17.9.19</t>
  </si>
  <si>
    <t>01202</t>
  </si>
  <si>
    <t>22.8.19</t>
  </si>
  <si>
    <t>transfer to KBZ call AC 19.8.19</t>
  </si>
  <si>
    <t>18.9.19 to 17.10.19</t>
  </si>
  <si>
    <t>01911</t>
  </si>
  <si>
    <t>18.9.19</t>
  </si>
  <si>
    <t>18.10.19 to 17.11.19</t>
  </si>
  <si>
    <t>01944</t>
  </si>
  <si>
    <t>21.10.19</t>
  </si>
  <si>
    <t xml:space="preserve">transfer to KBZ call AC </t>
  </si>
  <si>
    <t>18.11.19 to 17.12.19</t>
  </si>
  <si>
    <t>01891</t>
  </si>
  <si>
    <t>19.11.19</t>
  </si>
  <si>
    <t xml:space="preserve">18.11.19 trasfer to KBZ 999 AC </t>
  </si>
  <si>
    <t>18.12.19 to 17.1.20</t>
  </si>
  <si>
    <t>01464</t>
  </si>
  <si>
    <t>21.12.19</t>
  </si>
  <si>
    <t xml:space="preserve">21.12.19 Transfer to KBz 999 AC </t>
  </si>
  <si>
    <t>18.1.20 to 17.2.20</t>
  </si>
  <si>
    <t>01554</t>
  </si>
  <si>
    <t>15.1.2020</t>
  </si>
  <si>
    <t xml:space="preserve">15.1.20 Transfer to KBZ 999 AC </t>
  </si>
  <si>
    <t>18.2.20 to 17.3.20</t>
  </si>
  <si>
    <t>23.3.2020</t>
  </si>
  <si>
    <t>18.2.20 Trasnfer to KBZ 999 AC</t>
  </si>
  <si>
    <t>18.3.20 to 17.4.20</t>
  </si>
  <si>
    <t>01538</t>
  </si>
  <si>
    <t>30.3.2020</t>
  </si>
  <si>
    <t>30.3.20 Trasnfer to KBZ 999 AC</t>
  </si>
  <si>
    <t>18.4.20 to 17.5.20</t>
  </si>
  <si>
    <t>01816</t>
  </si>
  <si>
    <t>27.4.2020</t>
  </si>
  <si>
    <t xml:space="preserve">30.4.20 Trasfer to KBZ 999 AC </t>
  </si>
  <si>
    <t>18.5.20 to 17.6.20</t>
  </si>
  <si>
    <t>01766</t>
  </si>
  <si>
    <t>29.5.20</t>
  </si>
  <si>
    <t>29.5.20 Trasnfer to KBZ 99 AC</t>
  </si>
  <si>
    <t xml:space="preserve">Refund Depsoit </t>
  </si>
  <si>
    <t>17.6.20</t>
  </si>
  <si>
    <t xml:space="preserve">Mr Mo Enging </t>
  </si>
  <si>
    <t>02113</t>
  </si>
  <si>
    <t>1.3.22</t>
  </si>
  <si>
    <t xml:space="preserve">1.3.22 to 31.3.22 </t>
  </si>
  <si>
    <t>1.4.22 to 30.4.22</t>
  </si>
  <si>
    <t>02122</t>
  </si>
  <si>
    <t>30.3.22</t>
  </si>
  <si>
    <t xml:space="preserve">1.5.22 to 30.5.22 </t>
  </si>
  <si>
    <t>02141</t>
  </si>
  <si>
    <t>30.4.22</t>
  </si>
  <si>
    <t>1.6.22 to 30.6.22</t>
  </si>
  <si>
    <t>00007</t>
  </si>
  <si>
    <t>23.5.22</t>
  </si>
  <si>
    <t>1.7.22 to 31.7.22</t>
  </si>
  <si>
    <t>00037</t>
  </si>
  <si>
    <t>00112</t>
  </si>
  <si>
    <t>25.7.22</t>
  </si>
  <si>
    <t xml:space="preserve">Mr Su YongJie </t>
  </si>
  <si>
    <t>00173</t>
  </si>
  <si>
    <t>27.9.22 to 26.11.22</t>
  </si>
  <si>
    <t>27.11.22 to 26.1.23</t>
  </si>
  <si>
    <t>00348</t>
  </si>
  <si>
    <t>13.1.23</t>
  </si>
  <si>
    <t xml:space="preserve">Kpay MM AC 10L+4L </t>
  </si>
  <si>
    <t>27.1.23 to 26.2.23</t>
  </si>
  <si>
    <t>00404</t>
  </si>
  <si>
    <t>1.3.23</t>
  </si>
  <si>
    <t>Kpay MM AC 3L*5</t>
  </si>
  <si>
    <t>27.2.23 to 26.3.23</t>
  </si>
  <si>
    <t xml:space="preserve">13days </t>
  </si>
  <si>
    <t xml:space="preserve">13.3.23 ကားအပ္ </t>
  </si>
  <si>
    <t xml:space="preserve">Mr Zhu Qinglei </t>
  </si>
  <si>
    <t>00422</t>
  </si>
  <si>
    <t>20.3.23 to 19.5.23</t>
  </si>
  <si>
    <t>00425</t>
  </si>
  <si>
    <t>20.3.23</t>
  </si>
  <si>
    <t>0383</t>
  </si>
  <si>
    <t>KTP Kpay AC (Thar Kaw Used)</t>
  </si>
  <si>
    <t xml:space="preserve">Mr Chen Naiwen </t>
  </si>
  <si>
    <t>Ractis</t>
  </si>
  <si>
    <t>7P/6171</t>
  </si>
  <si>
    <t>3.10.18 to 2.1.19</t>
  </si>
  <si>
    <t>01976</t>
  </si>
  <si>
    <t>450000*3months</t>
  </si>
  <si>
    <t xml:space="preserve">3.1.19 to 2.2.19 </t>
  </si>
  <si>
    <t>01392</t>
  </si>
  <si>
    <t>2.1.19</t>
  </si>
  <si>
    <t>25.1.19 ကားျပန္အပ္</t>
  </si>
  <si>
    <t xml:space="preserve">Ko Min Khant Nyar </t>
  </si>
  <si>
    <t>01018</t>
  </si>
  <si>
    <t>28.1.19</t>
  </si>
  <si>
    <t xml:space="preserve">28.1.19 to 27.2.19 </t>
  </si>
  <si>
    <t>28.2.19 to 27.3.19</t>
  </si>
  <si>
    <t>1.3.19</t>
  </si>
  <si>
    <t>28.3.19 to 27.4.19</t>
  </si>
  <si>
    <t>01066</t>
  </si>
  <si>
    <t>Insight (4Q/5906)နွင့္ခ်ိန္း  (3.4.19)</t>
  </si>
  <si>
    <t>5.4.19 to 4.6.19</t>
  </si>
  <si>
    <t>01070</t>
  </si>
  <si>
    <t>5.4.19</t>
  </si>
  <si>
    <t xml:space="preserve">Xiao Jian Zheng </t>
  </si>
  <si>
    <t>1.7.19 to 31.7.19</t>
  </si>
  <si>
    <t>01175</t>
  </si>
  <si>
    <t>1.7.19</t>
  </si>
  <si>
    <t>1.8.19 to 5.8.19 (5days*16000)</t>
  </si>
  <si>
    <t xml:space="preserve">6.8.19 ကားအပ္ </t>
  </si>
  <si>
    <t xml:space="preserve">Mr Zhang Jingshun </t>
  </si>
  <si>
    <t xml:space="preserve">Depsot </t>
  </si>
  <si>
    <t>01459</t>
  </si>
  <si>
    <t>14.12.19</t>
  </si>
  <si>
    <t>14.12.19 to 13.1.20</t>
  </si>
  <si>
    <t>14.1.2020 ကားျပန္အပ္</t>
  </si>
  <si>
    <t>14.1.2020</t>
  </si>
  <si>
    <t xml:space="preserve">Mr Yang Yu Long </t>
  </si>
  <si>
    <t>01510</t>
  </si>
  <si>
    <t>4.3.20</t>
  </si>
  <si>
    <t>5L/4960 ခ်ိန္း</t>
  </si>
  <si>
    <t>4.3.20 to 3.4.20</t>
  </si>
  <si>
    <t xml:space="preserve">Mr Matthew James </t>
  </si>
  <si>
    <t>05.09.2020 to 04.03.2021</t>
  </si>
  <si>
    <t>01361</t>
  </si>
  <si>
    <t>05.09.2020</t>
  </si>
  <si>
    <t xml:space="preserve">R1345 </t>
  </si>
  <si>
    <t>05.03.2021 to 28.06.2021</t>
  </si>
  <si>
    <t>01610</t>
  </si>
  <si>
    <t>28.6.2021</t>
  </si>
  <si>
    <t>USD 900*R1600</t>
  </si>
  <si>
    <t xml:space="preserve">28.6.2021 ကားအပ္ျပီး </t>
  </si>
  <si>
    <t xml:space="preserve">Mr Ma Andong </t>
  </si>
  <si>
    <t>02140</t>
  </si>
  <si>
    <t>29.4.22</t>
  </si>
  <si>
    <t xml:space="preserve">29.4.22 to 28.5.22 </t>
  </si>
  <si>
    <t>29.5.22 to 13.7.22</t>
  </si>
  <si>
    <t>00103</t>
  </si>
  <si>
    <t>13.7.22</t>
  </si>
  <si>
    <t xml:space="preserve">13.7.22 ကားအပ္ျပီး </t>
  </si>
  <si>
    <t>00138</t>
  </si>
  <si>
    <t>23.8.22</t>
  </si>
  <si>
    <t xml:space="preserve">23.8.22 to 22.9.22 </t>
  </si>
  <si>
    <t>23.9.22 to 16.10.22</t>
  </si>
  <si>
    <t>00201</t>
  </si>
  <si>
    <t>16.10.22</t>
  </si>
  <si>
    <t xml:space="preserve">Reund Deposit </t>
  </si>
  <si>
    <t xml:space="preserve">16.10.22 ကားအပ္ျပီး </t>
  </si>
  <si>
    <t xml:space="preserve">Return </t>
  </si>
  <si>
    <t xml:space="preserve">Ko Tint </t>
  </si>
  <si>
    <t>00318</t>
  </si>
  <si>
    <t>27.12.22 to 26.1.23</t>
  </si>
  <si>
    <t>00385</t>
  </si>
  <si>
    <t>11.2.23</t>
  </si>
  <si>
    <t>00417</t>
  </si>
  <si>
    <t>11.3.23</t>
  </si>
  <si>
    <t xml:space="preserve">27.3.23 to 26.5.23 </t>
  </si>
  <si>
    <t>00495</t>
  </si>
  <si>
    <t>4.5.23</t>
  </si>
  <si>
    <t>27.5.23 to 26.6.23</t>
  </si>
  <si>
    <t>00562</t>
  </si>
  <si>
    <t>21.6.23</t>
  </si>
  <si>
    <t>27.6.23 to 26.8.23</t>
  </si>
  <si>
    <t>0090</t>
  </si>
  <si>
    <t>4.9.23</t>
  </si>
  <si>
    <t xml:space="preserve">4.9.23 Kpay MM </t>
  </si>
  <si>
    <t>U Zaw Lin Aung</t>
  </si>
  <si>
    <t>27.11.23 to 13.12.23</t>
  </si>
  <si>
    <t>0179</t>
  </si>
  <si>
    <t>Ma Phyu Phyu Moe / Ms Yu Lan Juan</t>
  </si>
  <si>
    <t>0191</t>
  </si>
  <si>
    <t>23.12.23</t>
  </si>
  <si>
    <t>Ma Win Moe Khine</t>
  </si>
  <si>
    <t>Toyota Mark II</t>
  </si>
  <si>
    <t>GX110-6012668</t>
  </si>
  <si>
    <t>1G/8399</t>
  </si>
  <si>
    <t>(3)days*30000</t>
  </si>
  <si>
    <t>7.3.18</t>
  </si>
  <si>
    <t>00561</t>
  </si>
  <si>
    <t>6.3.18</t>
  </si>
  <si>
    <t>8.3.18</t>
  </si>
  <si>
    <t>9.3.18</t>
  </si>
  <si>
    <t>Mr.Yang Chang Chang</t>
  </si>
  <si>
    <t>Toyota Mark 2</t>
  </si>
  <si>
    <t>16.12.17</t>
  </si>
  <si>
    <t>16.12.17  to  15.1.18</t>
  </si>
  <si>
    <t>16.1.18  to  15.2.18</t>
  </si>
  <si>
    <t>repay deposit (for 1G/8399)</t>
  </si>
  <si>
    <t>(11.2.18) ကားအပ္ျပီး</t>
  </si>
  <si>
    <t xml:space="preserve">Du Wei Xing </t>
  </si>
  <si>
    <t xml:space="preserve">10.5.18 to 9.6.18 </t>
  </si>
  <si>
    <t>00611</t>
  </si>
  <si>
    <t>10.5.18</t>
  </si>
  <si>
    <t xml:space="preserve">U Thein Shwe </t>
  </si>
  <si>
    <t xml:space="preserve">Mark II </t>
  </si>
  <si>
    <t>26.6.18 to 25.7.18</t>
  </si>
  <si>
    <t>12.7.18</t>
  </si>
  <si>
    <t xml:space="preserve">Transfer to KBZ MMO AC </t>
  </si>
  <si>
    <t>26.7.18 to 25.8.18</t>
  </si>
  <si>
    <t>26.8.18 to 25.9.18</t>
  </si>
  <si>
    <t>16.10.18</t>
  </si>
  <si>
    <t>26.9.18 to 25.10.18</t>
  </si>
  <si>
    <t>10.12.18</t>
  </si>
  <si>
    <t xml:space="preserve">26.10.18 to 25.11.18 </t>
  </si>
  <si>
    <t>013390</t>
  </si>
  <si>
    <t>28.12.18</t>
  </si>
  <si>
    <t>26.11.18 to 25.1.19</t>
  </si>
  <si>
    <t>01000</t>
  </si>
  <si>
    <t>26.3.19</t>
  </si>
  <si>
    <t xml:space="preserve">26.1.19 to 25.2.19 </t>
  </si>
  <si>
    <t>01121</t>
  </si>
  <si>
    <t>29.5.19</t>
  </si>
  <si>
    <t>26.2.19 to 25.3.19</t>
  </si>
  <si>
    <t>01162</t>
  </si>
  <si>
    <t>24.6.19</t>
  </si>
  <si>
    <t>26.3.19 to 25.5.19</t>
  </si>
  <si>
    <t>01454</t>
  </si>
  <si>
    <t xml:space="preserve">27.9.19(5L) &amp; 26.11.19(5L) Trasnfer to KBZ MMO </t>
  </si>
  <si>
    <t>26.5.19 to 25.7.19</t>
  </si>
  <si>
    <t>01487</t>
  </si>
  <si>
    <t>1.2.2020</t>
  </si>
  <si>
    <t xml:space="preserve">cash </t>
  </si>
  <si>
    <t>Nissan March</t>
  </si>
  <si>
    <t>6L/2250</t>
  </si>
  <si>
    <t>8.7.16  to  7.8.16</t>
  </si>
  <si>
    <t>16.8.16</t>
  </si>
  <si>
    <t>8.8.16  to  7.9.16</t>
  </si>
  <si>
    <t>01792</t>
  </si>
  <si>
    <t>8.9.16  to  7.10.16</t>
  </si>
  <si>
    <t>02025</t>
  </si>
  <si>
    <t>8.10.16  to  7.11.16</t>
  </si>
  <si>
    <t>8.11.16  to  7.12.16</t>
  </si>
  <si>
    <t>02666</t>
  </si>
  <si>
    <t>10.12.16</t>
  </si>
  <si>
    <t>8.12.16  to  7.1.17</t>
  </si>
  <si>
    <t>00065</t>
  </si>
  <si>
    <t>6.2.17</t>
  </si>
  <si>
    <t>8.1.16  to  7.2.17</t>
  </si>
  <si>
    <t>8.2.17  to  7.3.17</t>
  </si>
  <si>
    <t>00135</t>
  </si>
  <si>
    <t>24.3.17</t>
  </si>
  <si>
    <t>8.3.17  to  7.4.17</t>
  </si>
  <si>
    <t>00190</t>
  </si>
  <si>
    <t>9.5.17</t>
  </si>
  <si>
    <t>8.4.17  to  7.5.17</t>
  </si>
  <si>
    <t>8.5.17  to  7.6.17</t>
  </si>
  <si>
    <t>00278</t>
  </si>
  <si>
    <t>6.7.17</t>
  </si>
  <si>
    <t>8.6.17  to  7.7.17</t>
  </si>
  <si>
    <t>8.7.17  to  7.8.17</t>
  </si>
  <si>
    <t>00329</t>
  </si>
  <si>
    <t>8.8.17</t>
  </si>
  <si>
    <t>8.8.17  to  7.9.17</t>
  </si>
  <si>
    <t>00399</t>
  </si>
  <si>
    <t>11.10.17</t>
  </si>
  <si>
    <t>8.9.17  to  7.10.17</t>
  </si>
  <si>
    <t>8.10.17  to  7.11.17</t>
  </si>
  <si>
    <t>9.12.17</t>
  </si>
  <si>
    <t>8.11.17  to  7.12.17</t>
  </si>
  <si>
    <t>8.12.17 to 7.1.18</t>
  </si>
  <si>
    <t>00529</t>
  </si>
  <si>
    <t>13.2.18</t>
  </si>
  <si>
    <t>8.1.18 to 7.2.18</t>
  </si>
  <si>
    <t>8.2.18 to 7.2.18</t>
  </si>
  <si>
    <t>00567</t>
  </si>
  <si>
    <t>12.3.18</t>
  </si>
  <si>
    <t xml:space="preserve">8.3.18 to 7.4.18 </t>
  </si>
  <si>
    <t>00618</t>
  </si>
  <si>
    <t>8.5.18 to 7.6.18</t>
  </si>
  <si>
    <t>00569</t>
  </si>
  <si>
    <t>8.6.18 to 7.7.18</t>
  </si>
  <si>
    <t>01342</t>
  </si>
  <si>
    <t>6.7.18</t>
  </si>
  <si>
    <t>8.7.18 to 7.8.18</t>
  </si>
  <si>
    <t>8.8.18 to 7.10.18</t>
  </si>
  <si>
    <t>01966</t>
  </si>
  <si>
    <t>6.9.18</t>
  </si>
  <si>
    <t>8.10.18 to 7.11.18</t>
  </si>
  <si>
    <t>00930</t>
  </si>
  <si>
    <t>12.11.18</t>
  </si>
  <si>
    <t>8.11.18 to 7.12.18</t>
  </si>
  <si>
    <t>00940</t>
  </si>
  <si>
    <t>15.11.18</t>
  </si>
  <si>
    <t xml:space="preserve">8.12.18 to 7.2.19 </t>
  </si>
  <si>
    <t>00960</t>
  </si>
  <si>
    <t>14.1.19</t>
  </si>
  <si>
    <t>8.2.19 to 7.4.19</t>
  </si>
  <si>
    <t>00978</t>
  </si>
  <si>
    <t>7.3.19</t>
  </si>
  <si>
    <t>8.4.19 to 7.7.19</t>
  </si>
  <si>
    <t>01168</t>
  </si>
  <si>
    <t>26.6.19</t>
  </si>
  <si>
    <t>8.7.19 to 7.10.19</t>
  </si>
  <si>
    <t>01941</t>
  </si>
  <si>
    <t>18.10.19</t>
  </si>
  <si>
    <t>8.10.19 to 7.1.20</t>
  </si>
  <si>
    <t>01833</t>
  </si>
  <si>
    <t>8.5.2020</t>
  </si>
  <si>
    <t>150000 Bal</t>
  </si>
  <si>
    <t>01787</t>
  </si>
  <si>
    <t>18.6.2020</t>
  </si>
  <si>
    <t xml:space="preserve">15.6.2020 transfer to KBZ 999 AC </t>
  </si>
  <si>
    <t>8.1.20 to 7.6.20</t>
  </si>
  <si>
    <t xml:space="preserve">Expense for Ka Nya Na </t>
  </si>
  <si>
    <t>8.6.20 to 7.9.20</t>
  </si>
  <si>
    <t>01358</t>
  </si>
  <si>
    <t>2.9.2020</t>
  </si>
  <si>
    <t>26.7.2020 2.5L+2.9.2020 4L</t>
  </si>
  <si>
    <t xml:space="preserve">8.9.20 to 7.3.21 </t>
  </si>
  <si>
    <t>02603</t>
  </si>
  <si>
    <t>3.2.21</t>
  </si>
  <si>
    <t>8.3.21 to 7.7.21</t>
  </si>
  <si>
    <t>01609</t>
  </si>
  <si>
    <t>12.6.21</t>
  </si>
  <si>
    <t>8.7.21 to 7.12.21</t>
  </si>
  <si>
    <t>02408</t>
  </si>
  <si>
    <t>3.11.21</t>
  </si>
  <si>
    <t xml:space="preserve">Mr Wu Jian Qing </t>
  </si>
  <si>
    <t>6K/9464</t>
  </si>
  <si>
    <t xml:space="preserve">Depost </t>
  </si>
  <si>
    <t>00548</t>
  </si>
  <si>
    <t>10.6.23</t>
  </si>
  <si>
    <t>10.7.23 to 9.10.23</t>
  </si>
  <si>
    <t>0083</t>
  </si>
  <si>
    <t>13.10.23</t>
  </si>
  <si>
    <t xml:space="preserve">Mr Lee Yew Huat </t>
  </si>
  <si>
    <t>Chaissis No</t>
  </si>
  <si>
    <t>0099</t>
  </si>
  <si>
    <t>11.11.23</t>
  </si>
  <si>
    <t>11.11.23 to 10.12.23</t>
  </si>
  <si>
    <t>11.12.23 to 10.1.24</t>
  </si>
  <si>
    <t>0174</t>
  </si>
  <si>
    <t>11.12.23</t>
  </si>
  <si>
    <t>11.1.24 to 10.2.24</t>
  </si>
  <si>
    <t>0209</t>
  </si>
  <si>
    <t>12.1.24</t>
  </si>
  <si>
    <t>11.2.24 to 10.3.24</t>
  </si>
  <si>
    <t>0232</t>
  </si>
  <si>
    <t>5.2.24</t>
  </si>
  <si>
    <t>MM KBZ AC</t>
  </si>
  <si>
    <t>0271</t>
  </si>
  <si>
    <t>12.3.24</t>
  </si>
  <si>
    <t>28.3.24 ကားအပ်ပြီး</t>
  </si>
  <si>
    <t>Car Repair Charges</t>
  </si>
  <si>
    <t>0355</t>
  </si>
  <si>
    <t>Receiver Dryer</t>
  </si>
  <si>
    <t>R134a Gas Charge Air Con Service</t>
  </si>
  <si>
    <t>0111</t>
  </si>
  <si>
    <t>00482</t>
  </si>
  <si>
    <t>2.5.23 to 1.6.23</t>
  </si>
  <si>
    <t>2.6.23 to 1.7.23</t>
  </si>
  <si>
    <t>00524</t>
  </si>
  <si>
    <t>30.5.23</t>
  </si>
  <si>
    <t xml:space="preserve">2.7.23 to 1.8.23 </t>
  </si>
  <si>
    <t>0023</t>
  </si>
  <si>
    <t>14.8.23</t>
  </si>
  <si>
    <t>2.8.23 to 1.5.24</t>
  </si>
  <si>
    <t>0389</t>
  </si>
  <si>
    <t>Cash Rec 52L</t>
  </si>
  <si>
    <t>Inv0389 Bal &amp;2.5.24 to 1.6.24</t>
  </si>
  <si>
    <t>0417</t>
  </si>
  <si>
    <t>2.6.24 to 1.8.24</t>
  </si>
  <si>
    <t>0510</t>
  </si>
  <si>
    <t xml:space="preserve">Ma Khin Moe Win </t>
  </si>
  <si>
    <t>00458</t>
  </si>
  <si>
    <t>5.4.23 to 4.5.23</t>
  </si>
  <si>
    <t xml:space="preserve">5.5.23 to 4.7.23 </t>
  </si>
  <si>
    <t>00584</t>
  </si>
  <si>
    <t>6.7.23</t>
  </si>
  <si>
    <t>Kpay 999 Service 576500</t>
  </si>
  <si>
    <t xml:space="preserve">10% Discount </t>
  </si>
  <si>
    <t>2days*1800</t>
  </si>
  <si>
    <t>00001</t>
  </si>
  <si>
    <t>20.7.23 to 19.8.23</t>
  </si>
  <si>
    <t>00460</t>
  </si>
  <si>
    <t>6.4.23 to 5.5.23</t>
  </si>
  <si>
    <t>0074</t>
  </si>
  <si>
    <t xml:space="preserve">KBZ MM cash </t>
  </si>
  <si>
    <t xml:space="preserve">Mr Jiang Dongbiao </t>
  </si>
  <si>
    <t>00445</t>
  </si>
  <si>
    <t>30.3.23</t>
  </si>
  <si>
    <t xml:space="preserve">30.3.23 to 29.4.23 </t>
  </si>
  <si>
    <t>30.4.23 to 29.6.23</t>
  </si>
  <si>
    <t>00564</t>
  </si>
  <si>
    <t xml:space="preserve">30.6.23 to 29.8.23 </t>
  </si>
  <si>
    <t>0048</t>
  </si>
  <si>
    <t>7.9.23</t>
  </si>
  <si>
    <t>0206</t>
  </si>
  <si>
    <t>30.9.23 to 29.10.23</t>
  </si>
  <si>
    <t>30.10.23 to 29.11.23</t>
  </si>
  <si>
    <t>30.11.23 to 30.4.24</t>
  </si>
  <si>
    <t>0391</t>
  </si>
  <si>
    <t>7.5.24</t>
  </si>
  <si>
    <t>1.5.24 to 7.5.24</t>
  </si>
  <si>
    <t>0392</t>
  </si>
  <si>
    <t xml:space="preserve">Car Tyre Change </t>
  </si>
  <si>
    <t>8.5.24 ရက်တွင် ပြန်ကားအပ်သည်။</t>
  </si>
  <si>
    <t>0409</t>
  </si>
  <si>
    <t>U Aye Maung / STEK</t>
  </si>
  <si>
    <t>ZE2-126873</t>
  </si>
  <si>
    <t>00444</t>
  </si>
  <si>
    <t>31.3.23 to 30.4.23</t>
  </si>
  <si>
    <t>00448</t>
  </si>
  <si>
    <t>31.3.23</t>
  </si>
  <si>
    <t>00486</t>
  </si>
  <si>
    <t>1.6.23 to 30.6.23</t>
  </si>
  <si>
    <t>00558</t>
  </si>
  <si>
    <t>14.6.23</t>
  </si>
  <si>
    <t xml:space="preserve">1.7.23 to 31.8.23 </t>
  </si>
  <si>
    <t>0015</t>
  </si>
  <si>
    <t>7.8.23</t>
  </si>
  <si>
    <t>Ko Sai Thet Oo / STEK</t>
  </si>
  <si>
    <t>0042</t>
  </si>
  <si>
    <t>0066</t>
  </si>
  <si>
    <t>6.10.23</t>
  </si>
  <si>
    <t>0180</t>
  </si>
  <si>
    <t>3.2.24</t>
  </si>
  <si>
    <t>1.12.23 to 31.12.23</t>
  </si>
  <si>
    <t>0181</t>
  </si>
  <si>
    <t>999 TG Services Kpay</t>
  </si>
  <si>
    <t xml:space="preserve">1.1.24 to 28.2.24 </t>
  </si>
  <si>
    <t>0229</t>
  </si>
  <si>
    <t>4.2.24</t>
  </si>
  <si>
    <t>22.2.24 ကားပြန်အပ်ပြီး</t>
  </si>
  <si>
    <t xml:space="preserve">Deposit Refund </t>
  </si>
  <si>
    <t>Car Battery Change</t>
  </si>
  <si>
    <t>Car Tyre Change</t>
  </si>
  <si>
    <t>0273</t>
  </si>
  <si>
    <t>15.3.24</t>
  </si>
  <si>
    <t>12.3.24 to 11.4.24</t>
  </si>
  <si>
    <t>12.4.24 to 11.6.24</t>
  </si>
  <si>
    <t>0427</t>
  </si>
  <si>
    <t>31.5.24</t>
  </si>
  <si>
    <t>12.6.24 to 11.7.24</t>
  </si>
  <si>
    <t>0485</t>
  </si>
  <si>
    <t>12.7.24 to 11.8.24</t>
  </si>
  <si>
    <t>0486</t>
  </si>
  <si>
    <t xml:space="preserve">Mr Ye Zhen </t>
  </si>
  <si>
    <t>00451</t>
  </si>
  <si>
    <t xml:space="preserve">31.3.23 to 30.4.23 </t>
  </si>
  <si>
    <t>00520</t>
  </si>
  <si>
    <t>1.6.2024 ကားပြန်သိမ်းလာ</t>
  </si>
  <si>
    <t>0457</t>
  </si>
  <si>
    <t>14.6.24</t>
  </si>
  <si>
    <t xml:space="preserve">ZE2-22008968 </t>
  </si>
  <si>
    <t>1K/7482</t>
  </si>
  <si>
    <t>00490</t>
  </si>
  <si>
    <t>5.5.23</t>
  </si>
  <si>
    <t>5.5.23 to 4.6.23</t>
  </si>
  <si>
    <t>Mr Chen jian Xin</t>
  </si>
  <si>
    <t>5.8.23 to 4.9.23</t>
  </si>
  <si>
    <t>0171</t>
  </si>
  <si>
    <t>5.9.23 to 4.10.23</t>
  </si>
  <si>
    <t>5.10.23 to 4.11.23</t>
  </si>
  <si>
    <t>5.11.23 to 4.12.23</t>
  </si>
  <si>
    <t>0233</t>
  </si>
  <si>
    <t>7.2.24</t>
  </si>
  <si>
    <t>7.2.24 to 6.3.24</t>
  </si>
  <si>
    <t>0425</t>
  </si>
  <si>
    <t xml:space="preserve">Mr Yang Zhusheng </t>
  </si>
  <si>
    <t>00446</t>
  </si>
  <si>
    <t>ZE2-8971</t>
  </si>
  <si>
    <t>1.5.23 to 30.6.23</t>
  </si>
  <si>
    <t>00535</t>
  </si>
  <si>
    <t>2.6.23</t>
  </si>
  <si>
    <t>1.9.23 to 31.12.23</t>
  </si>
  <si>
    <t>0086</t>
  </si>
  <si>
    <t>1.1.24 to 30.4.24</t>
  </si>
  <si>
    <t>0288</t>
  </si>
  <si>
    <t>KBZ  MM AC</t>
  </si>
  <si>
    <t>1.5.24 to 31.10.24</t>
  </si>
  <si>
    <t>0429</t>
  </si>
  <si>
    <t>1.11.24 to 31.12.24</t>
  </si>
  <si>
    <t>0110</t>
  </si>
  <si>
    <t xml:space="preserve">Mr Xu Liangichang </t>
  </si>
  <si>
    <t xml:space="preserve">ZE2-1135885 </t>
  </si>
  <si>
    <t xml:space="preserve">7H/1783 </t>
  </si>
  <si>
    <t>00437</t>
  </si>
  <si>
    <t>24.3.23</t>
  </si>
  <si>
    <t>24.3.23 to 23.4.23</t>
  </si>
  <si>
    <t xml:space="preserve">24.4.23 to 23.3.23 </t>
  </si>
  <si>
    <t>00477</t>
  </si>
  <si>
    <t>27.4.23</t>
  </si>
  <si>
    <t xml:space="preserve">24.5.23 to 23.6.23 </t>
  </si>
  <si>
    <t>00592</t>
  </si>
  <si>
    <t>14.7.23</t>
  </si>
  <si>
    <t xml:space="preserve">Kpay 999 Services </t>
  </si>
  <si>
    <t>24.6.23 to 23.7.23</t>
  </si>
  <si>
    <t>0005</t>
  </si>
  <si>
    <t>26.7.23</t>
  </si>
  <si>
    <t>24.7.23 to 23.9.23</t>
  </si>
  <si>
    <t>0154</t>
  </si>
  <si>
    <t>24.9.23 to 23.10.23</t>
  </si>
  <si>
    <t>0214</t>
  </si>
  <si>
    <t>17.1.24</t>
  </si>
  <si>
    <t>24.10.23 to 24.11.23</t>
  </si>
  <si>
    <t>Mr Yan Xu Zhong</t>
  </si>
  <si>
    <t>00432</t>
  </si>
  <si>
    <t>23.2.23</t>
  </si>
  <si>
    <t>CB(MM)</t>
  </si>
  <si>
    <t>23.3.23 to 22.4.23</t>
  </si>
  <si>
    <t>23.4.23 to 22.6.23</t>
  </si>
  <si>
    <t>00530</t>
  </si>
  <si>
    <t>31.5.23</t>
  </si>
  <si>
    <t>0039</t>
  </si>
  <si>
    <t>26.8.23</t>
  </si>
  <si>
    <t>23.8.23 to 22.11.23</t>
  </si>
  <si>
    <t>0155</t>
  </si>
  <si>
    <t>14.11.23</t>
  </si>
  <si>
    <t>23.11.23  to 22.5.24</t>
  </si>
  <si>
    <t>0408</t>
  </si>
  <si>
    <t xml:space="preserve">2M/1710 </t>
  </si>
  <si>
    <t>00431</t>
  </si>
  <si>
    <t>23.3.23</t>
  </si>
  <si>
    <t xml:space="preserve">23.4.23 to 22.6.23 </t>
  </si>
  <si>
    <t>00528</t>
  </si>
  <si>
    <t>0057</t>
  </si>
  <si>
    <t>19.9.23</t>
  </si>
  <si>
    <t xml:space="preserve">Ko Khine Lin Tun </t>
  </si>
  <si>
    <t xml:space="preserve">3D/6534 </t>
  </si>
  <si>
    <t>00191</t>
  </si>
  <si>
    <t>12.10.22</t>
  </si>
  <si>
    <t>13.10.22 to 12.11.22</t>
  </si>
  <si>
    <t>13.11.22 to 12.12.22</t>
  </si>
  <si>
    <t>00234</t>
  </si>
  <si>
    <t>12.11.22</t>
  </si>
  <si>
    <t>13.12.22 to 12.1.23</t>
  </si>
  <si>
    <t>12.12.22</t>
  </si>
  <si>
    <t>13.1.23 to 12.2.23</t>
  </si>
  <si>
    <t>00343</t>
  </si>
  <si>
    <t>13.2.23 to 12.3.23</t>
  </si>
  <si>
    <t>00378</t>
  </si>
  <si>
    <t>14.2.23</t>
  </si>
  <si>
    <t>13.3.23 to 12.4.23</t>
  </si>
  <si>
    <t>00421</t>
  </si>
  <si>
    <t>13.4.23 to 12.5.23</t>
  </si>
  <si>
    <t>00504</t>
  </si>
  <si>
    <t>15.5.23</t>
  </si>
  <si>
    <t xml:space="preserve">13.5.23 to 12.6.23 </t>
  </si>
  <si>
    <t>00553</t>
  </si>
  <si>
    <t>18.4.23</t>
  </si>
  <si>
    <t>13.6.23 to 12.7.23</t>
  </si>
  <si>
    <t>13.6.23</t>
  </si>
  <si>
    <t>13.7.23 to 12.8.23</t>
  </si>
  <si>
    <t>00596</t>
  </si>
  <si>
    <t>15.7.23</t>
  </si>
  <si>
    <t>13.8.23 to 12.9.23</t>
  </si>
  <si>
    <t>0032</t>
  </si>
  <si>
    <t>15.8.23</t>
  </si>
  <si>
    <t>0053</t>
  </si>
  <si>
    <t>13.9.23</t>
  </si>
  <si>
    <t>12.10.23</t>
  </si>
  <si>
    <t xml:space="preserve">Ms Zhang Ming Feng </t>
  </si>
  <si>
    <t>0079</t>
  </si>
  <si>
    <t>20.10.23</t>
  </si>
  <si>
    <t>20.10.23 to 19.11.23</t>
  </si>
  <si>
    <t>0235</t>
  </si>
  <si>
    <t>7.3.24 to 6.4.24</t>
  </si>
  <si>
    <t>0289</t>
  </si>
  <si>
    <t>7.4.24 to 6.5.24</t>
  </si>
  <si>
    <t>0372</t>
  </si>
  <si>
    <t>kpay MM AC</t>
  </si>
  <si>
    <t>7.5.24 to 6.6.24</t>
  </si>
  <si>
    <t>0406</t>
  </si>
  <si>
    <t>0504</t>
  </si>
  <si>
    <t>Mr Jin Zheng Chun  /SJ Co.,Ltd</t>
  </si>
  <si>
    <t xml:space="preserve">Insght </t>
  </si>
  <si>
    <t>ZE2-1302121</t>
  </si>
  <si>
    <t>17.10.22 to 16.4.23</t>
  </si>
  <si>
    <t>00358</t>
  </si>
  <si>
    <t>20.1.23</t>
  </si>
  <si>
    <t>17.4.23 to 16.6.23</t>
  </si>
  <si>
    <t>12.5.23</t>
  </si>
  <si>
    <t>17.6.23 to 16.8.23</t>
  </si>
  <si>
    <t>0029</t>
  </si>
  <si>
    <t>22.8.23</t>
  </si>
  <si>
    <t>0081</t>
  </si>
  <si>
    <t>17.8.23 to 16.9.23</t>
  </si>
  <si>
    <t>17.9.23 to 16.3.24</t>
  </si>
  <si>
    <t>0261</t>
  </si>
  <si>
    <t>4.3.24/17.6.24</t>
  </si>
  <si>
    <t>4.3.24 Kpay MMO 24L+ 17.6.24 999 Kpay 12L+Cash 6L</t>
  </si>
  <si>
    <t>17.3.24 to 16.6.24</t>
  </si>
  <si>
    <t>0433</t>
  </si>
  <si>
    <t>17.6.24 to 16.7.24</t>
  </si>
  <si>
    <t>0459</t>
  </si>
  <si>
    <t>0518</t>
  </si>
  <si>
    <t>31.7.24</t>
  </si>
  <si>
    <t xml:space="preserve">Mr Yuan Zhichao </t>
  </si>
  <si>
    <t xml:space="preserve">No </t>
  </si>
  <si>
    <t xml:space="preserve">5K/8905 </t>
  </si>
  <si>
    <t xml:space="preserve">28.9.22 to 27.3.23 </t>
  </si>
  <si>
    <t>00174</t>
  </si>
  <si>
    <t>28.3.23 to 29.5.23</t>
  </si>
  <si>
    <t>00500</t>
  </si>
  <si>
    <t>30.5.23 to 29.8.23</t>
  </si>
  <si>
    <t>0028</t>
  </si>
  <si>
    <t>00198</t>
  </si>
  <si>
    <t>18.10.22 to 17.11.22</t>
  </si>
  <si>
    <t>18.11.22 to 17.1.23</t>
  </si>
  <si>
    <t>00316</t>
  </si>
  <si>
    <t>24.12.22</t>
  </si>
  <si>
    <t>18.1.23 to 17.3.23</t>
  </si>
  <si>
    <t>00462</t>
  </si>
  <si>
    <t xml:space="preserve">5.4.23 Kpay MM </t>
  </si>
  <si>
    <t>18.3.23 to 17.5.23</t>
  </si>
  <si>
    <t>18.5.23 to 17.8.23</t>
  </si>
  <si>
    <t>0027</t>
  </si>
  <si>
    <t>18.8.23 to 17.11.23</t>
  </si>
  <si>
    <t>0224</t>
  </si>
  <si>
    <t>22.2.24</t>
  </si>
  <si>
    <t>1L ပို</t>
  </si>
  <si>
    <t>18.11.23 to 17.3.24</t>
  </si>
  <si>
    <t>0264 ,'0359</t>
  </si>
  <si>
    <t>999 TG Service Kpay</t>
  </si>
  <si>
    <t>5.3.24 (1L)+3.4.24 (15L) Bal; 14L</t>
  </si>
  <si>
    <t>18.3.24 to 17.5.24</t>
  </si>
  <si>
    <t>0397</t>
  </si>
  <si>
    <t>10.5.24</t>
  </si>
  <si>
    <t>Kpay 999 TG (20L) , 24.6.24 Cash 10L</t>
  </si>
  <si>
    <t>0468</t>
  </si>
  <si>
    <t xml:space="preserve">Mya Seine </t>
  </si>
  <si>
    <t>1K/7025</t>
  </si>
  <si>
    <t>00166</t>
  </si>
  <si>
    <t>19.9.22</t>
  </si>
  <si>
    <t>19.9.22 to 18.10.22</t>
  </si>
  <si>
    <t xml:space="preserve">Mr Shentu Liangbu </t>
  </si>
  <si>
    <t>00202</t>
  </si>
  <si>
    <t>20.10.22</t>
  </si>
  <si>
    <t>20.10.22 to 19.11.22</t>
  </si>
  <si>
    <t xml:space="preserve">20.11.22 အသ 19.1.23 </t>
  </si>
  <si>
    <t>00355</t>
  </si>
  <si>
    <t>19.1.23</t>
  </si>
  <si>
    <t xml:space="preserve">00393 </t>
  </si>
  <si>
    <t xml:space="preserve">20.2.23 to 19.3.23 </t>
  </si>
  <si>
    <t>20.3.23 to 19.4.23</t>
  </si>
  <si>
    <t>00447</t>
  </si>
  <si>
    <t xml:space="preserve">20.4.23 to 19.8.23 </t>
  </si>
  <si>
    <t>0010</t>
  </si>
  <si>
    <t>4.8.23</t>
  </si>
  <si>
    <t>0431</t>
  </si>
  <si>
    <t xml:space="preserve">Ko Thant Zin </t>
  </si>
  <si>
    <t xml:space="preserve">1L/2491 </t>
  </si>
  <si>
    <t>13.9.22 to 12.11.22</t>
  </si>
  <si>
    <t>00237</t>
  </si>
  <si>
    <t>13.11.22 to 12.3.23</t>
  </si>
  <si>
    <t>00362</t>
  </si>
  <si>
    <t>25.1.23</t>
  </si>
  <si>
    <t xml:space="preserve">Ko Wai Phyo Kyaw </t>
  </si>
  <si>
    <t>21.3.23 to 24.3.23</t>
  </si>
  <si>
    <t xml:space="preserve">00438 </t>
  </si>
  <si>
    <t>4days*80000</t>
  </si>
  <si>
    <t xml:space="preserve">Yan Ann Au </t>
  </si>
  <si>
    <t>00450</t>
  </si>
  <si>
    <t xml:space="preserve">31.3.23 to 30.6.23 </t>
  </si>
  <si>
    <t>00566</t>
  </si>
  <si>
    <t xml:space="preserve">21.6.23 to 20.8.23 </t>
  </si>
  <si>
    <t>21.8.23 to 20.11.23</t>
  </si>
  <si>
    <t>0056</t>
  </si>
  <si>
    <t>20.9.23</t>
  </si>
  <si>
    <t xml:space="preserve">KBZ MM Cash </t>
  </si>
  <si>
    <t>21.11.23 to 20.12.23</t>
  </si>
  <si>
    <t>0178</t>
  </si>
  <si>
    <t>KBZ Special</t>
  </si>
  <si>
    <t>0442</t>
  </si>
  <si>
    <t>28.6.24</t>
  </si>
  <si>
    <t xml:space="preserve">Ma Phway Phway Aye </t>
  </si>
  <si>
    <t>v</t>
  </si>
  <si>
    <t>00189</t>
  </si>
  <si>
    <t>11.10.22</t>
  </si>
  <si>
    <t>11.10.22 to 10.11.22</t>
  </si>
  <si>
    <t>3.11.22</t>
  </si>
  <si>
    <t xml:space="preserve">3.11.22 ကားအပ္ </t>
  </si>
  <si>
    <t xml:space="preserve">Mr Zhou Jing </t>
  </si>
  <si>
    <t>d</t>
  </si>
  <si>
    <t>00228</t>
  </si>
  <si>
    <t xml:space="preserve">10.12.22 to 9.1.23 </t>
  </si>
  <si>
    <t>00323</t>
  </si>
  <si>
    <t>10.1.23 to 9.3.23</t>
  </si>
  <si>
    <t>00387</t>
  </si>
  <si>
    <t xml:space="preserve">10.3.23 to 9.5.23 </t>
  </si>
  <si>
    <t>00509</t>
  </si>
  <si>
    <t>17.5.23</t>
  </si>
  <si>
    <t xml:space="preserve">10.5.23 to 9.7.23 </t>
  </si>
  <si>
    <t>00565</t>
  </si>
  <si>
    <t>10.7.23 to 9.8.23</t>
  </si>
  <si>
    <t>0013</t>
  </si>
  <si>
    <t>10.8.23 to 9.10.23</t>
  </si>
  <si>
    <t>0088</t>
  </si>
  <si>
    <t>10.10.23 to 9.3.24</t>
  </si>
  <si>
    <t>0228</t>
  </si>
  <si>
    <t>10.3.24 to 9.5.24</t>
  </si>
  <si>
    <t>0384</t>
  </si>
  <si>
    <t>3.5.24 တွင်ကားပြန်အပ်သည်</t>
  </si>
  <si>
    <t>0418</t>
  </si>
  <si>
    <t>29.5.24</t>
  </si>
  <si>
    <t xml:space="preserve">Ma Moe Thet Naing </t>
  </si>
  <si>
    <t>2E/7802</t>
  </si>
  <si>
    <t>21.7.22 to 20.8.22</t>
  </si>
  <si>
    <t>21.7.22</t>
  </si>
  <si>
    <t xml:space="preserve">MDY </t>
  </si>
  <si>
    <t xml:space="preserve">D Than Than Kyi </t>
  </si>
  <si>
    <t>25.8.22 to 24.10.22</t>
  </si>
  <si>
    <t>00141</t>
  </si>
  <si>
    <t>25.8.22</t>
  </si>
  <si>
    <t>25.10.22 to 24.12.22</t>
  </si>
  <si>
    <t>00244</t>
  </si>
  <si>
    <t>24.11.22</t>
  </si>
  <si>
    <t>25.12.22 to 24.2.23</t>
  </si>
  <si>
    <t>00367</t>
  </si>
  <si>
    <t>28.1.23</t>
  </si>
  <si>
    <t xml:space="preserve">KBZ MM Ac </t>
  </si>
  <si>
    <t xml:space="preserve">Mr Xu Zen </t>
  </si>
  <si>
    <t>00534</t>
  </si>
  <si>
    <t>1.6.23</t>
  </si>
  <si>
    <t>00538</t>
  </si>
  <si>
    <t>3.6.23</t>
  </si>
  <si>
    <t xml:space="preserve">Mr Du Jian </t>
  </si>
  <si>
    <t>1.11.18 to 28.2.19</t>
  </si>
  <si>
    <t>00915</t>
  </si>
  <si>
    <t>1.11.18</t>
  </si>
  <si>
    <t>01056</t>
  </si>
  <si>
    <t>28.3.19</t>
  </si>
  <si>
    <t>Yuan 3134*R-217</t>
  </si>
  <si>
    <t>1.3.19 to 31.3.19</t>
  </si>
  <si>
    <t>01055</t>
  </si>
  <si>
    <t>3.4.19 ကားအပ္</t>
  </si>
  <si>
    <t xml:space="preserve">Mr Zhang Junwei / Ma Yan Swe </t>
  </si>
  <si>
    <t>01062</t>
  </si>
  <si>
    <t>4.4.19</t>
  </si>
  <si>
    <t xml:space="preserve">4.4.19 to 3.6.19 </t>
  </si>
  <si>
    <t>01198</t>
  </si>
  <si>
    <t>00679</t>
  </si>
  <si>
    <t>3.8.19</t>
  </si>
  <si>
    <t>01232</t>
  </si>
  <si>
    <t>4.9.19</t>
  </si>
  <si>
    <t>01920</t>
  </si>
  <si>
    <t>1.10.19</t>
  </si>
  <si>
    <t>4.10.19 to 3.11.19</t>
  </si>
  <si>
    <t>01869</t>
  </si>
  <si>
    <t>6.11.19</t>
  </si>
  <si>
    <t>01899</t>
  </si>
  <si>
    <t>3.12.19</t>
  </si>
  <si>
    <t xml:space="preserve">4.12.19 to 3.2.2020 </t>
  </si>
  <si>
    <t>01583</t>
  </si>
  <si>
    <t>10.2.2020</t>
  </si>
  <si>
    <t xml:space="preserve">trasnfer to KBZ MMO (201) AC </t>
  </si>
  <si>
    <t>4.2.20 to 3.3.2020</t>
  </si>
  <si>
    <t>01532</t>
  </si>
  <si>
    <t>20.3.2020 Trasnfer to MMO (201) AC</t>
  </si>
  <si>
    <t>4.3.20 to 3.4.2020</t>
  </si>
  <si>
    <t>01804</t>
  </si>
  <si>
    <t>Refund Deposit (3.4.2020)</t>
  </si>
  <si>
    <t xml:space="preserve">1J/4747 </t>
  </si>
  <si>
    <t>00011</t>
  </si>
  <si>
    <t>30.5.22 to 29.6.22</t>
  </si>
  <si>
    <t>30.6.22 to 29.7.22</t>
  </si>
  <si>
    <t>01300</t>
  </si>
  <si>
    <t>30.7.22 to 29.9.22</t>
  </si>
  <si>
    <t>00134</t>
  </si>
  <si>
    <t>30.9.22 to 29.10.22</t>
  </si>
  <si>
    <t>30.10.22 to 29.11.22</t>
  </si>
  <si>
    <t>00225</t>
  </si>
  <si>
    <t>30.11.22 to 29.12.22</t>
  </si>
  <si>
    <t>00303</t>
  </si>
  <si>
    <t>30.12.22 to 29.1.23</t>
  </si>
  <si>
    <t>00368</t>
  </si>
  <si>
    <t>31.1.23 to 28.2.23</t>
  </si>
  <si>
    <t xml:space="preserve">Mr Yang Lide </t>
  </si>
  <si>
    <t xml:space="preserve">18.7.23 to 17.8.23 </t>
  </si>
  <si>
    <t>00598</t>
  </si>
  <si>
    <t>18.8.23 to 17.10.23</t>
  </si>
  <si>
    <t>0078</t>
  </si>
  <si>
    <t>18.10.23 to 17.11.23</t>
  </si>
  <si>
    <t>0184</t>
  </si>
  <si>
    <t>18.11.23 to 17.12.23</t>
  </si>
  <si>
    <t>`</t>
  </si>
  <si>
    <t>Huang Xin Leng</t>
  </si>
  <si>
    <t>May Pwint Phyu</t>
  </si>
  <si>
    <t xml:space="preserve">20.1.24 to 19.2.24 </t>
  </si>
  <si>
    <t>0217</t>
  </si>
  <si>
    <t>20.1.24</t>
  </si>
  <si>
    <t>27.1.24</t>
  </si>
  <si>
    <t>10.7.24 ကားပြန်အပ်</t>
  </si>
  <si>
    <t>Discount 10%</t>
  </si>
  <si>
    <t>999 TG Kpay</t>
  </si>
  <si>
    <t>20.2.24 to 19.3.24</t>
  </si>
  <si>
    <t>0479</t>
  </si>
  <si>
    <t>20.3.24 to 19.6.24</t>
  </si>
  <si>
    <t>0491</t>
  </si>
  <si>
    <t>13.7.24</t>
  </si>
  <si>
    <t xml:space="preserve">U Aung Thet Lwin </t>
  </si>
  <si>
    <t>00223</t>
  </si>
  <si>
    <t>3.11.22 to 2.12.22</t>
  </si>
  <si>
    <t>3.12.22 to 3.1.23</t>
  </si>
  <si>
    <t>00341</t>
  </si>
  <si>
    <t>5.1.23</t>
  </si>
  <si>
    <t xml:space="preserve">Kpay Mm </t>
  </si>
  <si>
    <t>3.1.23 to 2.2.23</t>
  </si>
  <si>
    <t>00380</t>
  </si>
  <si>
    <t>7.2.23</t>
  </si>
  <si>
    <t>3.2.23 to 2.3.23</t>
  </si>
  <si>
    <t>00442</t>
  </si>
  <si>
    <t xml:space="preserve">Ko Tun Kyaw Tun </t>
  </si>
  <si>
    <t xml:space="preserve">7.5.23 to 6.6.23 </t>
  </si>
  <si>
    <t>00542</t>
  </si>
  <si>
    <t>8.6.23</t>
  </si>
  <si>
    <t xml:space="preserve">20% Discount </t>
  </si>
  <si>
    <t xml:space="preserve">U Bo Bo Tun (KS Du Trading Co., Ltd) </t>
  </si>
  <si>
    <t>00550</t>
  </si>
  <si>
    <t>11.6.23</t>
  </si>
  <si>
    <t xml:space="preserve">11.6.23 to10.9.23 </t>
  </si>
  <si>
    <t xml:space="preserve">11.9.23 to10.12.23 </t>
  </si>
  <si>
    <t>0157</t>
  </si>
  <si>
    <t>16.11.23</t>
  </si>
  <si>
    <t>0220</t>
  </si>
  <si>
    <t>29.1.24</t>
  </si>
  <si>
    <t>29.1.24 to 28.2.24</t>
  </si>
  <si>
    <t>Air Con Pipe</t>
  </si>
  <si>
    <t>0269</t>
  </si>
  <si>
    <t>Air Con Gas</t>
  </si>
  <si>
    <t>Compresser Oil</t>
  </si>
  <si>
    <t>Workmenship</t>
  </si>
  <si>
    <t xml:space="preserve">Mr Fu Yongjun </t>
  </si>
  <si>
    <t>00108</t>
  </si>
  <si>
    <t xml:space="preserve">21.7.22 </t>
  </si>
  <si>
    <t xml:space="preserve">7H/8541 Civic ျပန္ထား ျပီး USD 500 ျပန္ေပး </t>
  </si>
  <si>
    <t xml:space="preserve">4.6.22 to 3.8.22 </t>
  </si>
  <si>
    <t>4.8.22 to 3.9.22</t>
  </si>
  <si>
    <t>00163</t>
  </si>
  <si>
    <t>13.9.22</t>
  </si>
  <si>
    <t xml:space="preserve">9H/5551 Change </t>
  </si>
  <si>
    <t xml:space="preserve">4.9.22 to 3.11.22 </t>
  </si>
  <si>
    <t>00313</t>
  </si>
  <si>
    <t>21.12.22</t>
  </si>
  <si>
    <t>4.11.22 to 3.1.23</t>
  </si>
  <si>
    <t>00342</t>
  </si>
  <si>
    <t>4.1.23</t>
  </si>
  <si>
    <t>4.1.23 to 3.2.23</t>
  </si>
  <si>
    <t>00364</t>
  </si>
  <si>
    <t>26.1.23</t>
  </si>
  <si>
    <t xml:space="preserve">KBZ cash MM Ac </t>
  </si>
  <si>
    <t>4.2.23 to 3.3.23</t>
  </si>
  <si>
    <t>00497</t>
  </si>
  <si>
    <t>11.5.23</t>
  </si>
  <si>
    <t xml:space="preserve">11.5.23 KBZ MM Cash AC </t>
  </si>
  <si>
    <t>4.3.23 to 3.6.23</t>
  </si>
  <si>
    <t xml:space="preserve">00165 </t>
  </si>
  <si>
    <t xml:space="preserve">17.9.22 </t>
  </si>
  <si>
    <t xml:space="preserve">17.9.22 to 16.10.22 </t>
  </si>
  <si>
    <t>17.10.22 to 16.11.22</t>
  </si>
  <si>
    <t>00194</t>
  </si>
  <si>
    <t>14.10.22</t>
  </si>
  <si>
    <t>17.11.22 to 16.12.22</t>
  </si>
  <si>
    <t>00235</t>
  </si>
  <si>
    <t>14.11.22</t>
  </si>
  <si>
    <t>17.12.22 to 16.1.23</t>
  </si>
  <si>
    <t>00311</t>
  </si>
  <si>
    <t>15.12.22</t>
  </si>
  <si>
    <t>17.1.23 to 16.2.23</t>
  </si>
  <si>
    <t>00352</t>
  </si>
  <si>
    <t>17.2.23 to 16.3.23</t>
  </si>
  <si>
    <t>00390</t>
  </si>
  <si>
    <t>17.3.23 to 16.4.23</t>
  </si>
  <si>
    <t>00429</t>
  </si>
  <si>
    <t>15.3.23</t>
  </si>
  <si>
    <t>17.4.23 to 16.5.23</t>
  </si>
  <si>
    <t>00506</t>
  </si>
  <si>
    <t>17.5.23 to 16.6.23</t>
  </si>
  <si>
    <t>00556</t>
  </si>
  <si>
    <t xml:space="preserve">15.4.23 </t>
  </si>
  <si>
    <t>17.6.23 to 16.7.23</t>
  </si>
  <si>
    <t>00557</t>
  </si>
  <si>
    <t>15.6.23</t>
  </si>
  <si>
    <t xml:space="preserve">17.7.23 to 16.8.23 </t>
  </si>
  <si>
    <t>00595</t>
  </si>
  <si>
    <t>17.9.23 to 16.10.23</t>
  </si>
  <si>
    <t>0052</t>
  </si>
  <si>
    <t>15.9.23</t>
  </si>
  <si>
    <t>0076</t>
  </si>
  <si>
    <t>15.10.23</t>
  </si>
  <si>
    <t>17.11.23 to 16.3.24</t>
  </si>
  <si>
    <t>0296</t>
  </si>
  <si>
    <t>17.3.24 to 16.4.24</t>
  </si>
  <si>
    <t>0295</t>
  </si>
  <si>
    <t>17.4.23 to 16.5.24</t>
  </si>
  <si>
    <t>0377</t>
  </si>
  <si>
    <t>22.4.24</t>
  </si>
  <si>
    <t>17.5.24 to 16.6.24</t>
  </si>
  <si>
    <t>0400</t>
  </si>
  <si>
    <t>15.5.24</t>
  </si>
  <si>
    <t>0458</t>
  </si>
  <si>
    <t>15.6.24</t>
  </si>
  <si>
    <t>0495</t>
  </si>
  <si>
    <t>16.7.24</t>
  </si>
  <si>
    <t>00537</t>
  </si>
  <si>
    <t xml:space="preserve">to </t>
  </si>
  <si>
    <t xml:space="preserve">3.6.23 to 2.7.23 </t>
  </si>
  <si>
    <t xml:space="preserve">9H/5551 </t>
  </si>
  <si>
    <t>3.7.23 to 2.9.23</t>
  </si>
  <si>
    <t>0016</t>
  </si>
  <si>
    <t>3.9.23 to 2.11.23</t>
  </si>
  <si>
    <t>0065</t>
  </si>
  <si>
    <t>5.10.23</t>
  </si>
  <si>
    <t xml:space="preserve">Mr Liu Yi Chaung </t>
  </si>
  <si>
    <t>000005</t>
  </si>
  <si>
    <t>19.5.22</t>
  </si>
  <si>
    <t>19.5.22 to 18.6.22</t>
  </si>
  <si>
    <t>17.5.22</t>
  </si>
  <si>
    <t>16.5.22 ကားအပ္</t>
  </si>
  <si>
    <t>24.6.22 to 23.7.22</t>
  </si>
  <si>
    <t>00040</t>
  </si>
  <si>
    <t>24.6.22</t>
  </si>
  <si>
    <t>24.7.22 to 23.8.22</t>
  </si>
  <si>
    <t>00121</t>
  </si>
  <si>
    <t>29.7.22</t>
  </si>
  <si>
    <t>Kpay MM AC 23.7.22</t>
  </si>
  <si>
    <t>24.8.22 to 23.9.22</t>
  </si>
  <si>
    <t>00142</t>
  </si>
  <si>
    <t>24.9.22 to 23.10.22</t>
  </si>
  <si>
    <t>00171</t>
  </si>
  <si>
    <t>26.9.22</t>
  </si>
  <si>
    <t>24.10.22 to 23.11.22</t>
  </si>
  <si>
    <t>00212</t>
  </si>
  <si>
    <t>24.11.22 to 23.12.22</t>
  </si>
  <si>
    <t>00409</t>
  </si>
  <si>
    <t>3.3.23</t>
  </si>
  <si>
    <t xml:space="preserve">24.12.22 to 23.2.23 </t>
  </si>
  <si>
    <t xml:space="preserve">24.2.23 to 23.4.23 </t>
  </si>
  <si>
    <t xml:space="preserve">Car Repair </t>
  </si>
  <si>
    <t>00463</t>
  </si>
  <si>
    <t xml:space="preserve">3.4.23 Kpay MM </t>
  </si>
  <si>
    <t xml:space="preserve">5.5.23 Kpay Mm </t>
  </si>
  <si>
    <t>00472</t>
  </si>
  <si>
    <t>25.4.23</t>
  </si>
  <si>
    <t>Mr Xie Ming Jio</t>
  </si>
  <si>
    <t>ZE-1166431</t>
  </si>
  <si>
    <t>000009</t>
  </si>
  <si>
    <t>26.5.22</t>
  </si>
  <si>
    <t xml:space="preserve">26.5.22 to 25.6.22 </t>
  </si>
  <si>
    <t>26.6.22 to 25.7.22</t>
  </si>
  <si>
    <t>00105</t>
  </si>
  <si>
    <t>15.7.22</t>
  </si>
  <si>
    <t>26.7.22 to 25.8.22</t>
  </si>
  <si>
    <t>00120</t>
  </si>
  <si>
    <t>10.9.22</t>
  </si>
  <si>
    <t>26.8.22 to 25.10.22</t>
  </si>
  <si>
    <t>00195</t>
  </si>
  <si>
    <t>17.10.22</t>
  </si>
  <si>
    <t>26.10.22 to 25.11.22</t>
  </si>
  <si>
    <t>00232</t>
  </si>
  <si>
    <t>26.11.22 to 25.12.22</t>
  </si>
  <si>
    <t>00322</t>
  </si>
  <si>
    <t>30.12.22</t>
  </si>
  <si>
    <t xml:space="preserve">26.12.22 to 25.2.23 </t>
  </si>
  <si>
    <t>00388</t>
  </si>
  <si>
    <t>26.2.23 to 25.4.23</t>
  </si>
  <si>
    <t>26.4.23 to 25.7.23</t>
  </si>
  <si>
    <t>00583</t>
  </si>
  <si>
    <t>26.7.23 to 25.8.23</t>
  </si>
  <si>
    <t>0011</t>
  </si>
  <si>
    <t>26.8.23 to 25.10.23</t>
  </si>
  <si>
    <t>0087</t>
  </si>
  <si>
    <t>26.10.23 to 25.11.23</t>
  </si>
  <si>
    <t>0190</t>
  </si>
  <si>
    <t>26.11.23 to 23.11.23</t>
  </si>
  <si>
    <t>Yan Ann Su</t>
  </si>
  <si>
    <t>0198</t>
  </si>
  <si>
    <t>29.12.23</t>
  </si>
  <si>
    <t>Kpay999 Services</t>
  </si>
  <si>
    <t>29.12.23 to 28.1.24</t>
  </si>
  <si>
    <t>KBZ MM Acc</t>
  </si>
  <si>
    <t>မရသေးပါ</t>
  </si>
  <si>
    <t>29.4.24 to 28.5.24</t>
  </si>
  <si>
    <t>0451</t>
  </si>
  <si>
    <t>12.6.24</t>
  </si>
  <si>
    <t>Kpay 999 TG 4L</t>
  </si>
  <si>
    <t>29.5.24 to 12.6.24</t>
  </si>
  <si>
    <t>12.6.24 တွင်ကားပြန်အပ်သည်</t>
  </si>
  <si>
    <t>Mr BAI LUOKUN</t>
  </si>
  <si>
    <t>0469</t>
  </si>
  <si>
    <t>25.6.24</t>
  </si>
  <si>
    <t xml:space="preserve">Mr Mo Enging/Mr Zvan Yip </t>
  </si>
  <si>
    <t>00144</t>
  </si>
  <si>
    <t>29.8.22</t>
  </si>
  <si>
    <t xml:space="preserve">29.8.22 to 28.9.22 </t>
  </si>
  <si>
    <t>29.9.22 to 28.10.22</t>
  </si>
  <si>
    <t>00184</t>
  </si>
  <si>
    <t>3.10.22</t>
  </si>
  <si>
    <t>29.10.22 to 28.12.22</t>
  </si>
  <si>
    <t>00221</t>
  </si>
  <si>
    <t>29.12.22 to 28.1.23</t>
  </si>
  <si>
    <t>00315</t>
  </si>
  <si>
    <t>23.12.22</t>
  </si>
  <si>
    <t>29.1.23 to 31.3.23</t>
  </si>
  <si>
    <t>00382</t>
  </si>
  <si>
    <t>00526</t>
  </si>
  <si>
    <t>Kpay MM 8.4.23</t>
  </si>
  <si>
    <t>00527</t>
  </si>
  <si>
    <t>Kpay mm 31.5.23</t>
  </si>
  <si>
    <t>00574</t>
  </si>
  <si>
    <t>Kpay 999 Tg Services (690,000+280,000+120,000)27.6.23,28.6.23)</t>
  </si>
  <si>
    <t xml:space="preserve">1.7.23 to 31.7.23 </t>
  </si>
  <si>
    <t>0007</t>
  </si>
  <si>
    <t>29.7.23</t>
  </si>
  <si>
    <t xml:space="preserve">Kpay Kyaw Thet Paing </t>
  </si>
  <si>
    <t>1.8.23 to 30.8.23</t>
  </si>
  <si>
    <t>0036</t>
  </si>
  <si>
    <t>24.8.23</t>
  </si>
  <si>
    <t>31.8.23 to 31.10.23</t>
  </si>
  <si>
    <t>0266</t>
  </si>
  <si>
    <t>0375</t>
  </si>
  <si>
    <t>1.1.24 to 29.2.24</t>
  </si>
  <si>
    <t>0461</t>
  </si>
  <si>
    <t>19.6.24</t>
  </si>
  <si>
    <t>0517</t>
  </si>
  <si>
    <t>30.7.24</t>
  </si>
  <si>
    <t xml:space="preserve">Mr Zhao Hongbo </t>
  </si>
  <si>
    <t>16.5.22 to 15.6.22</t>
  </si>
  <si>
    <t>16.5.22</t>
  </si>
  <si>
    <t xml:space="preserve">16.6.22 to 15.7.22 </t>
  </si>
  <si>
    <t>15.6.22</t>
  </si>
  <si>
    <t>16.7.22 to 19.7.22</t>
  </si>
  <si>
    <t>00106</t>
  </si>
  <si>
    <t>19.7.22</t>
  </si>
  <si>
    <t xml:space="preserve">Mr Lin Chengliang </t>
  </si>
  <si>
    <t>00111</t>
  </si>
  <si>
    <t>23.7.22</t>
  </si>
  <si>
    <t>00181</t>
  </si>
  <si>
    <t>KBZ Cash MM 10L+CB Cash 116,900</t>
  </si>
  <si>
    <t xml:space="preserve">24.9.22 to 30.9.22 </t>
  </si>
  <si>
    <t>7days*16700</t>
  </si>
  <si>
    <t>00182</t>
  </si>
  <si>
    <t xml:space="preserve">1.11.22 to 30.11.22 </t>
  </si>
  <si>
    <t>20.12.22 ကားအပ္</t>
  </si>
  <si>
    <t>1.12.22 to 20.12.22</t>
  </si>
  <si>
    <t xml:space="preserve">Ms Geng Mei Fen </t>
  </si>
  <si>
    <t xml:space="preserve">27.12.22 to 20.12.23 </t>
  </si>
  <si>
    <t>ကားဆွဲခ</t>
  </si>
  <si>
    <t>9.2.23</t>
  </si>
  <si>
    <t>ရေပိုက်</t>
  </si>
  <si>
    <t xml:space="preserve">27.2.23 to 26.5.23 </t>
  </si>
  <si>
    <t>00476</t>
  </si>
  <si>
    <t>26.4.23</t>
  </si>
  <si>
    <t>Stallion Radiator Codant (4li)</t>
  </si>
  <si>
    <t>00532</t>
  </si>
  <si>
    <t>Service Charges</t>
  </si>
  <si>
    <t>27.8.23 to 26.11.23</t>
  </si>
  <si>
    <t>0092</t>
  </si>
  <si>
    <t xml:space="preserve">999 Tg Servcies Kpay AC </t>
  </si>
  <si>
    <t>Half Exp</t>
  </si>
  <si>
    <t>27.11.23 to 26.3.24</t>
  </si>
  <si>
    <t>0243</t>
  </si>
  <si>
    <t>24.1.24 Repair Charges</t>
  </si>
  <si>
    <t>25.3.24 ကားအပ်ပြီး</t>
  </si>
  <si>
    <t>0328</t>
  </si>
  <si>
    <t>လေတံခါး</t>
  </si>
  <si>
    <t>0403</t>
  </si>
  <si>
    <t>ပန်ကာကြိုး</t>
  </si>
  <si>
    <t>0473</t>
  </si>
  <si>
    <t>5.7.24</t>
  </si>
  <si>
    <t>Services Fees</t>
  </si>
  <si>
    <t>Coolarct</t>
  </si>
  <si>
    <t>25.3.24</t>
  </si>
  <si>
    <t>အောက်အင်ဂျင်ကာဗာ</t>
  </si>
  <si>
    <t>အောက်အင်ဂျင်ကာဗာလယ်</t>
  </si>
  <si>
    <t>ဘယ်ပါးခြမ်းရှေ့ဘန်ဘာပြုပြင်</t>
  </si>
  <si>
    <t xml:space="preserve">Mr Wong Chi Hung </t>
  </si>
  <si>
    <t>7C/8788</t>
  </si>
  <si>
    <t>21.10.19 to 20.12.19</t>
  </si>
  <si>
    <t>21.11.19 to 20.12.19</t>
  </si>
  <si>
    <t>02082</t>
  </si>
  <si>
    <t>23.11.19</t>
  </si>
  <si>
    <t>23.11.19 to 22.12.19</t>
  </si>
  <si>
    <t xml:space="preserve">23.12.19 to 22.6.2020 </t>
  </si>
  <si>
    <t>01781</t>
  </si>
  <si>
    <t>13.6.2020</t>
  </si>
  <si>
    <t>ကားအပ္ (22.6.2020)</t>
  </si>
  <si>
    <t xml:space="preserve">29.6.2020 ကားအပ္ျပီး Deposit မငမ္းရေသး </t>
  </si>
  <si>
    <t xml:space="preserve">30.8.21 to 29.9.21 </t>
  </si>
  <si>
    <t>01635</t>
  </si>
  <si>
    <t>30.8.21</t>
  </si>
  <si>
    <t>30.9.21 to 29.10.21</t>
  </si>
  <si>
    <t>02423</t>
  </si>
  <si>
    <t>2.12.21</t>
  </si>
  <si>
    <t xml:space="preserve">Kpay MMO AC </t>
  </si>
  <si>
    <t>30.10.21 to 29.11.21</t>
  </si>
  <si>
    <t>02436</t>
  </si>
  <si>
    <t>2.1.22</t>
  </si>
  <si>
    <t>Kpay MMO AC 20.1.22</t>
  </si>
  <si>
    <t>30.11.21 to 29.12.21</t>
  </si>
  <si>
    <t>02437</t>
  </si>
  <si>
    <t>3.10.21</t>
  </si>
  <si>
    <t>30.12.21 to 29.1.22</t>
  </si>
  <si>
    <t>02129</t>
  </si>
  <si>
    <t>Kpay MMO AC (5.3.22</t>
  </si>
  <si>
    <t>30.1.22 to 28.2.22</t>
  </si>
  <si>
    <t>Kpay MMO AC (4.4.22)</t>
  </si>
  <si>
    <t>00026</t>
  </si>
  <si>
    <t>12.6.22</t>
  </si>
  <si>
    <t xml:space="preserve">Kpay MMO AC (10.6.22) </t>
  </si>
  <si>
    <t>5.2.22</t>
  </si>
  <si>
    <t>Kpay Mmo AC (5.2.22)</t>
  </si>
  <si>
    <t>1.5.22 to 31.5.22</t>
  </si>
  <si>
    <t xml:space="preserve">Kpay MMO AC (29.6.22) </t>
  </si>
  <si>
    <t>2.11.21</t>
  </si>
  <si>
    <t>Kpay MMO 2.11.21</t>
  </si>
  <si>
    <t>20.1.22</t>
  </si>
  <si>
    <t>5.3.22</t>
  </si>
  <si>
    <t>Kpay Mmo AC (5.3.22)</t>
  </si>
  <si>
    <t>4.4.22</t>
  </si>
  <si>
    <t>Kpay Mmo AC (4.4.22)</t>
  </si>
  <si>
    <t>29.6.22</t>
  </si>
  <si>
    <t>10.6.22</t>
  </si>
  <si>
    <t>00137</t>
  </si>
  <si>
    <t>Kpay MM AC (22.8.22)</t>
  </si>
  <si>
    <t>1.8.22 to 30.9.22</t>
  </si>
  <si>
    <t>00159</t>
  </si>
  <si>
    <t>Kpay MM AC (12.9.22)</t>
  </si>
  <si>
    <t>00199</t>
  </si>
  <si>
    <t>Kpay MM Ac (18.10.22)</t>
  </si>
  <si>
    <t>00245</t>
  </si>
  <si>
    <t>1.12.22 to 31.12.22</t>
  </si>
  <si>
    <t>00320</t>
  </si>
  <si>
    <t xml:space="preserve">Kpay MM (29.12.22) </t>
  </si>
  <si>
    <t>Kpay MM (28.1.23)</t>
  </si>
  <si>
    <t>00395</t>
  </si>
  <si>
    <t>Kpay MM (20.2.23)</t>
  </si>
  <si>
    <t>00426</t>
  </si>
  <si>
    <t>Kpay MM (16.3.23)</t>
  </si>
  <si>
    <t>Kpay MM (20.4.23)</t>
  </si>
  <si>
    <t xml:space="preserve">1.4.23 to 30.4.23 </t>
  </si>
  <si>
    <t>00521</t>
  </si>
  <si>
    <t>Kpay MM</t>
  </si>
  <si>
    <t>0018</t>
  </si>
  <si>
    <t>Kpay 999 services</t>
  </si>
  <si>
    <t>0073</t>
  </si>
  <si>
    <t>1.10.23 to 30.11.23</t>
  </si>
  <si>
    <t>0098</t>
  </si>
  <si>
    <t>1.12.23 to 31.3.24</t>
  </si>
  <si>
    <t>0445</t>
  </si>
  <si>
    <t>8.6.24</t>
  </si>
  <si>
    <t>0492</t>
  </si>
  <si>
    <t xml:space="preserve">5L/1648 </t>
  </si>
  <si>
    <t>01887</t>
  </si>
  <si>
    <t>15.11.19 to 14.1.20</t>
  </si>
  <si>
    <t>15.1.20 to 14.3.20</t>
  </si>
  <si>
    <t>01572</t>
  </si>
  <si>
    <t>23.1.20</t>
  </si>
  <si>
    <t>13.3.20 5L/1648 ခ်ိန္း</t>
  </si>
  <si>
    <t>15.3.20 to 14.4.20</t>
  </si>
  <si>
    <t>01524</t>
  </si>
  <si>
    <t>13.3.20</t>
  </si>
  <si>
    <t>13.3.20 9L/9176 ခ်ိန္း</t>
  </si>
  <si>
    <t>9.4.2020</t>
  </si>
  <si>
    <t>21.4.2020 ကားျပန္အပ္</t>
  </si>
  <si>
    <t xml:space="preserve">Mr Peng Jianpan </t>
  </si>
  <si>
    <t>01811</t>
  </si>
  <si>
    <t>21.4.20</t>
  </si>
  <si>
    <t>21.4.20 to 20.5.20</t>
  </si>
  <si>
    <t>21.5.20 to 20.6.20</t>
  </si>
  <si>
    <t>01763</t>
  </si>
  <si>
    <t>28.5.20</t>
  </si>
  <si>
    <t>21.11.20 to 15.5.21</t>
  </si>
  <si>
    <t>02645</t>
  </si>
  <si>
    <t>15.5.21</t>
  </si>
  <si>
    <t xml:space="preserve">Ko Phae Phyo Aung </t>
  </si>
  <si>
    <t>02541</t>
  </si>
  <si>
    <t>23.1.22</t>
  </si>
  <si>
    <t>23.1.21 to 22.2.21</t>
  </si>
  <si>
    <t xml:space="preserve">23.2.21 to 14.7.21 </t>
  </si>
  <si>
    <t>01622</t>
  </si>
  <si>
    <t>14.7.21</t>
  </si>
  <si>
    <t xml:space="preserve">Ko Ko Win </t>
  </si>
  <si>
    <t>2.6.21 to 1.8.21</t>
  </si>
  <si>
    <t>01603</t>
  </si>
  <si>
    <t>8.6.21</t>
  </si>
  <si>
    <t>2.8.21 to 23.9.2021</t>
  </si>
  <si>
    <t>23.9.21</t>
  </si>
  <si>
    <t>23.9.21 ကားအပ္</t>
  </si>
  <si>
    <t xml:space="preserve">CHCI Mr Zhao Hongbo </t>
  </si>
  <si>
    <t xml:space="preserve">28.9.21 to 27.12.21 </t>
  </si>
  <si>
    <t>01644</t>
  </si>
  <si>
    <t>7.10.21</t>
  </si>
  <si>
    <t>28.12.21 to 27.1.2022</t>
  </si>
  <si>
    <t>02433</t>
  </si>
  <si>
    <t xml:space="preserve">28.1.22 to 14.2.2022 </t>
  </si>
  <si>
    <t>02447</t>
  </si>
  <si>
    <t xml:space="preserve">Mr Zhang Jie </t>
  </si>
  <si>
    <t xml:space="preserve">4.3.22 to 3.5.22 </t>
  </si>
  <si>
    <t>02142</t>
  </si>
  <si>
    <t xml:space="preserve">4.5.22 to 3.9.22 </t>
  </si>
  <si>
    <t>00224</t>
  </si>
  <si>
    <t>5.11.22</t>
  </si>
  <si>
    <t>4.9.22 to 3.12.22</t>
  </si>
  <si>
    <t>00330</t>
  </si>
  <si>
    <t>3.1.23</t>
  </si>
  <si>
    <t xml:space="preserve">4.12.22 to 3.1.23 </t>
  </si>
  <si>
    <t>00339</t>
  </si>
  <si>
    <t>3.1.23 Kpay MM AC</t>
  </si>
  <si>
    <t xml:space="preserve">Mr Xu Qi </t>
  </si>
  <si>
    <t>00381</t>
  </si>
  <si>
    <t>10.2.23</t>
  </si>
  <si>
    <t xml:space="preserve">10.3.23 to 16.6.23 </t>
  </si>
  <si>
    <t>00560</t>
  </si>
  <si>
    <t>16.6.23</t>
  </si>
  <si>
    <t>Kyaw Nyi Nyi Lwin</t>
  </si>
  <si>
    <t>24.7.23 to 23.8.23</t>
  </si>
  <si>
    <t>0159</t>
  </si>
  <si>
    <t>23.11.23</t>
  </si>
  <si>
    <t>Received Dryer</t>
  </si>
  <si>
    <t>24.8.23 to 23.9.23</t>
  </si>
  <si>
    <t>နတ်ကျိုးထုတ် အရစ်ဖော်</t>
  </si>
  <si>
    <t>24.10.23 to 23.11.23</t>
  </si>
  <si>
    <t>24.11.23 to 23.3.24</t>
  </si>
  <si>
    <t>0285</t>
  </si>
  <si>
    <t>18.3.24</t>
  </si>
  <si>
    <t>KBZ MM A/C</t>
  </si>
  <si>
    <t>0436</t>
  </si>
  <si>
    <t xml:space="preserve">Mr Li Zeng Hong </t>
  </si>
  <si>
    <t xml:space="preserve">1K/7482 </t>
  </si>
  <si>
    <t>01525</t>
  </si>
  <si>
    <t>14.3.2020</t>
  </si>
  <si>
    <t>14.3.20 to 13.5.20</t>
  </si>
  <si>
    <t>14.5.20 to 3.8.20</t>
  </si>
  <si>
    <t>00781</t>
  </si>
  <si>
    <t>4.8.2020</t>
  </si>
  <si>
    <t xml:space="preserve">4.8.2020 ကားအပ္ </t>
  </si>
  <si>
    <t xml:space="preserve">Mr Li Dong </t>
  </si>
  <si>
    <t>01357</t>
  </si>
  <si>
    <t>01.09.2020</t>
  </si>
  <si>
    <t>01.09.2020 to 30.09.2020</t>
  </si>
  <si>
    <t>01379</t>
  </si>
  <si>
    <t>8.10.2020</t>
  </si>
  <si>
    <t xml:space="preserve">1.10.20 to 8.10.20 </t>
  </si>
  <si>
    <t xml:space="preserve">8.10.2020ကားအပ္ျပီး </t>
  </si>
  <si>
    <t xml:space="preserve">Mr Lu Weihao </t>
  </si>
  <si>
    <t>02401</t>
  </si>
  <si>
    <t>12.10.21</t>
  </si>
  <si>
    <t>26.2.2021 to 25.4.2021</t>
  </si>
  <si>
    <t>26.4.2021 to 25.5.21</t>
  </si>
  <si>
    <t xml:space="preserve">450,000*8Months </t>
  </si>
  <si>
    <t>26.5.21 to 25.6.21</t>
  </si>
  <si>
    <t>26.6.21 to 25.7.21</t>
  </si>
  <si>
    <t>26.7.21 to 25.8.21</t>
  </si>
  <si>
    <t>26.8.21 to 25.9.21</t>
  </si>
  <si>
    <t>26.9.21 to 25.10.21</t>
  </si>
  <si>
    <t>MM KBz Bank (14.2.23</t>
  </si>
  <si>
    <t>26.10.21 to 25.11.21</t>
  </si>
  <si>
    <t>26.11.21 to 25.12.21</t>
  </si>
  <si>
    <t xml:space="preserve">26.12.21 to 25.4.2022 </t>
  </si>
  <si>
    <t>500,000*4 months</t>
  </si>
  <si>
    <t>00012</t>
  </si>
  <si>
    <t>30.5.22</t>
  </si>
  <si>
    <t>00013</t>
  </si>
  <si>
    <t>30.7.22 TO 29.10.22</t>
  </si>
  <si>
    <t>00110</t>
  </si>
  <si>
    <t>30.10.22 to 1.3.23</t>
  </si>
  <si>
    <t>00301</t>
  </si>
  <si>
    <t>3.12.22</t>
  </si>
  <si>
    <t xml:space="preserve">2.3.23 to 1.7.23 </t>
  </si>
  <si>
    <t>00443</t>
  </si>
  <si>
    <t>2.7.23 to 1.1.24</t>
  </si>
  <si>
    <t>0045</t>
  </si>
  <si>
    <t>2.9.23</t>
  </si>
  <si>
    <t>2.1.24 to 1.5.24</t>
  </si>
  <si>
    <t>0272</t>
  </si>
  <si>
    <t>0496</t>
  </si>
  <si>
    <t>18.7.24</t>
  </si>
  <si>
    <t xml:space="preserve">Ma Yamin </t>
  </si>
  <si>
    <t xml:space="preserve">Honda </t>
  </si>
  <si>
    <t>4K/7943</t>
  </si>
  <si>
    <t>18.3.20 to 17.5.20</t>
  </si>
  <si>
    <t>18.3.2020</t>
  </si>
  <si>
    <t>01527</t>
  </si>
  <si>
    <t xml:space="preserve">Trasnfer to KBZ MMO (201)သြင္းရန္ </t>
  </si>
  <si>
    <t xml:space="preserve">23.5.2020 ကားအပ္ျပီး </t>
  </si>
  <si>
    <t xml:space="preserve">Mr Yin Youjun </t>
  </si>
  <si>
    <t>3.6.20 to 2.7.20</t>
  </si>
  <si>
    <t>3.6.20</t>
  </si>
  <si>
    <t>01771</t>
  </si>
  <si>
    <t xml:space="preserve">Mr Xu Yong </t>
  </si>
  <si>
    <t>7.9.2020</t>
  </si>
  <si>
    <t>01362</t>
  </si>
  <si>
    <t>7.9.2020 to 6.11.2020</t>
  </si>
  <si>
    <t>7.11.2020 to 6.1.2021</t>
  </si>
  <si>
    <t>9.11.2020</t>
  </si>
  <si>
    <t>01393</t>
  </si>
  <si>
    <t>9.1.2020</t>
  </si>
  <si>
    <t xml:space="preserve">Mr Huang Caitu/Mr Hu Sheng </t>
  </si>
  <si>
    <t>11.1.21</t>
  </si>
  <si>
    <t>02536</t>
  </si>
  <si>
    <t>11.1.2021 to 10.02.2021</t>
  </si>
  <si>
    <t>27.5.21 to 26.6.21</t>
  </si>
  <si>
    <t>27.5.21</t>
  </si>
  <si>
    <t>02650</t>
  </si>
  <si>
    <t>27.6.21 to 26.7.21</t>
  </si>
  <si>
    <t>29.6.21</t>
  </si>
  <si>
    <t>01613</t>
  </si>
  <si>
    <t xml:space="preserve">Mr Haung Guobing </t>
  </si>
  <si>
    <t>02407</t>
  </si>
  <si>
    <t xml:space="preserve">3.11.21 to 2.12.21 </t>
  </si>
  <si>
    <t xml:space="preserve">3.12.21 to 28.2.22 </t>
  </si>
  <si>
    <t>28.2.22</t>
  </si>
  <si>
    <t>02111</t>
  </si>
  <si>
    <t xml:space="preserve">Mr Xie Xianyi </t>
  </si>
  <si>
    <t xml:space="preserve">3.3.22 to 2.4.22 </t>
  </si>
  <si>
    <t>02115</t>
  </si>
  <si>
    <t>3.4.22 to 2.5.22</t>
  </si>
  <si>
    <t>02127</t>
  </si>
  <si>
    <t>3.5.22 to 30.5.22</t>
  </si>
  <si>
    <t>00514</t>
  </si>
  <si>
    <t>Mr Samuno Hiroki</t>
  </si>
  <si>
    <t>2.6.22</t>
  </si>
  <si>
    <t>00018</t>
  </si>
  <si>
    <t>2.6.22 to 1.8.22</t>
  </si>
  <si>
    <t xml:space="preserve">2.8.22 to 1.9.22 </t>
  </si>
  <si>
    <t>2.8.22</t>
  </si>
  <si>
    <t>00123</t>
  </si>
  <si>
    <t xml:space="preserve">2.9.22 to 25.10.22 </t>
  </si>
  <si>
    <t>25.10.22</t>
  </si>
  <si>
    <t>00208</t>
  </si>
  <si>
    <t>25.10.22 ကားအပ္</t>
  </si>
  <si>
    <t xml:space="preserve">Ko Thar Hla Win </t>
  </si>
  <si>
    <t>12.4.23 to 11.5.23</t>
  </si>
  <si>
    <t>12.4.23</t>
  </si>
  <si>
    <t>12.5.23 to 11.6.23</t>
  </si>
  <si>
    <t>00503</t>
  </si>
  <si>
    <t xml:space="preserve">Mr Dong Bing Hai </t>
  </si>
  <si>
    <t>11.7.23</t>
  </si>
  <si>
    <t>00589</t>
  </si>
  <si>
    <t>11.7.23 to 10.8.23</t>
  </si>
  <si>
    <t>11.8.23 to 10.9.23</t>
  </si>
  <si>
    <t>11.8.23</t>
  </si>
  <si>
    <t>0022</t>
  </si>
  <si>
    <t>11.9.23 to 10.10.23</t>
  </si>
  <si>
    <t>4.10.23</t>
  </si>
  <si>
    <t>0063</t>
  </si>
  <si>
    <t>11.10.23 to 10.11.23</t>
  </si>
  <si>
    <t>31.10.23</t>
  </si>
  <si>
    <t>0082</t>
  </si>
  <si>
    <t>20.12.23</t>
  </si>
  <si>
    <t>0186</t>
  </si>
  <si>
    <t>20.12.23 to 19.1.24</t>
  </si>
  <si>
    <t>20.1.24 to 19.2.24</t>
  </si>
  <si>
    <t>15.2.24</t>
  </si>
  <si>
    <t>0239</t>
  </si>
  <si>
    <t>0297</t>
  </si>
  <si>
    <t>20.3.24 to 19.5.24</t>
  </si>
  <si>
    <t>0398</t>
  </si>
  <si>
    <t>11.5.24 Kpay MM 9.5L &amp; 13.5.24 Kpay MM 4.5L</t>
  </si>
  <si>
    <t>0482</t>
  </si>
  <si>
    <t xml:space="preserve">CHCI Mr Zhang Yazhuo </t>
  </si>
  <si>
    <t xml:space="preserve">6L/8556 </t>
  </si>
  <si>
    <t>7.3.20 to 6.6.20</t>
  </si>
  <si>
    <t>01511</t>
  </si>
  <si>
    <t>7.3.20</t>
  </si>
  <si>
    <t>25.5.2020 ကားအပ္</t>
  </si>
  <si>
    <t>00488</t>
  </si>
  <si>
    <t xml:space="preserve">2.6.23 to 1.7.23 </t>
  </si>
  <si>
    <t>00533</t>
  </si>
  <si>
    <t>2.7.23 to 1.8.23</t>
  </si>
  <si>
    <t>00578</t>
  </si>
  <si>
    <t>1.7.23</t>
  </si>
  <si>
    <t xml:space="preserve">Date Refund (14.7.23) </t>
  </si>
  <si>
    <t xml:space="preserve">14.7.23 ကားအပ္ </t>
  </si>
  <si>
    <t>Xuan Xin International Co.,Ltd (U Pyae Phyo Aung)</t>
  </si>
  <si>
    <t>00594</t>
  </si>
  <si>
    <t>15.7.23 to 14.1.24</t>
  </si>
  <si>
    <t>15.1.24 to 14.4.24</t>
  </si>
  <si>
    <t>0299</t>
  </si>
  <si>
    <t>Kpay 999 TG Ser 14L+Cash 10L</t>
  </si>
  <si>
    <t>15.4.24 to 14.7.24</t>
  </si>
  <si>
    <t>0488</t>
  </si>
  <si>
    <t>KTP Kpay 23.3L+Repair Exp 0.7L</t>
  </si>
  <si>
    <t>10.7.2024 ကားပြန်အပ်</t>
  </si>
  <si>
    <t>0116</t>
  </si>
  <si>
    <t>2.7.24</t>
  </si>
  <si>
    <t>7H/8541 ကားချိန်း (23.7.24)</t>
  </si>
  <si>
    <t xml:space="preserve">Ractics </t>
  </si>
  <si>
    <t>NSP122-20000993</t>
  </si>
  <si>
    <t>4.3.2020</t>
  </si>
  <si>
    <t xml:space="preserve">5L/4960 change </t>
  </si>
  <si>
    <t>5L/4960</t>
  </si>
  <si>
    <t>4.4.2020 to 3.6.2020</t>
  </si>
  <si>
    <t>01789</t>
  </si>
  <si>
    <t>19.6.2020</t>
  </si>
  <si>
    <t>4.6.2020 to 3.6.2021</t>
  </si>
  <si>
    <t>01605</t>
  </si>
  <si>
    <t>2.6.2021</t>
  </si>
  <si>
    <t>4.6.2021 to 3.7.2021</t>
  </si>
  <si>
    <t>02125</t>
  </si>
  <si>
    <t>4.4.2022</t>
  </si>
  <si>
    <t xml:space="preserve">500,000*10Months= 50L </t>
  </si>
  <si>
    <t>4.7.2021 to 3.8.2021</t>
  </si>
  <si>
    <t>4.8.2021 to 3.9.2021</t>
  </si>
  <si>
    <t>4.9.2021 to 3.10.2021</t>
  </si>
  <si>
    <t>4.10.2021 to 3.11.2021</t>
  </si>
  <si>
    <t>4.11.2021 to 3.12.2021</t>
  </si>
  <si>
    <t>4.12.2021 to 3.1.2022</t>
  </si>
  <si>
    <t>4.1.2022 to 3.2.2022</t>
  </si>
  <si>
    <t>4.2.2022 to 3.3.2022</t>
  </si>
  <si>
    <t>4.3.2022 to 3.4.2022</t>
  </si>
  <si>
    <t>Repair charges 400000</t>
  </si>
  <si>
    <t>4.4.22 ကားအပ္</t>
  </si>
  <si>
    <t xml:space="preserve">5L/4960 </t>
  </si>
  <si>
    <t>02132</t>
  </si>
  <si>
    <t>10.4.24</t>
  </si>
  <si>
    <t>ဒိုးမော်တာလဲ ခလုတ်ပြုပြင် ဝါယာရိန်းလက္ခ</t>
  </si>
  <si>
    <t>19.4.22 to 18.5.22</t>
  </si>
  <si>
    <t>00023</t>
  </si>
  <si>
    <t>4.6.22</t>
  </si>
  <si>
    <t>19.6.22 to 18.7.22</t>
  </si>
  <si>
    <t>00115</t>
  </si>
  <si>
    <t>27.7.22</t>
  </si>
  <si>
    <t>19.7.22 to 18.11.22</t>
  </si>
  <si>
    <t>00204</t>
  </si>
  <si>
    <t xml:space="preserve">19.11.22 to 18.2.23 </t>
  </si>
  <si>
    <t>00365</t>
  </si>
  <si>
    <t>27.1.23</t>
  </si>
  <si>
    <t>19.2.23 to 18.3.23</t>
  </si>
  <si>
    <t>00402</t>
  </si>
  <si>
    <t>28.2.23</t>
  </si>
  <si>
    <t xml:space="preserve">19.3.23 to 18.6.23 </t>
  </si>
  <si>
    <t>00491</t>
  </si>
  <si>
    <t xml:space="preserve">19.6.23 to 18.7.23 </t>
  </si>
  <si>
    <t>22.6.23</t>
  </si>
  <si>
    <t xml:space="preserve">Kpay 999 Tg Serives (10L+690,000) </t>
  </si>
  <si>
    <t>19.7.23 to 18.11.23</t>
  </si>
  <si>
    <t>0060</t>
  </si>
  <si>
    <t>19.11.23 to 18.3.24</t>
  </si>
  <si>
    <t>0226</t>
  </si>
  <si>
    <t>19.3.24 to 18.6.24</t>
  </si>
  <si>
    <t>0356</t>
  </si>
  <si>
    <t>0497</t>
  </si>
  <si>
    <t xml:space="preserve">Mr Liu Zao </t>
  </si>
  <si>
    <t xml:space="preserve">ZE2-1206203 </t>
  </si>
  <si>
    <t xml:space="preserve">9J/7302 </t>
  </si>
  <si>
    <t>01513</t>
  </si>
  <si>
    <t>10.3.20 to 9.4.20</t>
  </si>
  <si>
    <t>10.4.20 to 9.5.20</t>
  </si>
  <si>
    <t>01836</t>
  </si>
  <si>
    <t>11.5.2020</t>
  </si>
  <si>
    <t xml:space="preserve">1M/9574 </t>
  </si>
  <si>
    <t>civic fri (29.5.2020 car accident ညျဖစ္)</t>
  </si>
  <si>
    <t>10.5.20 to 9.6.20</t>
  </si>
  <si>
    <t>Ma Nyein Sandar Tun</t>
  </si>
  <si>
    <t>27.5.2020 to 26.6.2020</t>
  </si>
  <si>
    <t>01799</t>
  </si>
  <si>
    <t>2.7.2020</t>
  </si>
  <si>
    <t xml:space="preserve">27.6.20 to 26.4.21 </t>
  </si>
  <si>
    <t>01629</t>
  </si>
  <si>
    <t>6.8.2021</t>
  </si>
  <si>
    <t>(CB MM 5L+5L)(AYA MM 25L)</t>
  </si>
  <si>
    <t>02509</t>
  </si>
  <si>
    <t>1.12.20</t>
  </si>
  <si>
    <t xml:space="preserve">1.12.20 to 31.12.20 </t>
  </si>
  <si>
    <t xml:space="preserve">Mr Andy </t>
  </si>
  <si>
    <t>02139</t>
  </si>
  <si>
    <t>24.4.22</t>
  </si>
  <si>
    <t>24.4.22 to 23.5.22</t>
  </si>
  <si>
    <t>24.5.22 to 23.6.22</t>
  </si>
  <si>
    <t>00104</t>
  </si>
  <si>
    <t>00128</t>
  </si>
  <si>
    <t>6.8.22</t>
  </si>
  <si>
    <t xml:space="preserve">24.8.22 to 23.9.22 </t>
  </si>
  <si>
    <t>00164</t>
  </si>
  <si>
    <t>14.9.22</t>
  </si>
  <si>
    <t>00177</t>
  </si>
  <si>
    <t>1.10.22</t>
  </si>
  <si>
    <t xml:space="preserve">24.10.22 to 23.12.22 </t>
  </si>
  <si>
    <t>00243</t>
  </si>
  <si>
    <t>23.11.22</t>
  </si>
  <si>
    <t xml:space="preserve">24.12.22 အသ 5.1.23 </t>
  </si>
  <si>
    <t>12.2.23 to 11.6.23</t>
  </si>
  <si>
    <t>00555</t>
  </si>
  <si>
    <t>0012</t>
  </si>
  <si>
    <t xml:space="preserve">Mr Lin Hai </t>
  </si>
  <si>
    <t xml:space="preserve">5N/5306 </t>
  </si>
  <si>
    <t>01503</t>
  </si>
  <si>
    <t>24.2.2020</t>
  </si>
  <si>
    <t>24.2.2020 to 23.4.2020</t>
  </si>
  <si>
    <t>24.4.2020 to 23.6.2020</t>
  </si>
  <si>
    <t>01843</t>
  </si>
  <si>
    <t>15.5.2020</t>
  </si>
  <si>
    <t>24.6.2020 to 23.8.2020</t>
  </si>
  <si>
    <t>00767</t>
  </si>
  <si>
    <t>15.7.2020</t>
  </si>
  <si>
    <t>24.8.2020 to 23.11.2020</t>
  </si>
  <si>
    <t>01365</t>
  </si>
  <si>
    <t>10.9.2020</t>
  </si>
  <si>
    <t>24.11.2020 to 23.2.2021</t>
  </si>
  <si>
    <t>02548</t>
  </si>
  <si>
    <t>29.1.2021</t>
  </si>
  <si>
    <t>02414</t>
  </si>
  <si>
    <t>Kpay ;5L+</t>
  </si>
  <si>
    <t>22.11.21 to 21.12.21</t>
  </si>
  <si>
    <t>cash 5L</t>
  </si>
  <si>
    <t>23.12.21 to 22.1.22</t>
  </si>
  <si>
    <t>02431</t>
  </si>
  <si>
    <t>22.2.21</t>
  </si>
  <si>
    <t>9.4.22</t>
  </si>
  <si>
    <t xml:space="preserve">9.4.22 to 8.5.22 </t>
  </si>
  <si>
    <t xml:space="preserve">CHCI </t>
  </si>
  <si>
    <t>7.3.22 to 6.4.22</t>
  </si>
  <si>
    <t>02118</t>
  </si>
  <si>
    <t>7.3.22</t>
  </si>
  <si>
    <t>7.4.22 to 8.4.22</t>
  </si>
  <si>
    <t>8.4.22</t>
  </si>
  <si>
    <t>ကားအပ္</t>
  </si>
  <si>
    <t xml:space="preserve">31.1.22 to 28.2.22 </t>
  </si>
  <si>
    <t>02448</t>
  </si>
  <si>
    <t xml:space="preserve">3.3.22 </t>
  </si>
  <si>
    <t xml:space="preserve">Mr Du </t>
  </si>
  <si>
    <t xml:space="preserve">9.5.22 to 31.8.22 </t>
  </si>
  <si>
    <t xml:space="preserve">Mr Zheng Yong Qiang </t>
  </si>
  <si>
    <t>00158</t>
  </si>
  <si>
    <t xml:space="preserve">10.9.22 to 9.10.22 </t>
  </si>
  <si>
    <t>10.10.22 to 9.11.22</t>
  </si>
  <si>
    <t>00215</t>
  </si>
  <si>
    <t>31.10.22</t>
  </si>
  <si>
    <t xml:space="preserve">10.11.22 to 9.1.23 </t>
  </si>
  <si>
    <t>00347</t>
  </si>
  <si>
    <t xml:space="preserve">Kpay MM Ac 10L </t>
  </si>
  <si>
    <t>10.1.23 to 9.4.23</t>
  </si>
  <si>
    <t>00461</t>
  </si>
  <si>
    <t xml:space="preserve">6.4.23 Kpay MM </t>
  </si>
  <si>
    <t xml:space="preserve">10.4.23 to 9.6.23 </t>
  </si>
  <si>
    <t>00531</t>
  </si>
  <si>
    <t>10.6.23 to 9.8.23</t>
  </si>
  <si>
    <t>0020</t>
  </si>
  <si>
    <t xml:space="preserve">Kpay KTP </t>
  </si>
  <si>
    <t>10.8.23 to 9.11.23</t>
  </si>
  <si>
    <t>0293</t>
  </si>
  <si>
    <t>21.3.24 KBZ MM AC</t>
  </si>
  <si>
    <t>0378</t>
  </si>
  <si>
    <t>12.4.24 KBZ MM AC</t>
  </si>
  <si>
    <t>1L/1050</t>
  </si>
  <si>
    <t>Deposit charges</t>
  </si>
  <si>
    <t>01600</t>
  </si>
  <si>
    <t>20.2.20</t>
  </si>
  <si>
    <t>20.2.20 to 19.3.20</t>
  </si>
  <si>
    <t>20.3.20 to 19.4.20</t>
  </si>
  <si>
    <t>01801</t>
  </si>
  <si>
    <t>20.4.20 to 19.6.2020</t>
  </si>
  <si>
    <t>01791</t>
  </si>
  <si>
    <t>25.6.2020</t>
  </si>
  <si>
    <t>1M/9574 နွင့္ခ်ိန္း</t>
  </si>
  <si>
    <t>20.6.20 to 19.7.20</t>
  </si>
  <si>
    <t xml:space="preserve">Refund Depost </t>
  </si>
  <si>
    <t xml:space="preserve">24.7.2020 ျပန္အပ္ျပီး </t>
  </si>
  <si>
    <t xml:space="preserve">Mr Cheng Bo </t>
  </si>
  <si>
    <t xml:space="preserve">5P/5451 </t>
  </si>
  <si>
    <t xml:space="preserve">Deoist </t>
  </si>
  <si>
    <t>01646</t>
  </si>
  <si>
    <t>5.10.21</t>
  </si>
  <si>
    <t xml:space="preserve">1L/1050 </t>
  </si>
  <si>
    <t>5.10.21 to 4.11.21</t>
  </si>
  <si>
    <t>5.11.21 to 4.12.21</t>
  </si>
  <si>
    <t>02409</t>
  </si>
  <si>
    <t>6.11.21</t>
  </si>
  <si>
    <t>16.11.21</t>
  </si>
  <si>
    <t>Refund 16.11.21 to 4.12.21</t>
  </si>
  <si>
    <t>16.11.21  ကားအပ္</t>
  </si>
  <si>
    <t xml:space="preserve">Mr Ye Chusheng </t>
  </si>
  <si>
    <t>02412</t>
  </si>
  <si>
    <t>20.11.21</t>
  </si>
  <si>
    <t>23.11.21 KBZ MM AC ထဲ</t>
  </si>
  <si>
    <t>20.11.21 to 19.12.21</t>
  </si>
  <si>
    <t>20.12.21 to 19.1.22</t>
  </si>
  <si>
    <t>02444</t>
  </si>
  <si>
    <t>21.1.22</t>
  </si>
  <si>
    <t>20.1.22 to 19.2.22</t>
  </si>
  <si>
    <t>02104</t>
  </si>
  <si>
    <t>21.2.22</t>
  </si>
  <si>
    <t xml:space="preserve">T/F to MM KBZ </t>
  </si>
  <si>
    <t>20.2.22 to 19.4.22</t>
  </si>
  <si>
    <t>02134</t>
  </si>
  <si>
    <t>18.4.22</t>
  </si>
  <si>
    <t>28.3.22 MM KBZ 3L+18.3.22 7L</t>
  </si>
  <si>
    <t>20.4.220 to 19.5.22</t>
  </si>
  <si>
    <t>00035</t>
  </si>
  <si>
    <t>20.6.22</t>
  </si>
  <si>
    <t xml:space="preserve">22.12.21 MM KBZ AC </t>
  </si>
  <si>
    <t>20.5.22 to 19.6.22</t>
  </si>
  <si>
    <t xml:space="preserve">20.6.22 ကားအပ္ </t>
  </si>
  <si>
    <t xml:space="preserve">D Mya Mya Maw </t>
  </si>
  <si>
    <t>29.7.22 to 28.8.22</t>
  </si>
  <si>
    <t xml:space="preserve">Customer 6L နွင့္ျဖတ္ (50,000 ပြဲခေပး) </t>
  </si>
  <si>
    <t xml:space="preserve">29.8.22 ကားအပ္ </t>
  </si>
  <si>
    <t xml:space="preserve">Ko Hla Aung </t>
  </si>
  <si>
    <t>2.9.22 to 1.3.23</t>
  </si>
  <si>
    <t>00150</t>
  </si>
  <si>
    <t>2.9.22</t>
  </si>
  <si>
    <t>Kpay 10L*3+353,800</t>
  </si>
  <si>
    <t>2.3.23 to 1.9.23</t>
  </si>
  <si>
    <t>0441</t>
  </si>
  <si>
    <t>KBZ New 999 Tg Service</t>
  </si>
  <si>
    <t>9H/5551</t>
  </si>
  <si>
    <t>01830</t>
  </si>
  <si>
    <t>19.2.2020</t>
  </si>
  <si>
    <t>19.2.2020 to 18.3.2020</t>
  </si>
  <si>
    <t>19.3.2020 to 18.4.2020</t>
  </si>
  <si>
    <t xml:space="preserve">Discount for April </t>
  </si>
  <si>
    <t>19.4.2020 to 3.7.2020</t>
  </si>
  <si>
    <t>00753</t>
  </si>
  <si>
    <t>15days*16600</t>
  </si>
  <si>
    <t>ကားအပ္ျပီး (3.7.2020)</t>
  </si>
  <si>
    <t xml:space="preserve">Mr Yang Yulong </t>
  </si>
  <si>
    <t xml:space="preserve">2D/5770 Mark II နွင့္ခ်ိန္း </t>
  </si>
  <si>
    <t>9.6.2020 to 8.8.2020</t>
  </si>
  <si>
    <t>00757</t>
  </si>
  <si>
    <t>4.7.2020</t>
  </si>
  <si>
    <t>9.8.2020 to 8.6.2021</t>
  </si>
  <si>
    <t>01604</t>
  </si>
  <si>
    <t>2.6.21</t>
  </si>
  <si>
    <t>01634</t>
  </si>
  <si>
    <t>Cash 450,000+Kpay 450,000</t>
  </si>
  <si>
    <t xml:space="preserve">26.8.21 to 25.9.21 </t>
  </si>
  <si>
    <t>01645</t>
  </si>
  <si>
    <t xml:space="preserve">Kpay MMO Ac </t>
  </si>
  <si>
    <t xml:space="preserve">26.10.21 to 25.12.21 </t>
  </si>
  <si>
    <t>02434</t>
  </si>
  <si>
    <t xml:space="preserve">26.12.21 to 25.3.22 </t>
  </si>
  <si>
    <t>02124</t>
  </si>
  <si>
    <t>26.3.22 to 25.4.22</t>
  </si>
  <si>
    <t>00004</t>
  </si>
  <si>
    <t xml:space="preserve">26.4.22 to 19.5.22 24days </t>
  </si>
  <si>
    <t xml:space="preserve">19.5.22 ကားအပ္ျပီး </t>
  </si>
  <si>
    <t xml:space="preserve">Repait Charges </t>
  </si>
  <si>
    <t xml:space="preserve">Mr Zhang Qiang </t>
  </si>
  <si>
    <t>02405</t>
  </si>
  <si>
    <t>1.11.21 to 30.11.21</t>
  </si>
  <si>
    <t>1.12.21 to 31.12.21</t>
  </si>
  <si>
    <t>02438</t>
  </si>
  <si>
    <t>Tf to CB MMO AC (2.1.22)</t>
  </si>
  <si>
    <t>ZE2-12118832</t>
  </si>
  <si>
    <t>00008</t>
  </si>
  <si>
    <t>23.5.22 to 22.6.22</t>
  </si>
  <si>
    <t>23.6.22 to 22.7.22</t>
  </si>
  <si>
    <t>00025</t>
  </si>
  <si>
    <t>23.7.22 to 22.8.22</t>
  </si>
  <si>
    <t>00107</t>
  </si>
  <si>
    <t>Kpay MM AC 19.7.22</t>
  </si>
  <si>
    <t xml:space="preserve">23.8.22 to 22.12.22 </t>
  </si>
  <si>
    <t>00314</t>
  </si>
  <si>
    <t xml:space="preserve">STEK Sup Car </t>
  </si>
  <si>
    <t>00360</t>
  </si>
  <si>
    <t>23.1.23 to 22.2.23</t>
  </si>
  <si>
    <t>23.2.23 to 1.3.23</t>
  </si>
  <si>
    <t>00400</t>
  </si>
  <si>
    <t>2.3.23 to 1.4.23</t>
  </si>
  <si>
    <t>00440</t>
  </si>
  <si>
    <t xml:space="preserve">Mr Liu Guanfu </t>
  </si>
  <si>
    <t>00493</t>
  </si>
  <si>
    <t>6.5.23 to 5.6.23</t>
  </si>
  <si>
    <t>6.7.23 to 5.8.23</t>
  </si>
  <si>
    <t>00577</t>
  </si>
  <si>
    <t xml:space="preserve">K pay 999 Tg Service </t>
  </si>
  <si>
    <t>6.8.23 to 5.8.23</t>
  </si>
  <si>
    <t>0017</t>
  </si>
  <si>
    <t xml:space="preserve">KBz Cash </t>
  </si>
  <si>
    <t>6.8.23 to 5.10.23</t>
  </si>
  <si>
    <t>0084</t>
  </si>
  <si>
    <t xml:space="preserve">Kpay 999 Tg </t>
  </si>
  <si>
    <t>6.10.23 to 5.11.23</t>
  </si>
  <si>
    <t>0085</t>
  </si>
  <si>
    <t>U Hla Myint</t>
  </si>
  <si>
    <t>Plugs (SGS)</t>
  </si>
  <si>
    <t>3.11.23 to 2.12.23</t>
  </si>
  <si>
    <t>0196</t>
  </si>
  <si>
    <t>28.12.23</t>
  </si>
  <si>
    <t>Plugs Change Engine Oil Change Repair</t>
  </si>
  <si>
    <t>3.12.23 to 2.1.24</t>
  </si>
  <si>
    <t>3.1.24 to 2.4.24</t>
  </si>
  <si>
    <t>0277</t>
  </si>
  <si>
    <t>3.4.24 to 2.6.24</t>
  </si>
  <si>
    <t>0444</t>
  </si>
  <si>
    <t>Kpay 999  TG Services</t>
  </si>
  <si>
    <t>0523</t>
  </si>
  <si>
    <t>Mr Liu Guan Fu</t>
  </si>
  <si>
    <t>6.5.23</t>
  </si>
  <si>
    <t>6.6.23 to 5.7.23</t>
  </si>
  <si>
    <t>6.6.23</t>
  </si>
  <si>
    <t>00540</t>
  </si>
  <si>
    <t>6.8.23 to 5.9.23</t>
  </si>
  <si>
    <t>6.9.23 to 5.10.23</t>
  </si>
  <si>
    <t>6.11.23 to 5.1.24</t>
  </si>
  <si>
    <t>4.12.23</t>
  </si>
  <si>
    <t>0172</t>
  </si>
  <si>
    <t>6.1.24 to 5.2.24</t>
  </si>
  <si>
    <t>3.1.24</t>
  </si>
  <si>
    <t>0199</t>
  </si>
  <si>
    <t>6.2.24 to 5.3.24</t>
  </si>
  <si>
    <t>2.2.24</t>
  </si>
  <si>
    <t>0225</t>
  </si>
  <si>
    <t>6.3.24 to 5.4.24</t>
  </si>
  <si>
    <t>0274</t>
  </si>
  <si>
    <t>Mr Xu Hai Peng</t>
  </si>
  <si>
    <t>0369</t>
  </si>
  <si>
    <t>12.4.24 to 11.5.24</t>
  </si>
  <si>
    <t>4.5.24</t>
  </si>
  <si>
    <t>4.5.24 တွင်ကားပြန်အပ်သည်</t>
  </si>
  <si>
    <t>0390</t>
  </si>
  <si>
    <t>7.6.24 to 6.7.24</t>
  </si>
  <si>
    <t>0449</t>
  </si>
  <si>
    <t>0521</t>
  </si>
  <si>
    <t xml:space="preserve">Mr Zhang Changming </t>
  </si>
  <si>
    <t>9Q/5615</t>
  </si>
  <si>
    <t>01886</t>
  </si>
  <si>
    <t>14.11.19</t>
  </si>
  <si>
    <t>14.11.19 to 13.1.20</t>
  </si>
  <si>
    <t>14.1.2020 to 13.3.2020</t>
  </si>
  <si>
    <t>01593</t>
  </si>
  <si>
    <t>15.2.2020</t>
  </si>
  <si>
    <t>14.3.2020 to 13.4.2020</t>
  </si>
  <si>
    <t>02155</t>
  </si>
  <si>
    <t>12.3.2020</t>
  </si>
  <si>
    <t>14.4.2020 to 13.12.2020</t>
  </si>
  <si>
    <t>00167</t>
  </si>
  <si>
    <t>20.9.22</t>
  </si>
  <si>
    <t xml:space="preserve">14.12.2020 to 13.12.2021 </t>
  </si>
  <si>
    <t>14.12.2021 to 13.9.2022</t>
  </si>
  <si>
    <t xml:space="preserve">10% Disconut </t>
  </si>
  <si>
    <t xml:space="preserve">20 L ရရန္က်န္ </t>
  </si>
  <si>
    <t>Plugs (8p)</t>
  </si>
  <si>
    <t>Tapper Seul</t>
  </si>
  <si>
    <t>AC Filter</t>
  </si>
  <si>
    <t>ကာဗွန်ဂျီးဆေး/ဆေးရည်</t>
  </si>
  <si>
    <t>ရှေ့အောက်ပိုင်း RLစစ်ဆေး</t>
  </si>
  <si>
    <t>14.3.24 ကားအပ်ပြီး</t>
  </si>
  <si>
    <t>SPY 65 (14 13")</t>
  </si>
  <si>
    <t>ဘိန်းဖုံး (၄ခု)</t>
  </si>
  <si>
    <t>Sticker</t>
  </si>
  <si>
    <t>‌ေရကာ ၁စုံ</t>
  </si>
  <si>
    <t>UNO ရှော့ဘား</t>
  </si>
  <si>
    <t>ရှော့ဘားထိပ်အုံ</t>
  </si>
  <si>
    <t>9L/9176</t>
  </si>
  <si>
    <t xml:space="preserve">ZE2-1208343 </t>
  </si>
  <si>
    <t xml:space="preserve">8.11.19 to 14.11.19 (7) days </t>
  </si>
  <si>
    <t>01872</t>
  </si>
  <si>
    <t>7.11.19</t>
  </si>
  <si>
    <t>Engine Oil+Air filter</t>
  </si>
  <si>
    <t>23.2.19 ရွင္းျပီး</t>
  </si>
  <si>
    <t xml:space="preserve">Mr Wei Zheng </t>
  </si>
  <si>
    <t>01528</t>
  </si>
  <si>
    <t>19.3.20</t>
  </si>
  <si>
    <t>19.3.20 to 18.5.20</t>
  </si>
  <si>
    <t>31.3.2020 ကားအပ္ထား (ေငြျပန္မအမ္းရေသး)</t>
  </si>
  <si>
    <t xml:space="preserve">Ma Nyein Sandar Tun </t>
  </si>
  <si>
    <t>8.4.20 to 7.5.2020</t>
  </si>
  <si>
    <t>01756</t>
  </si>
  <si>
    <t>8.5.2020 to 7.6.2020</t>
  </si>
  <si>
    <t>01777</t>
  </si>
  <si>
    <t xml:space="preserve">Wave Money </t>
  </si>
  <si>
    <t>00788</t>
  </si>
  <si>
    <t>27.7.2020</t>
  </si>
  <si>
    <t>Wave Money 4L+ပိုေငြ 1L(5H/6646)</t>
  </si>
  <si>
    <t>8.7.2020 to 7.9.2020</t>
  </si>
  <si>
    <t>28.10.2020</t>
  </si>
  <si>
    <t xml:space="preserve">4.9.2020 Wave Money 10L </t>
  </si>
  <si>
    <t xml:space="preserve">8.9.20 to 28.10.2020 </t>
  </si>
  <si>
    <t>02516</t>
  </si>
  <si>
    <t>18.12.2020</t>
  </si>
  <si>
    <t xml:space="preserve">16.12.20 AYA Ko Min Myat Ac </t>
  </si>
  <si>
    <t>28.10.2020 ကားအပ္သည္</t>
  </si>
  <si>
    <t xml:space="preserve">Mr Weibin </t>
  </si>
  <si>
    <t>02432</t>
  </si>
  <si>
    <t>28.12.21</t>
  </si>
  <si>
    <t>28.12.2021 to 27.1.2022</t>
  </si>
  <si>
    <t>28.1.2022 to 27.11.2022</t>
  </si>
  <si>
    <t>19.11.22 ကားအပ္သည္</t>
  </si>
  <si>
    <t>Daw Myat Thandar Lwin</t>
  </si>
  <si>
    <t>23.8.23 to 22.9.23</t>
  </si>
  <si>
    <t>0158</t>
  </si>
  <si>
    <t>20.11.23</t>
  </si>
  <si>
    <t>23.9.23 to 22.10.23</t>
  </si>
  <si>
    <t>20.1..23</t>
  </si>
  <si>
    <t>Daw Moh Moh Naing Kyaw</t>
  </si>
  <si>
    <t>23.10.23  to 22.11.23</t>
  </si>
  <si>
    <t>0195</t>
  </si>
  <si>
    <t>23.11.23 to 22.12.23</t>
  </si>
  <si>
    <t>Repair</t>
  </si>
  <si>
    <t>0222</t>
  </si>
  <si>
    <t>31.1.24</t>
  </si>
  <si>
    <t>31.1.24 to 29.2.24</t>
  </si>
  <si>
    <t>1.3.24 to 31.5.24</t>
  </si>
  <si>
    <t>0388</t>
  </si>
  <si>
    <t>0428</t>
  </si>
  <si>
    <t xml:space="preserve">Kpay 999 TG Service </t>
  </si>
  <si>
    <t>0490</t>
  </si>
  <si>
    <t>Repair Exp</t>
  </si>
  <si>
    <t xml:space="preserve">Mr Yang Chen </t>
  </si>
  <si>
    <t xml:space="preserve">4L/9873 </t>
  </si>
  <si>
    <t>00653</t>
  </si>
  <si>
    <t>20.7.19</t>
  </si>
  <si>
    <t>20.7.19 to 10.9.19</t>
  </si>
  <si>
    <t>USD 700*1510</t>
  </si>
  <si>
    <t xml:space="preserve">Mr Huang Guofeng </t>
  </si>
  <si>
    <t>01901</t>
  </si>
  <si>
    <t>10.9.19</t>
  </si>
  <si>
    <t>10.9.19 to 9.11.19</t>
  </si>
  <si>
    <t>10.11.19 to 9.12.19</t>
  </si>
  <si>
    <t>01881</t>
  </si>
  <si>
    <t xml:space="preserve">14.12.19 ကားအပ္ </t>
  </si>
  <si>
    <t xml:space="preserve">Mr Huang Wuyan </t>
  </si>
  <si>
    <t xml:space="preserve">ZE2-1223462 </t>
  </si>
  <si>
    <t>01461</t>
  </si>
  <si>
    <t>17.12.19</t>
  </si>
  <si>
    <t>17.12.19 to 16.2.2020</t>
  </si>
  <si>
    <t>17.2.2020 to 16.3.2020</t>
  </si>
  <si>
    <t>01559</t>
  </si>
  <si>
    <t>19.1.2020</t>
  </si>
  <si>
    <t>21.2.2020</t>
  </si>
  <si>
    <t>Ko Aung Kyaw</t>
  </si>
  <si>
    <t xml:space="preserve">30.7.20 to 30.12.20 </t>
  </si>
  <si>
    <t>02615</t>
  </si>
  <si>
    <t>23.3.21</t>
  </si>
  <si>
    <t>1.1.21 to 30.6.21</t>
  </si>
  <si>
    <t>02426</t>
  </si>
  <si>
    <t>11.12.21</t>
  </si>
  <si>
    <t>1.7.21 to 30.11.21</t>
  </si>
  <si>
    <t>02120</t>
  </si>
  <si>
    <t>25.3.22</t>
  </si>
  <si>
    <t>1.12.21 to 31.3.21</t>
  </si>
  <si>
    <t>00145</t>
  </si>
  <si>
    <t>1.4.22 to 31.8.22</t>
  </si>
  <si>
    <t>1.9.22. to 31.12.22</t>
  </si>
  <si>
    <t>00392</t>
  </si>
  <si>
    <t>18.2.23</t>
  </si>
  <si>
    <t>1.1.23 to 28.2.23</t>
  </si>
  <si>
    <t>00416</t>
  </si>
  <si>
    <t>1.3.23 to 31.7.23</t>
  </si>
  <si>
    <t>0368</t>
  </si>
  <si>
    <t>11.4.24</t>
  </si>
  <si>
    <t xml:space="preserve">Mr Cao Xie Ping </t>
  </si>
  <si>
    <t>3J/4642</t>
  </si>
  <si>
    <t>13.7.19</t>
  </si>
  <si>
    <t>01194</t>
  </si>
  <si>
    <t>2Days*45000</t>
  </si>
  <si>
    <t>15.9.19</t>
  </si>
  <si>
    <t xml:space="preserve">Mr Su Zhongmin </t>
  </si>
  <si>
    <t>00654</t>
  </si>
  <si>
    <t>20.7.19 to 19.9.19</t>
  </si>
  <si>
    <t xml:space="preserve">Mr Ye Shanhai </t>
  </si>
  <si>
    <t>16.9.19 to 15.11.19</t>
  </si>
  <si>
    <t>16.9.19</t>
  </si>
  <si>
    <t>01908</t>
  </si>
  <si>
    <t>MMO KBZ (202)</t>
  </si>
  <si>
    <t>16.11.19 to 15.1.20</t>
  </si>
  <si>
    <t>24.12.19</t>
  </si>
  <si>
    <t>01475</t>
  </si>
  <si>
    <t xml:space="preserve">MMO KBZ (201) </t>
  </si>
  <si>
    <t>16.1.20 to 15.4.20</t>
  </si>
  <si>
    <t>25.3.2020</t>
  </si>
  <si>
    <t>01539</t>
  </si>
  <si>
    <t>8 month*470,000</t>
  </si>
  <si>
    <t>16.4.20 to 15.12.20</t>
  </si>
  <si>
    <t xml:space="preserve">KBZ MM Cash 13L+117L </t>
  </si>
  <si>
    <t>12months*470,000</t>
  </si>
  <si>
    <t>16.12.20 to 15.12.21</t>
  </si>
  <si>
    <t>9months*5L</t>
  </si>
  <si>
    <t>16.12.21 to 15.9.22</t>
  </si>
  <si>
    <t xml:space="preserve">10% Discount 139L*10%- </t>
  </si>
  <si>
    <t>16.9.22 to 15.10.22</t>
  </si>
  <si>
    <t xml:space="preserve">D Moe Hnin Phwe </t>
  </si>
  <si>
    <t>00207</t>
  </si>
  <si>
    <t>25.10.22 to 24.11.22</t>
  </si>
  <si>
    <t>25.11.22 to 24.12.22</t>
  </si>
  <si>
    <t>9.1.22</t>
  </si>
  <si>
    <t>00335</t>
  </si>
  <si>
    <t>00401</t>
  </si>
  <si>
    <t>25.2.23 to 24.3.23</t>
  </si>
  <si>
    <t>25.3.23 to 5.4.23</t>
  </si>
  <si>
    <t>Refund Deposit</t>
  </si>
  <si>
    <t xml:space="preserve">Mr Xiong Yunfu </t>
  </si>
  <si>
    <t>9.11.22</t>
  </si>
  <si>
    <t>00227</t>
  </si>
  <si>
    <t>9.11.22 to 8.12.22</t>
  </si>
  <si>
    <t xml:space="preserve">8.12.22 ကားအပ္ </t>
  </si>
  <si>
    <t>16.12.22</t>
  </si>
  <si>
    <t>00312</t>
  </si>
  <si>
    <t>16.12.22 to 15.1.23</t>
  </si>
  <si>
    <t xml:space="preserve">Mr Ling Xikai </t>
  </si>
  <si>
    <t>00356</t>
  </si>
  <si>
    <t>19.1.23 to 18.2.23</t>
  </si>
  <si>
    <t xml:space="preserve">Mr Li Kun </t>
  </si>
  <si>
    <t>21.2.23</t>
  </si>
  <si>
    <t>00397</t>
  </si>
  <si>
    <t>21.2.23 to 20.3.23</t>
  </si>
  <si>
    <t>21.3.23 to 20.4.23</t>
  </si>
  <si>
    <t>00436</t>
  </si>
  <si>
    <t>21.4.23 to 20.6.23</t>
  </si>
  <si>
    <t>13.5.23</t>
  </si>
  <si>
    <t>00502</t>
  </si>
  <si>
    <t xml:space="preserve">21.6.23 to 20.7.23 </t>
  </si>
  <si>
    <t>26.6.23</t>
  </si>
  <si>
    <t xml:space="preserve">Kpay 999 TG Serives AC </t>
  </si>
  <si>
    <t xml:space="preserve">21.7.23 to 20.8.23 </t>
  </si>
  <si>
    <t>0026</t>
  </si>
  <si>
    <t>27.12.23</t>
  </si>
  <si>
    <t>0194</t>
  </si>
  <si>
    <t xml:space="preserve">27.12.23 to 26.1.24 </t>
  </si>
  <si>
    <t>ကညန သက်တမ်းတိုးငွေသွင်း</t>
  </si>
  <si>
    <t>27.1.24 to 26.4.24</t>
  </si>
  <si>
    <t>0474</t>
  </si>
  <si>
    <t>ဘီးခွန်စည်ပင်</t>
  </si>
  <si>
    <t>27.4.24 to 26.6.24</t>
  </si>
  <si>
    <t>0114</t>
  </si>
  <si>
    <t>အဝိုင်းပျောက်လျှောက် ရဲစခန်း</t>
  </si>
  <si>
    <t>Battery Pot Change Exp</t>
  </si>
  <si>
    <t xml:space="preserve">Mr Yang Cheng </t>
  </si>
  <si>
    <t>4K/1329 (Uncle)</t>
  </si>
  <si>
    <t>17.10.19</t>
  </si>
  <si>
    <t>01938</t>
  </si>
  <si>
    <t xml:space="preserve">28.7.19 to 27.8.19 </t>
  </si>
  <si>
    <t>17.10.19 to 16.11.19</t>
  </si>
  <si>
    <t>28.8.19 to 27.9.19</t>
  </si>
  <si>
    <t>18.2.2020 (ရွင္းျပီး)</t>
  </si>
  <si>
    <t xml:space="preserve">Mr Lu Houwang </t>
  </si>
  <si>
    <t>28.9.19 to 27.10.19</t>
  </si>
  <si>
    <t>9.6.2020 (ရွင္းျပီး) တာေကာယူသြားေပး</t>
  </si>
  <si>
    <t>22.11.19</t>
  </si>
  <si>
    <t>02081</t>
  </si>
  <si>
    <t>From 999 CB AC</t>
  </si>
  <si>
    <t>28.10.19 to 27.11.19</t>
  </si>
  <si>
    <t>5.10.2020 (ရွင္းျပီး) တာေကာယူသြား</t>
  </si>
  <si>
    <t>22.11.19 to 21.12.19</t>
  </si>
  <si>
    <t>28.11.19 to 27.12.19</t>
  </si>
  <si>
    <t>22.12.19 to 21.2.20</t>
  </si>
  <si>
    <t>01596</t>
  </si>
  <si>
    <t>18.2.20</t>
  </si>
  <si>
    <t xml:space="preserve">Mr Du Jian ေပး </t>
  </si>
  <si>
    <t>28.12.19 to 27.1.20</t>
  </si>
  <si>
    <t>2.7.22 (ရွင္းျပီး) USD 3000*R2172</t>
  </si>
  <si>
    <t>22.2.20 to 21.3.20</t>
  </si>
  <si>
    <t>01526</t>
  </si>
  <si>
    <t>18.3.20</t>
  </si>
  <si>
    <t>28.1.20 to 27.2.20</t>
  </si>
  <si>
    <t>28.2.20 to 27.3.20</t>
  </si>
  <si>
    <t>28.3.20 to 27.4.20</t>
  </si>
  <si>
    <t>22.3.20 to 21.4.20</t>
  </si>
  <si>
    <t xml:space="preserve">30.4.2020 Refund Deposit </t>
  </si>
  <si>
    <t>30.4.20</t>
  </si>
  <si>
    <t>28.4.20 to 27.5.22</t>
  </si>
  <si>
    <t>26.5.20 to 25.7.2020</t>
  </si>
  <si>
    <t>01757</t>
  </si>
  <si>
    <t>28.5.22 to 27.6.22</t>
  </si>
  <si>
    <t>15.3.24 ရှင်းပြီး တာကောယူသွားပေး</t>
  </si>
  <si>
    <t>28.6.22 to 27.7.22</t>
  </si>
  <si>
    <t>26.7.20 to 25.1.21</t>
  </si>
  <si>
    <t>5.1.2021</t>
  </si>
  <si>
    <t>02530</t>
  </si>
  <si>
    <t>28.8.22 to 27.9.22</t>
  </si>
  <si>
    <t>26.1.21 to 25.4.21</t>
  </si>
  <si>
    <t>23.4.2021</t>
  </si>
  <si>
    <t>02628</t>
  </si>
  <si>
    <t>22.4.2021</t>
  </si>
  <si>
    <t>26.4.21 to 25.6.22</t>
  </si>
  <si>
    <t>16.6.2021</t>
  </si>
  <si>
    <t>00031</t>
  </si>
  <si>
    <t>28.6.22</t>
  </si>
  <si>
    <t>28.10.22 to 27.11.22</t>
  </si>
  <si>
    <t>26.8.22</t>
  </si>
  <si>
    <t>00143</t>
  </si>
  <si>
    <t>WWT Kpay        Bal 26L က်န္</t>
  </si>
  <si>
    <t>00211</t>
  </si>
  <si>
    <t xml:space="preserve">MM Kpay Bal 6L က်န္ </t>
  </si>
  <si>
    <t>28.12.22 to 27.1.23</t>
  </si>
  <si>
    <t xml:space="preserve">26.6.22 to 25.1.23 </t>
  </si>
  <si>
    <t>00340</t>
  </si>
  <si>
    <t xml:space="preserve">19.11.22 6L Kpay MM+12.1.23 10L Kpay Kyaw Thet Paing+14.1.23 Kpay MM AC 20L (5L အေၾကြးက်န္) </t>
  </si>
  <si>
    <t>28.1.23 to 27.2.23</t>
  </si>
  <si>
    <t>Vr No Bal 00340</t>
  </si>
  <si>
    <t>8.3.23</t>
  </si>
  <si>
    <t>00411</t>
  </si>
  <si>
    <t>Kpay MM 10L+Cash 9L</t>
  </si>
  <si>
    <t>28.2.23 to 27.3.23</t>
  </si>
  <si>
    <t xml:space="preserve">26.1.23 to 7.2.23 </t>
  </si>
  <si>
    <t>28.3.23 to 27.4.23</t>
  </si>
  <si>
    <t>28.4.23 to 27.5.23</t>
  </si>
  <si>
    <t>28.5.23 to 27.6.23</t>
  </si>
  <si>
    <t xml:space="preserve">Mr Tang Young Clun </t>
  </si>
  <si>
    <t>8.3.23 to 7.4.23</t>
  </si>
  <si>
    <t>8.4.23 to 7.6.23</t>
  </si>
  <si>
    <t>00517</t>
  </si>
  <si>
    <t>Kpay MM 12L</t>
  </si>
  <si>
    <t>8.6.23 to 7.3.24</t>
  </si>
  <si>
    <t>0286</t>
  </si>
  <si>
    <t>(19.3.24)Kpay 999 TG 10L + Cash 10L (28.5.24) Kpay 999 TG 20L Bal; 20L</t>
  </si>
  <si>
    <t>0463</t>
  </si>
  <si>
    <t>21.6.24</t>
  </si>
  <si>
    <t xml:space="preserve">Mr Sun Shijia </t>
  </si>
  <si>
    <t>7K/6305</t>
  </si>
  <si>
    <t>12.6.19</t>
  </si>
  <si>
    <t>12.6.19 to 11.8.19</t>
  </si>
  <si>
    <t>12.8.19 to 11.11.19</t>
  </si>
  <si>
    <t>01223</t>
  </si>
  <si>
    <t>3.9.19</t>
  </si>
  <si>
    <t>transfer to MMO KBZ 201AC</t>
  </si>
  <si>
    <t>12.11.19 to 11.2.2020</t>
  </si>
  <si>
    <t>01479</t>
  </si>
  <si>
    <t>12.2.2020 to 11.6.2020</t>
  </si>
  <si>
    <t>01774</t>
  </si>
  <si>
    <t>9.6.2020</t>
  </si>
  <si>
    <t>12.6.20 to 11.10.20</t>
  </si>
  <si>
    <t>02502</t>
  </si>
  <si>
    <t>24.11.20</t>
  </si>
  <si>
    <t>12.10.20 to 29.4.21</t>
  </si>
  <si>
    <t>02633</t>
  </si>
  <si>
    <t>29.4.21</t>
  </si>
  <si>
    <t xml:space="preserve">29.4.21 Finish </t>
  </si>
  <si>
    <t xml:space="preserve">Mr Deng Jianqun </t>
  </si>
  <si>
    <t>00010</t>
  </si>
  <si>
    <t>3.6.22</t>
  </si>
  <si>
    <t>3.6.22 to 2.7.22</t>
  </si>
  <si>
    <t>3.7.22 to 2.8.22</t>
  </si>
  <si>
    <t>00043</t>
  </si>
  <si>
    <t>30.6.22</t>
  </si>
  <si>
    <t xml:space="preserve">Mr Wu Wei Jun </t>
  </si>
  <si>
    <t>00130</t>
  </si>
  <si>
    <t>10.8.22 to 9.9.22</t>
  </si>
  <si>
    <t>10.9.22 to 9.10.22</t>
  </si>
  <si>
    <t>00146</t>
  </si>
  <si>
    <t>30.8.22</t>
  </si>
  <si>
    <t xml:space="preserve">From Insurance 19.10.22 2595200-Rental 500,000-Charges 50,000= Bal 2,045,000 (to Kpay 09-966817111) </t>
  </si>
  <si>
    <t>10.11.22 to 9.3.23</t>
  </si>
  <si>
    <t>Kpay MM 20L</t>
  </si>
  <si>
    <t xml:space="preserve">10.3.23 to 9.7.23 </t>
  </si>
  <si>
    <t>10.7.23 to 9.11.23</t>
  </si>
  <si>
    <t>0093</t>
  </si>
  <si>
    <t>6.11.23</t>
  </si>
  <si>
    <t>Mr Xu Yizhi</t>
  </si>
  <si>
    <t>2.12.23 to 1.4.24</t>
  </si>
  <si>
    <t>0227</t>
  </si>
  <si>
    <t>2.4.24 to 1.7.24</t>
  </si>
  <si>
    <t>0357</t>
  </si>
  <si>
    <t>0498</t>
  </si>
  <si>
    <t xml:space="preserve">Ko Zaw Htoo Aung </t>
  </si>
  <si>
    <t xml:space="preserve">4H/5781 </t>
  </si>
  <si>
    <t>15.6.19 to 14.12.19</t>
  </si>
  <si>
    <t>01155</t>
  </si>
  <si>
    <t xml:space="preserve">14.6.19 </t>
  </si>
  <si>
    <t>Transfer to KBZ MMO AC</t>
  </si>
  <si>
    <t xml:space="preserve">Alignment </t>
  </si>
  <si>
    <t>15.12.19 to 14.1.2020</t>
  </si>
  <si>
    <t>01507</t>
  </si>
  <si>
    <t>28.2.20</t>
  </si>
  <si>
    <t>Transfer to KBZ MMO AC (202) AC</t>
  </si>
  <si>
    <t xml:space="preserve">Wiper လဲခ </t>
  </si>
  <si>
    <t>15.1.2020 to 14.4.2020</t>
  </si>
  <si>
    <t>01775</t>
  </si>
  <si>
    <t>10.6.20</t>
  </si>
  <si>
    <t>Trasnfer to KBZ MMO (201) AC \</t>
  </si>
  <si>
    <t xml:space="preserve"> ဂန္းဘြတ္/ဘရိတ္ </t>
  </si>
  <si>
    <t>15.4.2020 to 14.8.2020</t>
  </si>
  <si>
    <t>00058</t>
  </si>
  <si>
    <t>15.6.19</t>
  </si>
  <si>
    <t>မီးလံုး၊စေတကာကပ္</t>
  </si>
  <si>
    <t>15.8.2020 to 14.9.2020</t>
  </si>
  <si>
    <t>00116</t>
  </si>
  <si>
    <t>ေျခနင္းခြက္</t>
  </si>
  <si>
    <t xml:space="preserve">Mr Andy /Mr Wang Ping </t>
  </si>
  <si>
    <t>00374</t>
  </si>
  <si>
    <t>3.2.23</t>
  </si>
  <si>
    <t>3.3.23 to 2.5.23</t>
  </si>
  <si>
    <t>00407</t>
  </si>
  <si>
    <t>3.5.23 to 2.7.23</t>
  </si>
  <si>
    <t>00516</t>
  </si>
  <si>
    <t>USD 100*R2850+1015000</t>
  </si>
  <si>
    <t>3.7.23 to 2.8.23</t>
  </si>
  <si>
    <t>0009</t>
  </si>
  <si>
    <t xml:space="preserve">KBZ MM Cash AC </t>
  </si>
  <si>
    <t>3.8.23 to 2.10.23</t>
  </si>
  <si>
    <t>0046</t>
  </si>
  <si>
    <t>0075</t>
  </si>
  <si>
    <t>20.9.24 Repair Charges</t>
  </si>
  <si>
    <t>1M/9574</t>
  </si>
  <si>
    <t>27.9.16  to  26.10.16</t>
  </si>
  <si>
    <t>01916</t>
  </si>
  <si>
    <t>27.9.16</t>
  </si>
  <si>
    <t>27.10.16  to  26.11.16</t>
  </si>
  <si>
    <t>27.10.16</t>
  </si>
  <si>
    <t>Ko Soe Min Naing</t>
  </si>
  <si>
    <t>5.12.16  to  4.1.17</t>
  </si>
  <si>
    <t>03658</t>
  </si>
  <si>
    <t>5.12.16</t>
  </si>
  <si>
    <t>Ko Nyi Nyi Soe</t>
  </si>
  <si>
    <t>29.5.17  to  28.6.17</t>
  </si>
  <si>
    <t>29.5.17</t>
  </si>
  <si>
    <t>29.6.17  to  28.7.17</t>
  </si>
  <si>
    <t>29.7.17  to  28.8.17</t>
  </si>
  <si>
    <t>28.7.17</t>
  </si>
  <si>
    <t>29.8.17  to  28.9.17</t>
  </si>
  <si>
    <t>29.8.17</t>
  </si>
  <si>
    <t>transfer to KBZ A/C</t>
  </si>
  <si>
    <t>29.9.17  to  28.10.17</t>
  </si>
  <si>
    <t>00394</t>
  </si>
  <si>
    <t>2.10.17</t>
  </si>
  <si>
    <t>29.10.17  to  28.11.17</t>
  </si>
  <si>
    <t>00452</t>
  </si>
  <si>
    <t>29.11.17  to  28.12.17</t>
  </si>
  <si>
    <t>1.12.17</t>
  </si>
  <si>
    <t>29.12.17  to  28.1.18</t>
  </si>
  <si>
    <t>3.1.18</t>
  </si>
  <si>
    <t>29.1.18 to 28.2.18</t>
  </si>
  <si>
    <t>2.2.18</t>
  </si>
  <si>
    <t>1.3.18 to 31.3.18</t>
  </si>
  <si>
    <t>5.3.18</t>
  </si>
  <si>
    <t xml:space="preserve">1.4.18 to 30.4.18 </t>
  </si>
  <si>
    <t>00581</t>
  </si>
  <si>
    <t>2.4.18</t>
  </si>
  <si>
    <t xml:space="preserve">1.5.18 to 31.5.18 </t>
  </si>
  <si>
    <t>00603</t>
  </si>
  <si>
    <t>3.5.18</t>
  </si>
  <si>
    <t>1.6.18 to 30.6.18</t>
  </si>
  <si>
    <t>00650</t>
  </si>
  <si>
    <t>6.6.18</t>
  </si>
  <si>
    <t xml:space="preserve">1.7.18 to 31.7.18 </t>
  </si>
  <si>
    <t>01335</t>
  </si>
  <si>
    <t>3.7.18</t>
  </si>
  <si>
    <t xml:space="preserve">1.8.18 to 31.8.18 </t>
  </si>
  <si>
    <t>01954</t>
  </si>
  <si>
    <t>31.7.18</t>
  </si>
  <si>
    <t>01290</t>
  </si>
  <si>
    <t>1.9.18</t>
  </si>
  <si>
    <t xml:space="preserve">1.9.18 to 30.9.18 </t>
  </si>
  <si>
    <t>1.10.18 to 31.10.19</t>
  </si>
  <si>
    <t>01986</t>
  </si>
  <si>
    <t>transfer to CB A/C</t>
  </si>
  <si>
    <t>1.11.18 to 30.11.18</t>
  </si>
  <si>
    <t>00913</t>
  </si>
  <si>
    <t>1.12.18 to 31.12.18</t>
  </si>
  <si>
    <t>01374</t>
  </si>
  <si>
    <t>1.1.19 to 31.1.19</t>
  </si>
  <si>
    <t>01031</t>
  </si>
  <si>
    <t>5.2.19</t>
  </si>
  <si>
    <t>cash</t>
  </si>
  <si>
    <t xml:space="preserve">1.2.19 to 28.2.19 </t>
  </si>
  <si>
    <t>00985</t>
  </si>
  <si>
    <t>00994</t>
  </si>
  <si>
    <t xml:space="preserve">1.3.19 to 31.3.19 </t>
  </si>
  <si>
    <t>01074</t>
  </si>
  <si>
    <t>9.4.19</t>
  </si>
  <si>
    <t>5Q/8505 (change)</t>
  </si>
  <si>
    <t xml:space="preserve">16.11.22 ကားအပ္ထား </t>
  </si>
  <si>
    <t xml:space="preserve">Myat Lin </t>
  </si>
  <si>
    <t xml:space="preserve">1.12. 20 to 1.2.21 </t>
  </si>
  <si>
    <t>02604</t>
  </si>
  <si>
    <t>19.2.21</t>
  </si>
  <si>
    <t xml:space="preserve">Mr Zhong Dam </t>
  </si>
  <si>
    <t>01187</t>
  </si>
  <si>
    <t>9.7.19 to 8.9.19</t>
  </si>
  <si>
    <t xml:space="preserve">Mr Huang Yunhu </t>
  </si>
  <si>
    <t>01218</t>
  </si>
  <si>
    <t>2.9.19</t>
  </si>
  <si>
    <t>2.9.19 to 1.11.19</t>
  </si>
  <si>
    <t>2.11.19 to 1.12.19</t>
  </si>
  <si>
    <t>01885</t>
  </si>
  <si>
    <t>13.11.19</t>
  </si>
  <si>
    <t>2.12.19 to 1.2.2020</t>
  </si>
  <si>
    <t>01480</t>
  </si>
  <si>
    <t>2.2.2020 to 1.4.2020</t>
  </si>
  <si>
    <t>01529</t>
  </si>
  <si>
    <t>7P/6171လဲ</t>
  </si>
  <si>
    <t>c</t>
  </si>
  <si>
    <t>00048</t>
  </si>
  <si>
    <t>6.7.22</t>
  </si>
  <si>
    <t>6.7.22 to 5.8.22</t>
  </si>
  <si>
    <t>6.8.22 to 5.9.22</t>
  </si>
  <si>
    <t>00127</t>
  </si>
  <si>
    <t>5.8.22</t>
  </si>
  <si>
    <t xml:space="preserve">6.9.22 to 5.10.22 </t>
  </si>
  <si>
    <t>00152</t>
  </si>
  <si>
    <t>6.9.22</t>
  </si>
  <si>
    <t>6.10.22 to 5.11.22</t>
  </si>
  <si>
    <t xml:space="preserve">AYA MM </t>
  </si>
  <si>
    <t>6.11.22 to 5.12.22</t>
  </si>
  <si>
    <t>00230</t>
  </si>
  <si>
    <t>7.11.22</t>
  </si>
  <si>
    <t>6.12.22 to 5.1.23</t>
  </si>
  <si>
    <t>00307</t>
  </si>
  <si>
    <t>15.10.22</t>
  </si>
  <si>
    <t>15.10.22 to 14.11.22</t>
  </si>
  <si>
    <t>15.11.22 to 14.12.22</t>
  </si>
  <si>
    <t xml:space="preserve">Mr Li Maozhe </t>
  </si>
  <si>
    <t>00336</t>
  </si>
  <si>
    <t>9.1.23</t>
  </si>
  <si>
    <t>9.1.23 to 8.2.23</t>
  </si>
  <si>
    <t>9.2.23 to 8.3.23</t>
  </si>
  <si>
    <t>00383</t>
  </si>
  <si>
    <t xml:space="preserve">9.3.23 to 8.4.23 </t>
  </si>
  <si>
    <t>00466</t>
  </si>
  <si>
    <t>9.4.23 to 22.4.23</t>
  </si>
  <si>
    <t>22.4.23 ကားအပ္ျပီး</t>
  </si>
  <si>
    <t xml:space="preserve">Ko Zay Paing Htoo </t>
  </si>
  <si>
    <t>0100</t>
  </si>
  <si>
    <t>10.11.23</t>
  </si>
  <si>
    <t xml:space="preserve">10.11.23 to 9.12.23 </t>
  </si>
  <si>
    <t>0216</t>
  </si>
  <si>
    <t>0300</t>
  </si>
  <si>
    <t>20.3.24 to 29.3.24</t>
  </si>
  <si>
    <t>၂၉.၃.၂၄ကားအပ်ပြီး</t>
  </si>
  <si>
    <t>0364</t>
  </si>
  <si>
    <t>ASD Co.,Ltd (Mr.Zhang Yongmeng)</t>
  </si>
  <si>
    <t>1N/6213</t>
  </si>
  <si>
    <t>21.8.17  to  20.9.17</t>
  </si>
  <si>
    <t>21.9.17  to  20.10.17</t>
  </si>
  <si>
    <t>00430</t>
  </si>
  <si>
    <t>6.11.17</t>
  </si>
  <si>
    <t>21.10.17  to  20.11.17</t>
  </si>
  <si>
    <t>21.11.17  to  20.12.17</t>
  </si>
  <si>
    <t>27.12.17</t>
  </si>
  <si>
    <t>21.12.17  to  20.1.18</t>
  </si>
  <si>
    <t>21.1.18  to  20.2.18</t>
  </si>
  <si>
    <t xml:space="preserve">21.2.18 to 20.3.18 </t>
  </si>
  <si>
    <t>00473</t>
  </si>
  <si>
    <t>12.5.18</t>
  </si>
  <si>
    <t xml:space="preserve">21.3.18 to 20.4.18 </t>
  </si>
  <si>
    <t>00474</t>
  </si>
  <si>
    <t xml:space="preserve">21.4.18 to 20.5.18 </t>
  </si>
  <si>
    <t>00475</t>
  </si>
  <si>
    <t>21.5.18 to 20.9.18</t>
  </si>
  <si>
    <t>01295</t>
  </si>
  <si>
    <t>4.9.18</t>
  </si>
  <si>
    <t>21.9.18 to 20.10.18</t>
  </si>
  <si>
    <t>01005</t>
  </si>
  <si>
    <t>16.1.19</t>
  </si>
  <si>
    <t xml:space="preserve">21.10.18 to 20.2.19 </t>
  </si>
  <si>
    <t>00986</t>
  </si>
  <si>
    <t>12.3.19</t>
  </si>
  <si>
    <t>21.2.19 to 20.7.19</t>
  </si>
  <si>
    <t>01233</t>
  </si>
  <si>
    <t>21.7.19 to 20.1.20</t>
  </si>
  <si>
    <t>01519</t>
  </si>
  <si>
    <t>21.1.20 to 20.3.20</t>
  </si>
  <si>
    <t>01520</t>
  </si>
  <si>
    <t>20.8.22</t>
  </si>
  <si>
    <t>20.8.22 to 19.9.22</t>
  </si>
  <si>
    <t>20.9.22 to 19.10.22</t>
  </si>
  <si>
    <t>00169</t>
  </si>
  <si>
    <t>22.9.22</t>
  </si>
  <si>
    <t>22.10.22</t>
  </si>
  <si>
    <t>22.10.22  ကားအပ္</t>
  </si>
  <si>
    <t xml:space="preserve">Mr Chen Jun </t>
  </si>
  <si>
    <t>00213</t>
  </si>
  <si>
    <t>28.10.22</t>
  </si>
  <si>
    <t>00247</t>
  </si>
  <si>
    <t>1.12.22</t>
  </si>
  <si>
    <t>00325</t>
  </si>
  <si>
    <t>4.3.23</t>
  </si>
  <si>
    <t>Kpay mm 5L</t>
  </si>
  <si>
    <t>28.7.23 to 27.5.23</t>
  </si>
  <si>
    <t>00478</t>
  </si>
  <si>
    <t>28.4.23</t>
  </si>
  <si>
    <t xml:space="preserve">28.5.23 to 27.6.23 </t>
  </si>
  <si>
    <t>00523</t>
  </si>
  <si>
    <t>29.5.23</t>
  </si>
  <si>
    <t>28.6.23 to 27.7.23</t>
  </si>
  <si>
    <t>00582</t>
  </si>
  <si>
    <t>3.7.23</t>
  </si>
  <si>
    <t>28.7.23 to 27.8.23</t>
  </si>
  <si>
    <t>00630</t>
  </si>
  <si>
    <t>2.8.23</t>
  </si>
  <si>
    <t xml:space="preserve">28.8.23 to 27.9.23 </t>
  </si>
  <si>
    <t>0041</t>
  </si>
  <si>
    <t>30.8.23</t>
  </si>
  <si>
    <t>28.9.23 to 27.10.23</t>
  </si>
  <si>
    <t>0062</t>
  </si>
  <si>
    <t>3.10.23</t>
  </si>
  <si>
    <t>28.10.23 to 27.11.23</t>
  </si>
  <si>
    <t>0089</t>
  </si>
  <si>
    <t>28.11.23 to 27.12.23</t>
  </si>
  <si>
    <t>0207</t>
  </si>
  <si>
    <t>8.1.24</t>
  </si>
  <si>
    <t>28.12.23 to 27.1.24</t>
  </si>
  <si>
    <t>0221</t>
  </si>
  <si>
    <t>30.1.24</t>
  </si>
  <si>
    <t>28.1.24 to 27.2.24</t>
  </si>
  <si>
    <t>28.2.2024 ကားအပ်ပြီး</t>
  </si>
  <si>
    <t>Mr Lu Jianzhuang</t>
  </si>
  <si>
    <t>1.3.24</t>
  </si>
  <si>
    <t>ခါးဘွတ်လဲ</t>
  </si>
  <si>
    <t>ဖြုတ်တပ်ပရက်စ်</t>
  </si>
  <si>
    <t>ဂန်းသဲကာ</t>
  </si>
  <si>
    <t>0252</t>
  </si>
  <si>
    <t>ရှေ့အောက်ပိုင်း စစ်ဆေး ဆီယိုပြုပြင်</t>
  </si>
  <si>
    <t>Link (2P)</t>
  </si>
  <si>
    <t xml:space="preserve">Car Repair Charges </t>
  </si>
  <si>
    <t>Tappet Seol</t>
  </si>
  <si>
    <t>0437</t>
  </si>
  <si>
    <t>Kpay 999 TG 4L+ Cash 20L</t>
  </si>
  <si>
    <t xml:space="preserve">Ko Nyi Nyi Soe </t>
  </si>
  <si>
    <t>5Q/8505</t>
  </si>
  <si>
    <t>ZE-1404250</t>
  </si>
  <si>
    <t xml:space="preserve">1.4.19 to 30.4.19 </t>
  </si>
  <si>
    <t>01105</t>
  </si>
  <si>
    <t>7.5.19</t>
  </si>
  <si>
    <t>1.5.19 to 31.5.19</t>
  </si>
  <si>
    <t>01130</t>
  </si>
  <si>
    <t>5.6.19</t>
  </si>
  <si>
    <t>transfer to CB MMO AC</t>
  </si>
  <si>
    <t>23.5.19</t>
  </si>
  <si>
    <t>Insurance for 5Q/8505 (IKBZ)</t>
  </si>
  <si>
    <t>1.6.19 to 30.6.19</t>
  </si>
  <si>
    <t>01177</t>
  </si>
  <si>
    <t>2.7.19</t>
  </si>
  <si>
    <t>00684</t>
  </si>
  <si>
    <t>6.8.19</t>
  </si>
  <si>
    <t>1.8.19 to 31.8.19</t>
  </si>
  <si>
    <t>01220</t>
  </si>
  <si>
    <t>1.9.19 to 30.9.19</t>
  </si>
  <si>
    <t>01933</t>
  </si>
  <si>
    <t>8.10.19</t>
  </si>
  <si>
    <t xml:space="preserve">transfer to KBZ 999 AC </t>
  </si>
  <si>
    <t>1.10.19 to 31.10.19</t>
  </si>
  <si>
    <t>01867</t>
  </si>
  <si>
    <t>5.11.19</t>
  </si>
  <si>
    <t>1.11.19 to 31.11.19</t>
  </si>
  <si>
    <t>01556</t>
  </si>
  <si>
    <t>1.12.19 to 31.12.19</t>
  </si>
  <si>
    <t>01557</t>
  </si>
  <si>
    <t>17.1.2020</t>
  </si>
  <si>
    <t>1.1.20 to 31.1.2020</t>
  </si>
  <si>
    <t>01577</t>
  </si>
  <si>
    <t>6.2.2020</t>
  </si>
  <si>
    <t>1.2.2020 to 29.2.2020</t>
  </si>
  <si>
    <t>01509</t>
  </si>
  <si>
    <t>3.3.2020</t>
  </si>
  <si>
    <t>MMO AYA 1L+3L cash</t>
  </si>
  <si>
    <t>1.3.2020 to 31.3.2020</t>
  </si>
  <si>
    <t>01768</t>
  </si>
  <si>
    <t>transfer to AYA AC</t>
  </si>
  <si>
    <t>Repait charges (မွန္စက္ေမာ္တာ)</t>
  </si>
  <si>
    <t>1.4.2020 to 30.4.2020</t>
  </si>
  <si>
    <t>01769</t>
  </si>
  <si>
    <t>2.6.2020</t>
  </si>
  <si>
    <t xml:space="preserve">trasnfer to AYA AC </t>
  </si>
  <si>
    <t>1.5.2020 to 31.5.2020</t>
  </si>
  <si>
    <t>00765</t>
  </si>
  <si>
    <t>8.7.2020</t>
  </si>
  <si>
    <t xml:space="preserve">trasnfer to CB AC </t>
  </si>
  <si>
    <t>1.6.2020 to 30.6.2020</t>
  </si>
  <si>
    <t>00798</t>
  </si>
  <si>
    <t>17.8.2020</t>
  </si>
  <si>
    <t xml:space="preserve">7.8.20 Trasnfer to CB </t>
  </si>
  <si>
    <t>1.7.2020 to 31.7.2020</t>
  </si>
  <si>
    <t>01364</t>
  </si>
  <si>
    <t>8.9.2020</t>
  </si>
  <si>
    <t>8.9.20 Trasnfer to KBZ Mmo 201AC</t>
  </si>
  <si>
    <t>1.08.2020 to 30.08.2020</t>
  </si>
  <si>
    <t>01395</t>
  </si>
  <si>
    <t>4.11.2020</t>
  </si>
  <si>
    <t xml:space="preserve">4.11.20 Trasnfer to MMO AYA Ac </t>
  </si>
  <si>
    <t>1.09.2020 to 30.09.2020</t>
  </si>
  <si>
    <t>01396</t>
  </si>
  <si>
    <t>1.10.20 to 30.11.2020</t>
  </si>
  <si>
    <t>02512</t>
  </si>
  <si>
    <t>7.12.2020</t>
  </si>
  <si>
    <t>1.12.20 to 31.12.2020</t>
  </si>
  <si>
    <t>02610</t>
  </si>
  <si>
    <t>4.3.21</t>
  </si>
  <si>
    <t>1.1.21 to 31.1.20</t>
  </si>
  <si>
    <t>1.2.21 to 28.2.21</t>
  </si>
  <si>
    <t>02626</t>
  </si>
  <si>
    <t>12.4.21</t>
  </si>
  <si>
    <t>ပိုေငြ 54,000</t>
  </si>
  <si>
    <t>1.3.21 to 31.3.21</t>
  </si>
  <si>
    <t>02647</t>
  </si>
  <si>
    <t>22.5.21</t>
  </si>
  <si>
    <t xml:space="preserve">Vr ပိုေငြ </t>
  </si>
  <si>
    <t>1.4.21 to 30.6.21</t>
  </si>
  <si>
    <t>00021</t>
  </si>
  <si>
    <t xml:space="preserve">T/F to KBZ MM Ac </t>
  </si>
  <si>
    <t xml:space="preserve">1.7.21 to 31.12.21 </t>
  </si>
  <si>
    <t xml:space="preserve">6 Months*5L </t>
  </si>
  <si>
    <t xml:space="preserve">1.1.22 to </t>
  </si>
  <si>
    <t>U Myint Zaw Lwin</t>
  </si>
  <si>
    <t>00248</t>
  </si>
  <si>
    <t>2.12.22 to 1.2.23</t>
  </si>
  <si>
    <t xml:space="preserve">2.2.23 to 1.3.23 </t>
  </si>
  <si>
    <t xml:space="preserve">2.4.23 to 1.5.23 </t>
  </si>
  <si>
    <t>00505</t>
  </si>
  <si>
    <t>2.5.23 to 1.7.23</t>
  </si>
  <si>
    <t>00587</t>
  </si>
  <si>
    <t>8.7.23</t>
  </si>
  <si>
    <t>0040</t>
  </si>
  <si>
    <t>29.8.23</t>
  </si>
  <si>
    <t>2.8.23 to 1.9.23</t>
  </si>
  <si>
    <t>Mr Zhu Qinglei</t>
  </si>
  <si>
    <t>0096</t>
  </si>
  <si>
    <t>8.11.23</t>
  </si>
  <si>
    <t>Hla Min Thu</t>
  </si>
  <si>
    <t>0188</t>
  </si>
  <si>
    <t>22.12.23 to 22.1.24</t>
  </si>
  <si>
    <t>0219</t>
  </si>
  <si>
    <t>24.1.24</t>
  </si>
  <si>
    <t>24.1.24 to 23.2.24</t>
  </si>
  <si>
    <t>24.2.24 to 23.3.24</t>
  </si>
  <si>
    <t>0424</t>
  </si>
  <si>
    <t>0423</t>
  </si>
  <si>
    <t xml:space="preserve">Suzuki </t>
  </si>
  <si>
    <t>15.11.2022 to 14.5.2023</t>
  </si>
  <si>
    <t>000236</t>
  </si>
  <si>
    <t>15.5.2023 to 14.11.2023</t>
  </si>
  <si>
    <t>00507</t>
  </si>
  <si>
    <t>16.5.23</t>
  </si>
  <si>
    <t>USD 2000*R2850+Cash 180000</t>
  </si>
  <si>
    <t>15.11.2023 to 14.5.2024</t>
  </si>
  <si>
    <t>15.11.23</t>
  </si>
  <si>
    <t>(-10%) Disc</t>
  </si>
  <si>
    <t>0462</t>
  </si>
  <si>
    <t xml:space="preserve">Samanea Yangon Development Ltd /Lesso Home Development </t>
  </si>
  <si>
    <t>2Q/1461</t>
  </si>
  <si>
    <t>01140</t>
  </si>
  <si>
    <t>10.6.19</t>
  </si>
  <si>
    <t xml:space="preserve">For 2Q/1461 GPS တပ္ +Engine Oil လဲ </t>
  </si>
  <si>
    <t>10.6.19 to 9.8.19</t>
  </si>
  <si>
    <t xml:space="preserve">10.8.19 to 9.9.19 </t>
  </si>
  <si>
    <t>01201</t>
  </si>
  <si>
    <t>19.8.19</t>
  </si>
  <si>
    <t>10.8.19 to  9.10.19</t>
  </si>
  <si>
    <t>00690</t>
  </si>
  <si>
    <t>14.8.19</t>
  </si>
  <si>
    <t>10.10.19 to 9.12.19</t>
  </si>
  <si>
    <t>01943</t>
  </si>
  <si>
    <t>4.11.19</t>
  </si>
  <si>
    <t>10.12.19 to 9.2.2020</t>
  </si>
  <si>
    <t>01456</t>
  </si>
  <si>
    <t>10.2.2020 to 9.5.2020</t>
  </si>
  <si>
    <t>01592</t>
  </si>
  <si>
    <t>10.5.2020 to 9.8.2020</t>
  </si>
  <si>
    <t>22.5.2020</t>
  </si>
  <si>
    <t>10.8.2020 to 9.11.2020</t>
  </si>
  <si>
    <t>01363</t>
  </si>
  <si>
    <t>10.11.2020 to 9.1.2021</t>
  </si>
  <si>
    <t>09-782152645</t>
  </si>
  <si>
    <t>10.1.21 to 9.4.21</t>
  </si>
  <si>
    <t>02543</t>
  </si>
  <si>
    <t>6.9.21 to 5.12.21</t>
  </si>
  <si>
    <t>01638</t>
  </si>
  <si>
    <t>6.9.21</t>
  </si>
  <si>
    <t>389*3months</t>
  </si>
  <si>
    <t>6.12.21 to 5.1.22</t>
  </si>
  <si>
    <t>02429</t>
  </si>
  <si>
    <t>21.12.21</t>
  </si>
  <si>
    <t xml:space="preserve">အပ္ျပီး (6.1.22) </t>
  </si>
  <si>
    <t xml:space="preserve">Ko Ye Aung </t>
  </si>
  <si>
    <t xml:space="preserve">23.5.22 to 22.6.22 </t>
  </si>
  <si>
    <t>00006</t>
  </si>
  <si>
    <t xml:space="preserve">Kpay MMO </t>
  </si>
  <si>
    <t xml:space="preserve">23.6.22 ကားအပ္ </t>
  </si>
  <si>
    <t>00124</t>
  </si>
  <si>
    <t>2.9.22 to 1.10.22</t>
  </si>
  <si>
    <t>00140</t>
  </si>
  <si>
    <t>31.8.22</t>
  </si>
  <si>
    <t>00178</t>
  </si>
  <si>
    <t>2.11.22 to 1.12.22</t>
  </si>
  <si>
    <t xml:space="preserve">2.12.22 to 1.2.23 </t>
  </si>
  <si>
    <t>00354</t>
  </si>
  <si>
    <t>17.1.23</t>
  </si>
  <si>
    <t>00487</t>
  </si>
  <si>
    <t xml:space="preserve">2.5.23 </t>
  </si>
  <si>
    <t>00576</t>
  </si>
  <si>
    <t>2.7.23 to 1.9.23</t>
  </si>
  <si>
    <t>0014</t>
  </si>
  <si>
    <t>6.8.23</t>
  </si>
  <si>
    <t>2.9.23 to 1.10.23</t>
  </si>
  <si>
    <t>0043</t>
  </si>
  <si>
    <t xml:space="preserve">Kpay Services 99 Tg </t>
  </si>
  <si>
    <t>2.10.23 to 1.11.23</t>
  </si>
  <si>
    <t>0068</t>
  </si>
  <si>
    <t>2.11.23 to 1.12.23</t>
  </si>
  <si>
    <t>0182</t>
  </si>
  <si>
    <t>0183</t>
  </si>
  <si>
    <t>2.1.24 to 1.3.24</t>
  </si>
  <si>
    <t>0230</t>
  </si>
  <si>
    <t>2.3.24 to 1.4.24</t>
  </si>
  <si>
    <t>0287</t>
  </si>
  <si>
    <t>999 TG Ser AC</t>
  </si>
  <si>
    <t>2.4.24 to 1.5.24</t>
  </si>
  <si>
    <t>0363</t>
  </si>
  <si>
    <t>2.5.24 to 1.6.24</t>
  </si>
  <si>
    <t>0407</t>
  </si>
  <si>
    <t>2.6.24 to 1.7.24</t>
  </si>
  <si>
    <t>0440</t>
  </si>
  <si>
    <t xml:space="preserve">Ko R Tee </t>
  </si>
  <si>
    <t>01054</t>
  </si>
  <si>
    <t>Transfer to MMO AYA AC</t>
  </si>
  <si>
    <t>25.3.19 to 24.5.19</t>
  </si>
  <si>
    <t xml:space="preserve">25.5.19 to 15.6.19 (21) Days </t>
  </si>
  <si>
    <t>10.7.19</t>
  </si>
  <si>
    <t xml:space="preserve">Ko Sai Naw Kham </t>
  </si>
  <si>
    <t>01934</t>
  </si>
  <si>
    <t xml:space="preserve">Ma Cho Hwae Shoe </t>
  </si>
  <si>
    <t>01892</t>
  </si>
  <si>
    <t>25.11.19</t>
  </si>
  <si>
    <t>26.11.19 to 25.12.19</t>
  </si>
  <si>
    <t xml:space="preserve">Trasnfer to CB MMO AC </t>
  </si>
  <si>
    <t>26.12.19 to 25.2.2020</t>
  </si>
  <si>
    <t>01595</t>
  </si>
  <si>
    <t xml:space="preserve">Transfer to KBZ MMO (201)Ac </t>
  </si>
  <si>
    <t>26.2.2020 to 25.4.2020</t>
  </si>
  <si>
    <t>01834</t>
  </si>
  <si>
    <t>26.4.2020 to 25.5.2020</t>
  </si>
  <si>
    <t>01794</t>
  </si>
  <si>
    <t>27.6.2020</t>
  </si>
  <si>
    <t>26.5.2020 to 25.6.2020</t>
  </si>
  <si>
    <t>27.6.2020 ကားျပန္</t>
  </si>
  <si>
    <t>01798</t>
  </si>
  <si>
    <t xml:space="preserve">9L/9176 commssion Fees </t>
  </si>
  <si>
    <t xml:space="preserve">MR Fu Yongjun </t>
  </si>
  <si>
    <t>00002</t>
  </si>
  <si>
    <t>Deposit USD 500</t>
  </si>
  <si>
    <t>4.6.22 to 3.7.22</t>
  </si>
  <si>
    <t>00022</t>
  </si>
  <si>
    <t>01091</t>
  </si>
  <si>
    <t>8.5.19</t>
  </si>
  <si>
    <t xml:space="preserve">8.5.19 to 7.6.19 </t>
  </si>
  <si>
    <t>30.5.19</t>
  </si>
  <si>
    <t>30.5.19 ကားအပ္ျပီး</t>
  </si>
  <si>
    <t>4H/8541 Civic</t>
  </si>
  <si>
    <t xml:space="preserve">Sr </t>
  </si>
  <si>
    <t xml:space="preserve">25.3.19 to 24.5.19 </t>
  </si>
  <si>
    <t>25.5.19 to 24.6.19</t>
  </si>
  <si>
    <t xml:space="preserve">Total Rec </t>
  </si>
  <si>
    <t>GPS (81000+5000)</t>
  </si>
  <si>
    <t xml:space="preserve">ေရွ႔မွန္ထိုး </t>
  </si>
  <si>
    <t xml:space="preserve">Remote </t>
  </si>
  <si>
    <t xml:space="preserve">Baterry </t>
  </si>
  <si>
    <t xml:space="preserve">မွန္စတစ္ကာ၆ခု၊ေရေမႊး၊ေသာ့ခ်ိတ္ </t>
  </si>
  <si>
    <t>Air com Gas ျဖည္႔</t>
  </si>
  <si>
    <t>လက္ကိုင္ေဂြ</t>
  </si>
  <si>
    <t xml:space="preserve">ေသာ့အိတ္လဲ </t>
  </si>
  <si>
    <t xml:space="preserve">alignment </t>
  </si>
  <si>
    <t xml:space="preserve">U Soe Win Work Shop </t>
  </si>
  <si>
    <t>Naing Brother Tyre(4)လံုး</t>
  </si>
  <si>
    <t xml:space="preserve">computer စစ္ </t>
  </si>
  <si>
    <t xml:space="preserve">ေရွ႔ေရွာဘာ/Plug 8 လံုး </t>
  </si>
  <si>
    <t xml:space="preserve">ယာဥ္မွန္/မမွန္စစ္ </t>
  </si>
  <si>
    <t>Total Exp (စရိတ္)</t>
  </si>
  <si>
    <t>Total Bal (ရရန္)</t>
  </si>
  <si>
    <t>12.6.19 (ရွင္းျပီး)</t>
  </si>
  <si>
    <t xml:space="preserve">Ko Aung Ye Khaung </t>
  </si>
  <si>
    <t>01148</t>
  </si>
  <si>
    <t>12.6.19 to 11.7.19</t>
  </si>
  <si>
    <t>12.7.19to26.7.19 15days*16129</t>
  </si>
  <si>
    <t>26.7.19</t>
  </si>
  <si>
    <t>26.7.19 ကားအပ္ျပီး</t>
  </si>
  <si>
    <t>25.6.19 to 24.7.19</t>
  </si>
  <si>
    <t>25.7.19 to 24.8.19</t>
  </si>
  <si>
    <t>27.8.19</t>
  </si>
  <si>
    <t xml:space="preserve">7H/8541 ေသာ့ျပင္ </t>
  </si>
  <si>
    <t>21.9.19</t>
  </si>
  <si>
    <t xml:space="preserve">7H/8541 Engine Oil Filter+လဲလက္ခ </t>
  </si>
  <si>
    <t xml:space="preserve">7H/8541 Civic စီယာတိုင္ဂန္းျပင္ </t>
  </si>
  <si>
    <t>9.10.19 (ရွင္းျပီး)</t>
  </si>
  <si>
    <t xml:space="preserve">Ma Mee Lay </t>
  </si>
  <si>
    <t>24.10.19 to 23.11.19</t>
  </si>
  <si>
    <t>01855</t>
  </si>
  <si>
    <t>24.10.19</t>
  </si>
  <si>
    <t>USD 300*R-1530</t>
  </si>
  <si>
    <t>18.2.2020</t>
  </si>
  <si>
    <t>25.8.19 to 24.9.19</t>
  </si>
  <si>
    <t>25.9.19 to 24.10.19</t>
  </si>
  <si>
    <t>25.10.19 to 24.11.19</t>
  </si>
  <si>
    <t xml:space="preserve">9.6.2020 (ရွင္းျပီး)တာေကာယူသြားေပး </t>
  </si>
  <si>
    <t xml:space="preserve">U Tun Min </t>
  </si>
  <si>
    <t>23.11.20 to 22.12.20</t>
  </si>
  <si>
    <t>24.12.20</t>
  </si>
  <si>
    <t>23.12.20 to 22.8.20</t>
  </si>
  <si>
    <t>01636</t>
  </si>
  <si>
    <t>31.8.21</t>
  </si>
  <si>
    <t xml:space="preserve">Thar Hla Win </t>
  </si>
  <si>
    <t xml:space="preserve">10.3.22 to 9.4.22 </t>
  </si>
  <si>
    <t>02119</t>
  </si>
  <si>
    <t>10.3.22</t>
  </si>
  <si>
    <t>10.4.22 to 9.5.22</t>
  </si>
  <si>
    <t>10.5.22 to 30.5.22 21*13,333</t>
  </si>
  <si>
    <t>00133</t>
  </si>
  <si>
    <t>15.8.22</t>
  </si>
  <si>
    <t>15.8.22 to 14.9.22</t>
  </si>
  <si>
    <t>15.9.22 to 14.10.22</t>
  </si>
  <si>
    <t>14.12.22</t>
  </si>
  <si>
    <t>Mr Xu Haipeng</t>
  </si>
  <si>
    <t>T/f from 7H/8541</t>
  </si>
  <si>
    <t>2.2.23 to 1.3.23</t>
  </si>
  <si>
    <t>00418</t>
  </si>
  <si>
    <t>10.5.23</t>
  </si>
  <si>
    <t>MM Kpay</t>
  </si>
  <si>
    <t>1.4.23 to 31.5.23</t>
  </si>
  <si>
    <t>Mr Deng Jian Qun</t>
  </si>
  <si>
    <t>Civic 2009 ဘန်ဘာ အပိတ်ညာဘက်</t>
  </si>
  <si>
    <t>ညာဘက်ရှေ့တံခါးဘယ်ဘက်ပါးခြမ်းဖောင်း၊ရှေ့ဘန်ဘာနောက်ဘန်ဘာ</t>
  </si>
  <si>
    <t>22.4.24 to 21.5.24</t>
  </si>
  <si>
    <t>375</t>
  </si>
  <si>
    <t>ရှေ့အောက်ပိုင်း RL စစ်ဆေး</t>
  </si>
  <si>
    <t>22.5.24 to 21.6.24</t>
  </si>
  <si>
    <t>0472</t>
  </si>
  <si>
    <t>26.6.24</t>
  </si>
  <si>
    <t>ရှေ့ဘီးသဲကာဘယ်ဘက်</t>
  </si>
  <si>
    <t>22.6.24 to 26.6.24</t>
  </si>
  <si>
    <t>Gear Box Mounting new F (L)</t>
  </si>
  <si>
    <t>26.6.24 ကားပြန်အပ်</t>
  </si>
  <si>
    <t>Susepension Service Charge Mounting</t>
  </si>
  <si>
    <t>Steering Armshalf Bush Replace</t>
  </si>
  <si>
    <t>Steering rack end boot Replace (R)</t>
  </si>
  <si>
    <t>Upper StrutMount Replace F (L)</t>
  </si>
  <si>
    <t>Brake</t>
  </si>
  <si>
    <t>Aligment</t>
  </si>
  <si>
    <t>Brake pinston seal Replace F(L/R)</t>
  </si>
  <si>
    <t>Brake Fluid (Trane ) Replace</t>
  </si>
  <si>
    <t>Wheel Aligment Service Charge Front &amp; Rear</t>
  </si>
  <si>
    <t>23.7.2024 ကားပြန်အပ်  6L/8556  ကားချိန်းသွား</t>
  </si>
  <si>
    <t xml:space="preserve">Mr Zeng Jian </t>
  </si>
  <si>
    <t>Uncle</t>
  </si>
  <si>
    <t>01089</t>
  </si>
  <si>
    <t>6.5.19 to 5.7.19 အထိ</t>
  </si>
  <si>
    <t xml:space="preserve">6.5.19 to 5.7.19 </t>
  </si>
  <si>
    <t>ရွင္းျပီး(7.5.19)</t>
  </si>
  <si>
    <t>6.7.19 to 5.11.19</t>
  </si>
  <si>
    <t>01932</t>
  </si>
  <si>
    <t>ရွင္းျပီး (7.5.19)</t>
  </si>
  <si>
    <t>6.7.19 to 5.8.19</t>
  </si>
  <si>
    <t>01860</t>
  </si>
  <si>
    <t>25.10.19</t>
  </si>
  <si>
    <t>6.8.19 to 5.9.19</t>
  </si>
  <si>
    <t xml:space="preserve">Battery </t>
  </si>
  <si>
    <t>25.11.19 to 24.6.2020</t>
  </si>
  <si>
    <t>00751</t>
  </si>
  <si>
    <t>25.6.2020 to 24.7.2021</t>
  </si>
  <si>
    <t>01612</t>
  </si>
  <si>
    <t xml:space="preserve">Transfer to KBZ MM </t>
  </si>
  <si>
    <t>ရွင္းျပီး (9.10.19)</t>
  </si>
  <si>
    <t xml:space="preserve">Ko Bo Bo </t>
  </si>
  <si>
    <t>Uncle (4H/8153)</t>
  </si>
  <si>
    <t>02419</t>
  </si>
  <si>
    <t>30.11.2021</t>
  </si>
  <si>
    <t>1Day*30,000</t>
  </si>
  <si>
    <t>02427</t>
  </si>
  <si>
    <t>11.12.2021</t>
  </si>
  <si>
    <t xml:space="preserve">11.12.21 ကားအပ္ </t>
  </si>
  <si>
    <t>6.10.19 to 5.11.19</t>
  </si>
  <si>
    <t>6.11.19 to 5.12.19</t>
  </si>
  <si>
    <t>ရွင္းျပီး (18.2.2020)</t>
  </si>
  <si>
    <t>6.12.19 to 5.1.2020</t>
  </si>
  <si>
    <t xml:space="preserve">ရွင္းျပီး (9.6.2020)တာေကာယူသြားေပး </t>
  </si>
  <si>
    <t xml:space="preserve">Mr Dang Binghai </t>
  </si>
  <si>
    <t>5.10.2020</t>
  </si>
  <si>
    <t>6.1.20 to 5.2.2020</t>
  </si>
  <si>
    <t xml:space="preserve">ရွင္းျပီး (5.10.2020)တာေကာယူသြားေပး </t>
  </si>
  <si>
    <t>6.2.20 to 5.3.2020</t>
  </si>
  <si>
    <t>02101</t>
  </si>
  <si>
    <t xml:space="preserve">5.2.22 to 4.3.22 </t>
  </si>
  <si>
    <t>5.3.22 to 4.4.22</t>
  </si>
  <si>
    <t>02117</t>
  </si>
  <si>
    <t>5.4.22 to 4.5.22</t>
  </si>
  <si>
    <t>02144</t>
  </si>
  <si>
    <t>4.5.22</t>
  </si>
  <si>
    <t>5.5.22 to 4.6.22</t>
  </si>
  <si>
    <t>00030</t>
  </si>
  <si>
    <t>21.6.22</t>
  </si>
  <si>
    <t>5.6.22 to 4.7.22</t>
  </si>
  <si>
    <t>2.7.22</t>
  </si>
  <si>
    <t>6.3.2020 to 5.4.2020</t>
  </si>
  <si>
    <t>ရွင္းျပီး (2.7.22) USD3000*R2172</t>
  </si>
  <si>
    <t>5.7.22 to 4.8.22</t>
  </si>
  <si>
    <t>00132</t>
  </si>
  <si>
    <t>5.8.22 to 5.9.22</t>
  </si>
  <si>
    <t>00155</t>
  </si>
  <si>
    <t>7.9.22</t>
  </si>
  <si>
    <t>5.9.22 to 4.10.22</t>
  </si>
  <si>
    <t>00185</t>
  </si>
  <si>
    <t>4.10.22</t>
  </si>
  <si>
    <t>5.10.22 to 4.11.22</t>
  </si>
  <si>
    <t>00226</t>
  </si>
  <si>
    <t xml:space="preserve">5.11.22 to 4.12.22 </t>
  </si>
  <si>
    <t>00326</t>
  </si>
  <si>
    <t>5.12.22 to 4.1.23</t>
  </si>
  <si>
    <t>2.1.23</t>
  </si>
  <si>
    <t>6.4.2020 to 5.5.2020</t>
  </si>
  <si>
    <t>6.5.2020 to 5.6.2020</t>
  </si>
  <si>
    <t>6.6.2020 to 5.7.2020</t>
  </si>
  <si>
    <t>7.3.23</t>
  </si>
  <si>
    <t>15.3.2024</t>
  </si>
  <si>
    <t>6.7.2020 to 5.8.2020</t>
  </si>
  <si>
    <t>15.3.2024 ရှင်းပြီးး တာကောယူသွားပေး</t>
  </si>
  <si>
    <t>7.3.23 to 6.4.23</t>
  </si>
  <si>
    <t>6.8.2020 to 5.9.2020</t>
  </si>
  <si>
    <t>6.9.2020 to 5.10.2020</t>
  </si>
  <si>
    <t>7.6.23 to 6.8.23</t>
  </si>
  <si>
    <t>00586</t>
  </si>
  <si>
    <t>6.10.2020 to 5.11.2020</t>
  </si>
  <si>
    <t xml:space="preserve">7.8.23 to 6.9.23 </t>
  </si>
  <si>
    <t>0021</t>
  </si>
  <si>
    <t>6.11.2020 to 5.12.2020</t>
  </si>
  <si>
    <t>0055</t>
  </si>
  <si>
    <t>6.12.2020 to 5.1.2021</t>
  </si>
  <si>
    <t>0070</t>
  </si>
  <si>
    <t>6.1.2021 to 5.2.2021</t>
  </si>
  <si>
    <t xml:space="preserve">Mr Wang Cheng Hai </t>
  </si>
  <si>
    <t>0095</t>
  </si>
  <si>
    <t>0169</t>
  </si>
  <si>
    <t>Kpay 500000, Cash 300000</t>
  </si>
  <si>
    <t>7.1.24 to 6.2.24</t>
  </si>
  <si>
    <t>0210</t>
  </si>
  <si>
    <t>13.1.24</t>
  </si>
  <si>
    <t xml:space="preserve">SP Bakery </t>
  </si>
  <si>
    <t xml:space="preserve">Nissan AD Van </t>
  </si>
  <si>
    <t>00471</t>
  </si>
  <si>
    <t>24.4.23</t>
  </si>
  <si>
    <t>24.4.23 to 23.6.23</t>
  </si>
  <si>
    <t xml:space="preserve">Mr Andy Chan </t>
  </si>
  <si>
    <t>00588</t>
  </si>
  <si>
    <t>11.7.23 to 10.10.23</t>
  </si>
  <si>
    <t>00591</t>
  </si>
  <si>
    <t>5.1.24 to 4.2.24</t>
  </si>
  <si>
    <t>0234</t>
  </si>
  <si>
    <t>5.2.24 to 4.3.24</t>
  </si>
  <si>
    <t>0329</t>
  </si>
  <si>
    <t>0452</t>
  </si>
  <si>
    <t>Kpay 999 TG 8.4.L+Cash 10000</t>
  </si>
  <si>
    <t>Mr Zhigang Li</t>
  </si>
  <si>
    <t>1Q/1193</t>
  </si>
  <si>
    <t>01962</t>
  </si>
  <si>
    <t xml:space="preserve">4.8.18 to 3.9.18 </t>
  </si>
  <si>
    <t>01968</t>
  </si>
  <si>
    <t>13.9.18</t>
  </si>
  <si>
    <t>31.12.18</t>
  </si>
  <si>
    <t xml:space="preserve">4.11.18 to 3.12.18 </t>
  </si>
  <si>
    <t>(Refund Deposit)</t>
  </si>
  <si>
    <t>31.12.18 ကားျပန္အပ္</t>
  </si>
  <si>
    <t xml:space="preserve">Ma Sabai Phway </t>
  </si>
  <si>
    <t xml:space="preserve">01007 </t>
  </si>
  <si>
    <t>17.1.19</t>
  </si>
  <si>
    <t xml:space="preserve">17.1.19 to 16.3.19 </t>
  </si>
  <si>
    <t>01007</t>
  </si>
  <si>
    <t>17.3.19 to 16.4.19</t>
  </si>
  <si>
    <t>00993</t>
  </si>
  <si>
    <t>Yum 1834*R- 218</t>
  </si>
  <si>
    <t xml:space="preserve">17.4.19 to 16.5.19 </t>
  </si>
  <si>
    <t>01073</t>
  </si>
  <si>
    <t>8.4.19</t>
  </si>
  <si>
    <t>17.5.19 to 16.6.19</t>
  </si>
  <si>
    <t>01149</t>
  </si>
  <si>
    <t>17.6.19 to 16.8.19</t>
  </si>
  <si>
    <t>00667</t>
  </si>
  <si>
    <t>27.7.19</t>
  </si>
  <si>
    <t>17.8.19 to 16.9.19</t>
  </si>
  <si>
    <t>01913</t>
  </si>
  <si>
    <t>20.9.19</t>
  </si>
  <si>
    <t xml:space="preserve">Fefund deposit </t>
  </si>
  <si>
    <t>17.9.19 to 20.9.19</t>
  </si>
  <si>
    <t>20.9.19 ျပန္အပ္</t>
  </si>
  <si>
    <t xml:space="preserve">Century Decoration Construction Engineering (Myanmar) Co., Ltd </t>
  </si>
  <si>
    <t>27.9.19</t>
  </si>
  <si>
    <t>27.9.19 to 26.11.19</t>
  </si>
  <si>
    <t>01918</t>
  </si>
  <si>
    <t>27.11.19 to 26.12.19</t>
  </si>
  <si>
    <t>01850</t>
  </si>
  <si>
    <t>27.12.19 to 3.1.19</t>
  </si>
  <si>
    <t xml:space="preserve">Mr Su Shiji </t>
  </si>
  <si>
    <t>09-258513863</t>
  </si>
  <si>
    <t>01573</t>
  </si>
  <si>
    <t>31.1.2020</t>
  </si>
  <si>
    <t>USD 545*R1470</t>
  </si>
  <si>
    <t>31.1.20 to 29.2.20</t>
  </si>
  <si>
    <t>2.6.2020 ကားအပ္</t>
  </si>
  <si>
    <t>1.3.20 to 31.3.20</t>
  </si>
  <si>
    <t>-</t>
  </si>
  <si>
    <t>1.4.20 to 30.4.20</t>
  </si>
  <si>
    <t>1.5.20 to 31.5.20</t>
  </si>
  <si>
    <t xml:space="preserve">LIH </t>
  </si>
  <si>
    <t>25.8.20 to 24.11.20</t>
  </si>
  <si>
    <t>25.11.20 to 24.12.20</t>
  </si>
  <si>
    <t>02522</t>
  </si>
  <si>
    <t>26.12.20</t>
  </si>
  <si>
    <t xml:space="preserve">K Pay နွင့္ေပး </t>
  </si>
  <si>
    <t xml:space="preserve">U Min Swe </t>
  </si>
  <si>
    <t>01602</t>
  </si>
  <si>
    <t>1.6.21</t>
  </si>
  <si>
    <t>1.6.21 to 30.6.21</t>
  </si>
  <si>
    <t>1.7.21 to 31.7.21</t>
  </si>
  <si>
    <t>01618</t>
  </si>
  <si>
    <t>5.7.21</t>
  </si>
  <si>
    <t>1.8.21 to 28.2.22</t>
  </si>
  <si>
    <t>02106</t>
  </si>
  <si>
    <t>1.3.22 to 31.3.22</t>
  </si>
  <si>
    <t>1.5.22 to 18.5.22</t>
  </si>
  <si>
    <t xml:space="preserve">15.6.22 to </t>
  </si>
  <si>
    <t>00020</t>
  </si>
  <si>
    <t xml:space="preserve">Mr Chan Shin Chou </t>
  </si>
  <si>
    <t xml:space="preserve">13.12.22 to 12.1.23 </t>
  </si>
  <si>
    <t>003008</t>
  </si>
  <si>
    <t xml:space="preserve">19.12.22 MM AYA AC </t>
  </si>
  <si>
    <t xml:space="preserve">Mr Yin Yin </t>
  </si>
  <si>
    <t>00331</t>
  </si>
  <si>
    <t xml:space="preserve">3.1.23 to 2.2.23 </t>
  </si>
  <si>
    <t xml:space="preserve">3.2.23 to 2.4.23 </t>
  </si>
  <si>
    <t>00403</t>
  </si>
  <si>
    <t>3.4.23 to 20.4.23</t>
  </si>
  <si>
    <t xml:space="preserve">U Win Myint Tun </t>
  </si>
  <si>
    <t>3.5.23 to 2.6.23</t>
  </si>
  <si>
    <t>00481</t>
  </si>
  <si>
    <t xml:space="preserve">No Deposit </t>
  </si>
  <si>
    <t>3.6.23 to 2.9.23</t>
  </si>
  <si>
    <t>3.9.23 to 2.3.24</t>
  </si>
  <si>
    <t>0283</t>
  </si>
  <si>
    <t>16.3.24</t>
  </si>
  <si>
    <t>3.3.24 to 16.3.24</t>
  </si>
  <si>
    <t>0284</t>
  </si>
  <si>
    <t>16.3.2024 တွင်ကားအပ်ပြီး</t>
  </si>
  <si>
    <t xml:space="preserve">3H/5929 </t>
  </si>
  <si>
    <t>0265</t>
  </si>
  <si>
    <t>ရှေ့ဟတ်ဘော</t>
  </si>
  <si>
    <t xml:space="preserve">to change </t>
  </si>
  <si>
    <t>မိန်းတုံး</t>
  </si>
  <si>
    <t>ဝါရှာ</t>
  </si>
  <si>
    <t>ဘရိတ်ဆီ</t>
  </si>
  <si>
    <t>ဂိုင်းဘွတ်ကြီးလဲ ဖြုတ်တပ်ပရက်စ်</t>
  </si>
  <si>
    <t>ခါးဘွတ်လဲ ဖြုတ်တပ်ပရက်စ်</t>
  </si>
  <si>
    <t>AD07 Dis Pad R</t>
  </si>
  <si>
    <t>ဒူးဆစ်</t>
  </si>
  <si>
    <t>အင်းလတ်လေတံခါး</t>
  </si>
  <si>
    <t>MC ဆုံ</t>
  </si>
  <si>
    <t>Plugs</t>
  </si>
  <si>
    <t>0404</t>
  </si>
  <si>
    <t xml:space="preserve">1day*30000 </t>
  </si>
  <si>
    <t>20.5.24 to 3.6.24</t>
  </si>
  <si>
    <t>0439</t>
  </si>
  <si>
    <t>ဘန်ဘာရှေ့တံခါး ဘယ်ဘက်နောက်တံခါး ဘောနတ် ပါးခြမ်း ဘော်ဒီပြုပြင်</t>
  </si>
  <si>
    <t xml:space="preserve">MWD </t>
  </si>
  <si>
    <t xml:space="preserve">1.12.18 စျပီးကားယူသြား 11.7.19 ျပန္ေပး </t>
  </si>
  <si>
    <t>30.11.19 ျပန္ေပး</t>
  </si>
  <si>
    <t>01898</t>
  </si>
  <si>
    <t>3.12.19 to 2.2.20</t>
  </si>
  <si>
    <t>2L ရရန္</t>
  </si>
  <si>
    <t xml:space="preserve">Mr Yuan Jituan </t>
  </si>
  <si>
    <t>01543</t>
  </si>
  <si>
    <t>31.3.20</t>
  </si>
  <si>
    <t>31.3.20 to 30.4.20</t>
  </si>
  <si>
    <t>01823</t>
  </si>
  <si>
    <t>5.5.20</t>
  </si>
  <si>
    <t xml:space="preserve">5.5.2020 7N/4895 change </t>
  </si>
  <si>
    <t>1.6.2020 to 31.7.2020</t>
  </si>
  <si>
    <t>01764</t>
  </si>
  <si>
    <t>1.6.2020</t>
  </si>
  <si>
    <t xml:space="preserve">Deposit T/F to 7P/6769 </t>
  </si>
  <si>
    <t xml:space="preserve">Mr Yan Cheng Gang </t>
  </si>
  <si>
    <t>01841</t>
  </si>
  <si>
    <t xml:space="preserve">From refund Deposit (7N/4895) </t>
  </si>
  <si>
    <t>15.5.2020 to 14.6.2020</t>
  </si>
  <si>
    <t>15.6.2020 to 14.7.2020</t>
  </si>
  <si>
    <t>01842</t>
  </si>
  <si>
    <t>16.7.2020</t>
  </si>
  <si>
    <t xml:space="preserve">CaoXiemin </t>
  </si>
  <si>
    <t>01394</t>
  </si>
  <si>
    <t>16.11.2020</t>
  </si>
  <si>
    <t>16.11.2020 to 15.12.2020</t>
  </si>
  <si>
    <t>16.12.20 to 15.3.2021</t>
  </si>
  <si>
    <t>01699</t>
  </si>
  <si>
    <t>16.3.2021</t>
  </si>
  <si>
    <t xml:space="preserve">16.3.21 Car Finish </t>
  </si>
  <si>
    <t xml:space="preserve">Ko Sai Aung Aung </t>
  </si>
  <si>
    <t xml:space="preserve">2.11.21 to 1.12.21 </t>
  </si>
  <si>
    <t>02406</t>
  </si>
  <si>
    <t xml:space="preserve">2.12.21 to 1.1.22 </t>
  </si>
  <si>
    <t>02424</t>
  </si>
  <si>
    <t>6.12.21</t>
  </si>
  <si>
    <t xml:space="preserve">2.1.22 to 1.2.22 </t>
  </si>
  <si>
    <t>02442</t>
  </si>
  <si>
    <t>2.2.22 to 1.3.22</t>
  </si>
  <si>
    <t>02449</t>
  </si>
  <si>
    <t>4.2.22</t>
  </si>
  <si>
    <t>17.3.22</t>
  </si>
  <si>
    <t>20.3.22</t>
  </si>
  <si>
    <t xml:space="preserve">1.4.22 ကားအပ္ </t>
  </si>
  <si>
    <t>Mr Zhe Jiang</t>
  </si>
  <si>
    <t>0161</t>
  </si>
  <si>
    <t>23.12.23 to 22.2.24</t>
  </si>
  <si>
    <t>0241</t>
  </si>
  <si>
    <t>20.2.24</t>
  </si>
  <si>
    <t>20.2.24 ကားအပ်ပြီး</t>
  </si>
  <si>
    <t>22.4.24 တွင်ကားအပ်သည်</t>
  </si>
  <si>
    <t>ရှေ့အောက်ပိုင်း RLစစ်ဆေး ဟတ်ဘောလဲ</t>
  </si>
  <si>
    <t>5.4.24 to 21.4.24</t>
  </si>
  <si>
    <t>0373</t>
  </si>
  <si>
    <t>23.4.24</t>
  </si>
  <si>
    <t>Gear box Mounting new Replace</t>
  </si>
  <si>
    <t>Suspension Service Charge Mounting</t>
  </si>
  <si>
    <t>Rear axle bush R (L/R) Replace</t>
  </si>
  <si>
    <t>Wheel nut Replace F (L)</t>
  </si>
  <si>
    <t>Suspension Service Charges R (L/R)</t>
  </si>
  <si>
    <t>1.6.24  to 30.6.24</t>
  </si>
  <si>
    <t>0494</t>
  </si>
  <si>
    <t>31.5.2024 ယူသွား</t>
  </si>
  <si>
    <t xml:space="preserve">Mr Wang Wen Zhong </t>
  </si>
  <si>
    <t>AD Van</t>
  </si>
  <si>
    <t xml:space="preserve">7P/6769 </t>
  </si>
  <si>
    <t>00633</t>
  </si>
  <si>
    <t>22.5.18</t>
  </si>
  <si>
    <t>00638</t>
  </si>
  <si>
    <t>24.5.18 to 23.7.18</t>
  </si>
  <si>
    <t>00838</t>
  </si>
  <si>
    <t xml:space="preserve">24.7.18 to 23.11.18 </t>
  </si>
  <si>
    <t xml:space="preserve">00925 </t>
  </si>
  <si>
    <t xml:space="preserve">24.11.18 to 23.12.18 </t>
  </si>
  <si>
    <t xml:space="preserve">24.12.18 to 23.3.19 </t>
  </si>
  <si>
    <t>01058</t>
  </si>
  <si>
    <t>29.3.19</t>
  </si>
  <si>
    <t>24.3.19 to 23.6.19</t>
  </si>
  <si>
    <t>01126</t>
  </si>
  <si>
    <t>3.6.19</t>
  </si>
  <si>
    <t>24.6.19 to 23.10.19</t>
  </si>
  <si>
    <t>01862</t>
  </si>
  <si>
    <t>1.11.19</t>
  </si>
  <si>
    <t xml:space="preserve">436100 Bal </t>
  </si>
  <si>
    <t>24.10.19 to 1.11.19</t>
  </si>
  <si>
    <t xml:space="preserve">Mr Wang Hai Wei </t>
  </si>
  <si>
    <t>01868</t>
  </si>
  <si>
    <t>5P/2135</t>
  </si>
  <si>
    <t>5.11.19 to 4.1.20</t>
  </si>
  <si>
    <t>5.1.20 to 4.3.20</t>
  </si>
  <si>
    <t>01500</t>
  </si>
  <si>
    <t>11.1.2020</t>
  </si>
  <si>
    <t>5.3.20 to 4.5.20</t>
  </si>
  <si>
    <t>01541</t>
  </si>
  <si>
    <t>5.5.20 to 4.8.20</t>
  </si>
  <si>
    <t>00778</t>
  </si>
  <si>
    <t>31.7.2020</t>
  </si>
  <si>
    <t>5.8.20 to 4.12.2020</t>
  </si>
  <si>
    <t>02511</t>
  </si>
  <si>
    <t>5.12.2020</t>
  </si>
  <si>
    <t>5.12.2020 to 4.1.2021</t>
  </si>
  <si>
    <t>02532</t>
  </si>
  <si>
    <t>6.1.2021 ကားအပ္ျပီး</t>
  </si>
  <si>
    <t xml:space="preserve">T/F from 3H/5929 </t>
  </si>
  <si>
    <t>02105</t>
  </si>
  <si>
    <t>22.2.22</t>
  </si>
  <si>
    <t xml:space="preserve">22.2.22 to 21.3.22 </t>
  </si>
  <si>
    <t>22.3.22 to 21.5.22</t>
  </si>
  <si>
    <t>02148</t>
  </si>
  <si>
    <t>10.5.22</t>
  </si>
  <si>
    <t xml:space="preserve">22.5.22 to 21.7.22 </t>
  </si>
  <si>
    <t>00044</t>
  </si>
  <si>
    <t xml:space="preserve">22.7.22 to 21.8.22 </t>
  </si>
  <si>
    <t xml:space="preserve">22.8.22 to 17.9.22 </t>
  </si>
  <si>
    <t>00090</t>
  </si>
  <si>
    <t>17.9.22</t>
  </si>
  <si>
    <t xml:space="preserve">16.12.22 to 15.1.23 </t>
  </si>
  <si>
    <t>00310</t>
  </si>
  <si>
    <t>00363</t>
  </si>
  <si>
    <t>25.1.23 to 24.2.23</t>
  </si>
  <si>
    <t>25.3.23 to 24.5.23</t>
  </si>
  <si>
    <t>0004</t>
  </si>
  <si>
    <t>25.7.23</t>
  </si>
  <si>
    <t xml:space="preserve">25.5.23 to 24.7.23 </t>
  </si>
  <si>
    <t>0050</t>
  </si>
  <si>
    <t xml:space="preserve">Mr Gao Bin </t>
  </si>
  <si>
    <t xml:space="preserve">ANH10-00013756 </t>
  </si>
  <si>
    <t xml:space="preserve">1I/4365 </t>
  </si>
  <si>
    <t>9.7.22</t>
  </si>
  <si>
    <t>00101</t>
  </si>
  <si>
    <t>9.7.22 to 8.8.22</t>
  </si>
  <si>
    <t>8.8.22</t>
  </si>
  <si>
    <t xml:space="preserve">Nan Thiri Han </t>
  </si>
  <si>
    <t xml:space="preserve">17.11.22 to 22.11.22 </t>
  </si>
  <si>
    <t>00242</t>
  </si>
  <si>
    <t>22.7.23 to 21.9.23</t>
  </si>
  <si>
    <t>0151</t>
  </si>
  <si>
    <t>0360</t>
  </si>
  <si>
    <t>Column3</t>
  </si>
  <si>
    <t>Rent Start Date</t>
  </si>
  <si>
    <t>Rent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</si>
</sst>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10000455]0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Zawgyi-One"/>
      <family val="2"/>
    </font>
    <font>
      <b/>
      <sz val="11"/>
      <color rgb="FFFF0000"/>
      <name val="Zawgyi-One"/>
      <family val="2"/>
    </font>
    <font>
      <sz val="11"/>
      <color theme="1"/>
      <name val="Arial"/>
      <family val="2"/>
    </font>
    <font>
      <sz val="11"/>
      <name val="Times New Roman"/>
      <family val="1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10"/>
      <name val="Zawgyi-One"/>
      <family val="2"/>
    </font>
    <font>
      <sz val="8"/>
      <color indexed="81"/>
      <name val="Tahoma"/>
      <family val="2"/>
    </font>
    <font>
      <sz val="11"/>
      <color rgb="FFFF0000"/>
      <name val="Times New Roman"/>
      <family val="1"/>
    </font>
    <font>
      <sz val="11"/>
      <color rgb="FFFF0000"/>
      <name val="Zawgyi-One"/>
      <family val="2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0"/>
      <color theme="1"/>
      <name val="Zawgyi-One"/>
      <family val="2"/>
    </font>
    <font>
      <b/>
      <sz val="10"/>
      <color rgb="FFFF0000"/>
      <name val="Zawgyi-One"/>
      <family val="2"/>
    </font>
    <font>
      <sz val="10"/>
      <color rgb="FFFF0000"/>
      <name val="Zawgyi-One"/>
      <family val="2"/>
    </font>
    <font>
      <b/>
      <sz val="10"/>
      <name val="Zawgyi-One"/>
      <family val="2"/>
    </font>
    <font>
      <b/>
      <sz val="10"/>
      <color theme="1"/>
      <name val="Zawgyi-One"/>
      <family val="2"/>
    </font>
    <font>
      <sz val="14"/>
      <color theme="1"/>
      <name val="Zawgyi-One"/>
      <family val="2"/>
    </font>
    <font>
      <b/>
      <sz val="11"/>
      <color theme="1"/>
      <name val="Zawgyi-One"/>
      <family val="2"/>
    </font>
    <font>
      <b/>
      <sz val="11"/>
      <color theme="1"/>
      <name val="Zawgyi-One"/>
      <family val="2"/>
    </font>
    <font>
      <sz val="12"/>
      <color theme="1"/>
      <name val="Zawgyi-One"/>
      <family val="2"/>
    </font>
    <font>
      <sz val="11"/>
      <name val="Zawgyi-One"/>
      <family val="2"/>
    </font>
    <font>
      <b/>
      <sz val="10"/>
      <color theme="1"/>
      <name val="Zawgyi-One"/>
      <family val="2"/>
    </font>
    <font>
      <sz val="10"/>
      <color theme="1"/>
      <name val="Zawgyi-One"/>
      <family val="2"/>
    </font>
    <font>
      <sz val="11"/>
      <color theme="1"/>
      <name val="Zawgyi-One"/>
      <family val="2"/>
    </font>
    <font>
      <b/>
      <sz val="11"/>
      <color rgb="FFFF0000"/>
      <name val="Zawgyi-One"/>
      <family val="2"/>
    </font>
    <font>
      <sz val="11"/>
      <name val="Zawgyi-One"/>
      <family val="2"/>
    </font>
    <font>
      <sz val="14"/>
      <color rgb="FFFF0000"/>
      <name val="Times New Roman"/>
      <family val="1"/>
    </font>
    <font>
      <b/>
      <sz val="11"/>
      <color theme="1"/>
      <name val="zawgyi1"/>
      <family val="2"/>
    </font>
    <font>
      <b/>
      <sz val="11"/>
      <name val="zawgyi1"/>
      <family val="2"/>
    </font>
    <font>
      <sz val="11"/>
      <color theme="1"/>
      <name val="zawgyi1"/>
      <family val="2"/>
    </font>
    <font>
      <sz val="11"/>
      <color rgb="FFFF0000"/>
      <name val="zawgyi1"/>
      <family val="2"/>
    </font>
    <font>
      <b/>
      <sz val="11"/>
      <color rgb="FFFF0000"/>
      <name val="zawgyi1"/>
      <family val="2"/>
    </font>
    <font>
      <u/>
      <sz val="11"/>
      <color theme="10"/>
      <name val="Calibri"/>
      <family val="2"/>
      <scheme val="minor"/>
    </font>
    <font>
      <b/>
      <sz val="12"/>
      <color rgb="FFFF0000"/>
      <name val="Times New Roman"/>
      <family val="1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Zawgyi-One"/>
      <family val="2"/>
    </font>
    <font>
      <sz val="12"/>
      <name val="Times New Roman"/>
      <family val="1"/>
    </font>
    <font>
      <sz val="12"/>
      <name val="Zawgyi-One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Zawgyi-One"/>
      <family val="2"/>
    </font>
    <font>
      <sz val="12"/>
      <color theme="1"/>
      <name val="Zawgyi-One"/>
      <family val="2"/>
    </font>
    <font>
      <sz val="12"/>
      <name val="Zawgyi-One"/>
      <family val="2"/>
    </font>
    <font>
      <b/>
      <sz val="12"/>
      <color theme="1"/>
      <name val="Zawgyi-One"/>
      <family val="2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0000"/>
      <name val="Zawgyi-One"/>
      <family val="2"/>
    </font>
    <font>
      <sz val="12"/>
      <color rgb="FFFF0000"/>
      <name val="Zawgyi-One"/>
      <family val="2"/>
    </font>
    <font>
      <b/>
      <sz val="12"/>
      <color rgb="FFFF0000"/>
      <name val="Zawgyi-One"/>
      <family val="2"/>
    </font>
    <font>
      <b/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1"/>
      <color indexed="81"/>
      <name val="Tahoma"/>
      <family val="2"/>
    </font>
    <font>
      <sz val="11"/>
      <color rgb="FF00B0F0"/>
      <name val="Zawgyi-One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7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42" fillId="0" borderId="0" applyNumberFormat="0" applyFill="0" applyBorder="0" applyAlignment="0" applyProtection="0"/>
  </cellStyleXfs>
  <cellXfs count="804">
    <xf numFmtId="0" fontId="0" fillId="0" borderId="0" xfId="0"/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64" fontId="6" fillId="3" borderId="3" xfId="1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4" fontId="6" fillId="3" borderId="4" xfId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8" fillId="0" borderId="6" xfId="2" applyFont="1" applyBorder="1" applyAlignment="1">
      <alignment horizontal="center"/>
    </xf>
    <xf numFmtId="164" fontId="5" fillId="3" borderId="5" xfId="1" applyNumberFormat="1" applyFont="1" applyFill="1" applyBorder="1" applyAlignment="1">
      <alignment horizontal="center"/>
    </xf>
    <xf numFmtId="0" fontId="5" fillId="3" borderId="5" xfId="0" quotePrefix="1" applyFont="1" applyFill="1" applyBorder="1" applyAlignment="1">
      <alignment horizontal="center"/>
    </xf>
    <xf numFmtId="0" fontId="8" fillId="0" borderId="0" xfId="2" applyFont="1" applyAlignment="1">
      <alignment horizontal="center"/>
    </xf>
    <xf numFmtId="0" fontId="5" fillId="4" borderId="5" xfId="0" applyFont="1" applyFill="1" applyBorder="1" applyAlignment="1">
      <alignment horizontal="center"/>
    </xf>
    <xf numFmtId="164" fontId="5" fillId="4" borderId="5" xfId="1" applyNumberFormat="1" applyFont="1" applyFill="1" applyBorder="1" applyAlignment="1">
      <alignment horizontal="center"/>
    </xf>
    <xf numFmtId="0" fontId="5" fillId="4" borderId="5" xfId="0" quotePrefix="1" applyFont="1" applyFill="1" applyBorder="1" applyAlignment="1">
      <alignment horizontal="center"/>
    </xf>
    <xf numFmtId="0" fontId="0" fillId="3" borderId="0" xfId="0" applyFill="1"/>
    <xf numFmtId="164" fontId="12" fillId="3" borderId="7" xfId="1" applyNumberFormat="1" applyFont="1" applyFill="1" applyBorder="1" applyAlignment="1">
      <alignment horizontal="center" vertical="center"/>
    </xf>
    <xf numFmtId="164" fontId="12" fillId="3" borderId="7" xfId="1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/>
    </xf>
    <xf numFmtId="0" fontId="13" fillId="3" borderId="8" xfId="0" applyFont="1" applyFill="1" applyBorder="1" applyAlignment="1">
      <alignment vertical="center"/>
    </xf>
    <xf numFmtId="164" fontId="13" fillId="3" borderId="5" xfId="1" quotePrefix="1" applyNumberFormat="1" applyFont="1" applyFill="1" applyBorder="1" applyAlignment="1">
      <alignment horizontal="center"/>
    </xf>
    <xf numFmtId="164" fontId="13" fillId="3" borderId="5" xfId="1" applyNumberFormat="1" applyFont="1" applyFill="1" applyBorder="1" applyAlignment="1">
      <alignment horizontal="center"/>
    </xf>
    <xf numFmtId="0" fontId="13" fillId="3" borderId="9" xfId="0" applyFont="1" applyFill="1" applyBorder="1" applyAlignment="1">
      <alignment vertical="center"/>
    </xf>
    <xf numFmtId="0" fontId="13" fillId="3" borderId="5" xfId="0" applyFont="1" applyFill="1" applyBorder="1" applyAlignment="1">
      <alignment vertical="center"/>
    </xf>
    <xf numFmtId="0" fontId="0" fillId="3" borderId="0" xfId="0" quotePrefix="1" applyFill="1"/>
    <xf numFmtId="0" fontId="5" fillId="0" borderId="0" xfId="0" applyFont="1"/>
    <xf numFmtId="0" fontId="5" fillId="3" borderId="7" xfId="0" applyFont="1" applyFill="1" applyBorder="1" applyAlignment="1">
      <alignment horizontal="center"/>
    </xf>
    <xf numFmtId="164" fontId="5" fillId="3" borderId="7" xfId="1" quotePrefix="1" applyNumberFormat="1" applyFont="1" applyFill="1" applyBorder="1" applyAlignment="1">
      <alignment horizontal="center"/>
    </xf>
    <xf numFmtId="164" fontId="5" fillId="3" borderId="7" xfId="1" applyNumberFormat="1" applyFont="1" applyFill="1" applyBorder="1" applyAlignment="1">
      <alignment horizontal="center"/>
    </xf>
    <xf numFmtId="0" fontId="5" fillId="0" borderId="7" xfId="0" applyFont="1" applyBorder="1"/>
    <xf numFmtId="0" fontId="5" fillId="0" borderId="7" xfId="0" quotePrefix="1" applyFont="1" applyBorder="1"/>
    <xf numFmtId="164" fontId="5" fillId="0" borderId="7" xfId="1" applyNumberFormat="1" applyFont="1" applyBorder="1"/>
    <xf numFmtId="164" fontId="15" fillId="0" borderId="0" xfId="1" applyNumberFormat="1" applyFont="1" applyBorder="1"/>
    <xf numFmtId="164" fontId="6" fillId="3" borderId="7" xfId="1" applyNumberFormat="1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164" fontId="13" fillId="3" borderId="7" xfId="1" quotePrefix="1" applyNumberFormat="1" applyFont="1" applyFill="1" applyBorder="1" applyAlignment="1">
      <alignment horizontal="center"/>
    </xf>
    <xf numFmtId="164" fontId="13" fillId="3" borderId="7" xfId="1" applyNumberFormat="1" applyFont="1" applyFill="1" applyBorder="1" applyAlignment="1">
      <alignment horizontal="center"/>
    </xf>
    <xf numFmtId="0" fontId="13" fillId="3" borderId="7" xfId="0" applyFont="1" applyFill="1" applyBorder="1" applyAlignment="1">
      <alignment vertical="center"/>
    </xf>
    <xf numFmtId="0" fontId="13" fillId="3" borderId="3" xfId="0" applyFont="1" applyFill="1" applyBorder="1" applyAlignment="1">
      <alignment horizontal="center" vertical="center"/>
    </xf>
    <xf numFmtId="0" fontId="5" fillId="5" borderId="0" xfId="0" applyFont="1" applyFill="1"/>
    <xf numFmtId="0" fontId="17" fillId="3" borderId="5" xfId="0" applyFont="1" applyFill="1" applyBorder="1" applyAlignment="1">
      <alignment horizontal="center"/>
    </xf>
    <xf numFmtId="164" fontId="17" fillId="3" borderId="5" xfId="1" applyNumberFormat="1" applyFont="1" applyFill="1" applyBorder="1" applyAlignment="1">
      <alignment horizontal="center"/>
    </xf>
    <xf numFmtId="0" fontId="18" fillId="0" borderId="0" xfId="0" applyFont="1"/>
    <xf numFmtId="0" fontId="2" fillId="0" borderId="0" xfId="0" applyFont="1"/>
    <xf numFmtId="0" fontId="5" fillId="2" borderId="0" xfId="0" applyFont="1" applyFill="1"/>
    <xf numFmtId="0" fontId="17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left" vertical="center"/>
    </xf>
    <xf numFmtId="164" fontId="19" fillId="3" borderId="7" xfId="1" applyNumberFormat="1" applyFont="1" applyFill="1" applyBorder="1" applyAlignment="1">
      <alignment horizontal="center"/>
    </xf>
    <xf numFmtId="43" fontId="20" fillId="5" borderId="12" xfId="1" applyFont="1" applyFill="1" applyBorder="1" applyAlignment="1">
      <alignment horizontal="center"/>
    </xf>
    <xf numFmtId="164" fontId="19" fillId="3" borderId="5" xfId="1" applyNumberFormat="1" applyFont="1" applyFill="1" applyBorder="1" applyAlignment="1">
      <alignment horizontal="center"/>
    </xf>
    <xf numFmtId="0" fontId="21" fillId="3" borderId="0" xfId="0" applyFont="1" applyFill="1"/>
    <xf numFmtId="164" fontId="12" fillId="3" borderId="13" xfId="1" applyNumberFormat="1" applyFont="1" applyFill="1" applyBorder="1" applyAlignment="1">
      <alignment horizontal="center" vertical="center"/>
    </xf>
    <xf numFmtId="164" fontId="12" fillId="3" borderId="14" xfId="1" applyNumberFormat="1" applyFont="1" applyFill="1" applyBorder="1" applyAlignment="1">
      <alignment horizontal="center" vertical="center" wrapText="1"/>
    </xf>
    <xf numFmtId="164" fontId="12" fillId="3" borderId="14" xfId="1" applyNumberFormat="1" applyFont="1" applyFill="1" applyBorder="1" applyAlignment="1">
      <alignment horizontal="center" vertical="center"/>
    </xf>
    <xf numFmtId="164" fontId="12" fillId="3" borderId="15" xfId="1" applyNumberFormat="1" applyFont="1" applyFill="1" applyBorder="1" applyAlignment="1">
      <alignment horizontal="center" vertical="center"/>
    </xf>
    <xf numFmtId="0" fontId="22" fillId="3" borderId="0" xfId="0" applyFont="1" applyFill="1"/>
    <xf numFmtId="0" fontId="22" fillId="3" borderId="13" xfId="0" applyFont="1" applyFill="1" applyBorder="1" applyAlignment="1">
      <alignment horizontal="center"/>
    </xf>
    <xf numFmtId="0" fontId="22" fillId="3" borderId="16" xfId="0" applyFont="1" applyFill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164" fontId="22" fillId="3" borderId="15" xfId="1" applyNumberFormat="1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164" fontId="13" fillId="3" borderId="12" xfId="1" quotePrefix="1" applyNumberFormat="1" applyFont="1" applyFill="1" applyBorder="1" applyAlignment="1">
      <alignment horizontal="center"/>
    </xf>
    <xf numFmtId="164" fontId="13" fillId="3" borderId="12" xfId="1" applyNumberFormat="1" applyFont="1" applyFill="1" applyBorder="1" applyAlignment="1">
      <alignment horizontal="center"/>
    </xf>
    <xf numFmtId="164" fontId="13" fillId="3" borderId="18" xfId="1" applyNumberFormat="1" applyFont="1" applyFill="1" applyBorder="1" applyAlignment="1">
      <alignment horizontal="center"/>
    </xf>
    <xf numFmtId="0" fontId="21" fillId="3" borderId="17" xfId="0" applyFont="1" applyFill="1" applyBorder="1"/>
    <xf numFmtId="0" fontId="21" fillId="3" borderId="19" xfId="0" applyFont="1" applyFill="1" applyBorder="1"/>
    <xf numFmtId="0" fontId="21" fillId="3" borderId="12" xfId="0" applyFont="1" applyFill="1" applyBorder="1"/>
    <xf numFmtId="164" fontId="21" fillId="3" borderId="18" xfId="1" applyNumberFormat="1" applyFont="1" applyFill="1" applyBorder="1"/>
    <xf numFmtId="0" fontId="13" fillId="3" borderId="12" xfId="0" applyFont="1" applyFill="1" applyBorder="1" applyAlignment="1">
      <alignment vertical="center"/>
    </xf>
    <xf numFmtId="0" fontId="13" fillId="3" borderId="20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6" xfId="0" applyFont="1" applyFill="1" applyBorder="1" applyAlignment="1">
      <alignment vertical="center"/>
    </xf>
    <xf numFmtId="164" fontId="13" fillId="3" borderId="6" xfId="1" quotePrefix="1" applyNumberFormat="1" applyFont="1" applyFill="1" applyBorder="1" applyAlignment="1">
      <alignment horizontal="center"/>
    </xf>
    <xf numFmtId="164" fontId="13" fillId="3" borderId="6" xfId="1" applyNumberFormat="1" applyFont="1" applyFill="1" applyBorder="1" applyAlignment="1">
      <alignment horizontal="center"/>
    </xf>
    <xf numFmtId="164" fontId="13" fillId="3" borderId="21" xfId="1" applyNumberFormat="1" applyFont="1" applyFill="1" applyBorder="1" applyAlignment="1">
      <alignment horizontal="center"/>
    </xf>
    <xf numFmtId="0" fontId="21" fillId="3" borderId="20" xfId="0" applyFont="1" applyFill="1" applyBorder="1"/>
    <xf numFmtId="0" fontId="21" fillId="3" borderId="22" xfId="0" applyFont="1" applyFill="1" applyBorder="1"/>
    <xf numFmtId="0" fontId="21" fillId="3" borderId="6" xfId="0" applyFont="1" applyFill="1" applyBorder="1"/>
    <xf numFmtId="164" fontId="21" fillId="3" borderId="21" xfId="1" applyNumberFormat="1" applyFont="1" applyFill="1" applyBorder="1"/>
    <xf numFmtId="0" fontId="13" fillId="3" borderId="23" xfId="0" applyFont="1" applyFill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164" fontId="13" fillId="3" borderId="24" xfId="1" applyNumberFormat="1" applyFont="1" applyFill="1" applyBorder="1" applyAlignment="1">
      <alignment horizontal="center"/>
    </xf>
    <xf numFmtId="164" fontId="19" fillId="3" borderId="24" xfId="1" applyNumberFormat="1" applyFont="1" applyFill="1" applyBorder="1" applyAlignment="1">
      <alignment horizontal="center"/>
    </xf>
    <xf numFmtId="164" fontId="13" fillId="3" borderId="25" xfId="1" applyNumberFormat="1" applyFont="1" applyFill="1" applyBorder="1" applyAlignment="1">
      <alignment horizontal="center"/>
    </xf>
    <xf numFmtId="0" fontId="21" fillId="3" borderId="23" xfId="0" applyFont="1" applyFill="1" applyBorder="1"/>
    <xf numFmtId="0" fontId="21" fillId="3" borderId="26" xfId="0" applyFont="1" applyFill="1" applyBorder="1"/>
    <xf numFmtId="0" fontId="21" fillId="3" borderId="24" xfId="0" applyFont="1" applyFill="1" applyBorder="1"/>
    <xf numFmtId="164" fontId="21" fillId="3" borderId="25" xfId="1" applyNumberFormat="1" applyFont="1" applyFill="1" applyBorder="1"/>
    <xf numFmtId="164" fontId="21" fillId="3" borderId="0" xfId="0" applyNumberFormat="1" applyFont="1" applyFill="1"/>
    <xf numFmtId="0" fontId="22" fillId="3" borderId="7" xfId="0" applyFont="1" applyFill="1" applyBorder="1" applyAlignment="1">
      <alignment horizontal="center"/>
    </xf>
    <xf numFmtId="164" fontId="22" fillId="3" borderId="7" xfId="1" applyNumberFormat="1" applyFont="1" applyFill="1" applyBorder="1" applyAlignment="1">
      <alignment horizontal="center"/>
    </xf>
    <xf numFmtId="0" fontId="21" fillId="3" borderId="7" xfId="0" applyFont="1" applyFill="1" applyBorder="1"/>
    <xf numFmtId="164" fontId="21" fillId="3" borderId="7" xfId="1" applyNumberFormat="1" applyFont="1" applyFill="1" applyBorder="1"/>
    <xf numFmtId="0" fontId="15" fillId="5" borderId="12" xfId="0" applyFont="1" applyFill="1" applyBorder="1" applyAlignment="1">
      <alignment horizontal="center"/>
    </xf>
    <xf numFmtId="164" fontId="13" fillId="3" borderId="11" xfId="1" applyNumberFormat="1" applyFont="1" applyFill="1" applyBorder="1" applyAlignment="1">
      <alignment horizontal="center"/>
    </xf>
    <xf numFmtId="164" fontId="13" fillId="3" borderId="8" xfId="1" applyNumberFormat="1" applyFont="1" applyFill="1" applyBorder="1" applyAlignment="1">
      <alignment vertical="center"/>
    </xf>
    <xf numFmtId="164" fontId="13" fillId="3" borderId="9" xfId="1" applyNumberFormat="1" applyFont="1" applyFill="1" applyBorder="1" applyAlignment="1">
      <alignment vertical="center"/>
    </xf>
    <xf numFmtId="0" fontId="13" fillId="4" borderId="5" xfId="0" applyFont="1" applyFill="1" applyBorder="1" applyAlignment="1">
      <alignment horizontal="center"/>
    </xf>
    <xf numFmtId="164" fontId="13" fillId="4" borderId="9" xfId="1" applyNumberFormat="1" applyFont="1" applyFill="1" applyBorder="1" applyAlignment="1">
      <alignment vertical="center"/>
    </xf>
    <xf numFmtId="164" fontId="13" fillId="4" borderId="5" xfId="1" quotePrefix="1" applyNumberFormat="1" applyFont="1" applyFill="1" applyBorder="1" applyAlignment="1">
      <alignment horizontal="center"/>
    </xf>
    <xf numFmtId="164" fontId="13" fillId="4" borderId="5" xfId="1" applyNumberFormat="1" applyFont="1" applyFill="1" applyBorder="1" applyAlignment="1">
      <alignment horizontal="center"/>
    </xf>
    <xf numFmtId="0" fontId="23" fillId="3" borderId="0" xfId="0" applyFont="1" applyFill="1"/>
    <xf numFmtId="164" fontId="21" fillId="3" borderId="0" xfId="1" applyNumberFormat="1" applyFont="1" applyFill="1"/>
    <xf numFmtId="0" fontId="24" fillId="3" borderId="30" xfId="0" applyFont="1" applyFill="1" applyBorder="1" applyAlignment="1">
      <alignment horizontal="center"/>
    </xf>
    <xf numFmtId="0" fontId="24" fillId="3" borderId="31" xfId="0" applyFont="1" applyFill="1" applyBorder="1" applyAlignment="1">
      <alignment horizontal="center"/>
    </xf>
    <xf numFmtId="164" fontId="24" fillId="3" borderId="32" xfId="1" applyNumberFormat="1" applyFont="1" applyFill="1" applyBorder="1" applyAlignment="1">
      <alignment horizontal="center"/>
    </xf>
    <xf numFmtId="164" fontId="15" fillId="3" borderId="0" xfId="1" applyNumberFormat="1" applyFont="1" applyFill="1"/>
    <xf numFmtId="0" fontId="15" fillId="3" borderId="0" xfId="0" applyFont="1" applyFill="1"/>
    <xf numFmtId="164" fontId="24" fillId="3" borderId="33" xfId="1" applyNumberFormat="1" applyFont="1" applyFill="1" applyBorder="1" applyAlignment="1">
      <alignment horizontal="center"/>
    </xf>
    <xf numFmtId="164" fontId="24" fillId="3" borderId="35" xfId="1" applyNumberFormat="1" applyFont="1" applyFill="1" applyBorder="1" applyAlignment="1">
      <alignment horizontal="center"/>
    </xf>
    <xf numFmtId="164" fontId="21" fillId="3" borderId="32" xfId="1" applyNumberFormat="1" applyFont="1" applyFill="1" applyBorder="1"/>
    <xf numFmtId="164" fontId="25" fillId="3" borderId="35" xfId="1" applyNumberFormat="1" applyFont="1" applyFill="1" applyBorder="1"/>
    <xf numFmtId="0" fontId="21" fillId="4" borderId="0" xfId="0" applyFont="1" applyFill="1"/>
    <xf numFmtId="164" fontId="21" fillId="4" borderId="0" xfId="1" applyNumberFormat="1" applyFont="1" applyFill="1"/>
    <xf numFmtId="0" fontId="24" fillId="3" borderId="37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right"/>
    </xf>
    <xf numFmtId="0" fontId="15" fillId="3" borderId="12" xfId="0" applyFont="1" applyFill="1" applyBorder="1" applyAlignment="1">
      <alignment horizontal="center"/>
    </xf>
    <xf numFmtId="0" fontId="21" fillId="0" borderId="12" xfId="0" applyFont="1" applyBorder="1"/>
    <xf numFmtId="164" fontId="15" fillId="3" borderId="32" xfId="1" applyNumberFormat="1" applyFont="1" applyFill="1" applyBorder="1" applyAlignment="1">
      <alignment horizontal="center"/>
    </xf>
    <xf numFmtId="0" fontId="5" fillId="4" borderId="0" xfId="0" applyFont="1" applyFill="1"/>
    <xf numFmtId="0" fontId="5" fillId="3" borderId="17" xfId="0" applyFont="1" applyFill="1" applyBorder="1"/>
    <xf numFmtId="0" fontId="5" fillId="3" borderId="12" xfId="0" applyFont="1" applyFill="1" applyBorder="1"/>
    <xf numFmtId="0" fontId="5" fillId="0" borderId="39" xfId="0" applyFont="1" applyBorder="1"/>
    <xf numFmtId="164" fontId="5" fillId="3" borderId="12" xfId="1" applyNumberFormat="1" applyFont="1" applyFill="1" applyBorder="1"/>
    <xf numFmtId="0" fontId="21" fillId="3" borderId="18" xfId="0" applyFont="1" applyFill="1" applyBorder="1"/>
    <xf numFmtId="0" fontId="5" fillId="0" borderId="12" xfId="0" applyFont="1" applyBorder="1"/>
    <xf numFmtId="164" fontId="5" fillId="6" borderId="5" xfId="1" applyNumberFormat="1" applyFont="1" applyFill="1" applyBorder="1" applyAlignment="1">
      <alignment horizontal="center"/>
    </xf>
    <xf numFmtId="0" fontId="5" fillId="6" borderId="5" xfId="0" quotePrefix="1" applyFont="1" applyFill="1" applyBorder="1" applyAlignment="1">
      <alignment horizontal="center"/>
    </xf>
    <xf numFmtId="0" fontId="5" fillId="7" borderId="0" xfId="0" applyFont="1" applyFill="1"/>
    <xf numFmtId="0" fontId="5" fillId="7" borderId="17" xfId="0" applyFont="1" applyFill="1" applyBorder="1"/>
    <xf numFmtId="0" fontId="5" fillId="7" borderId="12" xfId="0" applyFont="1" applyFill="1" applyBorder="1"/>
    <xf numFmtId="0" fontId="5" fillId="7" borderId="5" xfId="0" applyFont="1" applyFill="1" applyBorder="1"/>
    <xf numFmtId="164" fontId="5" fillId="7" borderId="12" xfId="1" applyNumberFormat="1" applyFont="1" applyFill="1" applyBorder="1"/>
    <xf numFmtId="164" fontId="5" fillId="7" borderId="18" xfId="0" applyNumberFormat="1" applyFont="1" applyFill="1" applyBorder="1"/>
    <xf numFmtId="0" fontId="5" fillId="0" borderId="17" xfId="0" applyFont="1" applyBorder="1"/>
    <xf numFmtId="164" fontId="5" fillId="0" borderId="12" xfId="1" applyNumberFormat="1" applyFont="1" applyFill="1" applyBorder="1"/>
    <xf numFmtId="164" fontId="5" fillId="0" borderId="18" xfId="0" applyNumberFormat="1" applyFont="1" applyBorder="1"/>
    <xf numFmtId="0" fontId="5" fillId="3" borderId="23" xfId="0" applyFont="1" applyFill="1" applyBorder="1"/>
    <xf numFmtId="0" fontId="5" fillId="3" borderId="24" xfId="0" applyFont="1" applyFill="1" applyBorder="1"/>
    <xf numFmtId="164" fontId="5" fillId="3" borderId="24" xfId="1" applyNumberFormat="1" applyFont="1" applyFill="1" applyBorder="1"/>
    <xf numFmtId="0" fontId="21" fillId="3" borderId="25" xfId="0" applyFont="1" applyFill="1" applyBorder="1"/>
    <xf numFmtId="0" fontId="5" fillId="3" borderId="0" xfId="0" applyFont="1" applyFill="1"/>
    <xf numFmtId="164" fontId="5" fillId="3" borderId="0" xfId="1" applyNumberFormat="1" applyFont="1" applyFill="1" applyBorder="1"/>
    <xf numFmtId="164" fontId="6" fillId="3" borderId="7" xfId="1" applyNumberFormat="1" applyFont="1" applyFill="1" applyBorder="1" applyAlignment="1">
      <alignment horizontal="center" vertical="center" wrapText="1"/>
    </xf>
    <xf numFmtId="164" fontId="5" fillId="3" borderId="11" xfId="1" applyNumberFormat="1" applyFont="1" applyFill="1" applyBorder="1" applyAlignment="1">
      <alignment horizontal="center"/>
    </xf>
    <xf numFmtId="164" fontId="5" fillId="3" borderId="5" xfId="1" quotePrefix="1" applyNumberFormat="1" applyFont="1" applyFill="1" applyBorder="1" applyAlignment="1">
      <alignment horizontal="center"/>
    </xf>
    <xf numFmtId="164" fontId="5" fillId="3" borderId="8" xfId="1" applyNumberFormat="1" applyFont="1" applyFill="1" applyBorder="1" applyAlignment="1">
      <alignment vertical="center"/>
    </xf>
    <xf numFmtId="164" fontId="5" fillId="3" borderId="9" xfId="1" applyNumberFormat="1" applyFont="1" applyFill="1" applyBorder="1" applyAlignment="1">
      <alignment vertical="center"/>
    </xf>
    <xf numFmtId="164" fontId="27" fillId="3" borderId="5" xfId="1" applyNumberFormat="1" applyFont="1" applyFill="1" applyBorder="1" applyAlignment="1">
      <alignment horizontal="center"/>
    </xf>
    <xf numFmtId="0" fontId="5" fillId="3" borderId="7" xfId="0" quotePrefix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center"/>
    </xf>
    <xf numFmtId="164" fontId="5" fillId="7" borderId="7" xfId="1" applyNumberFormat="1" applyFont="1" applyFill="1" applyBorder="1" applyAlignment="1">
      <alignment horizontal="center"/>
    </xf>
    <xf numFmtId="164" fontId="27" fillId="7" borderId="7" xfId="1" applyNumberFormat="1" applyFont="1" applyFill="1" applyBorder="1" applyAlignment="1">
      <alignment horizontal="center"/>
    </xf>
    <xf numFmtId="0" fontId="21" fillId="7" borderId="0" xfId="0" applyFont="1" applyFill="1"/>
    <xf numFmtId="0" fontId="11" fillId="3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164" fontId="12" fillId="3" borderId="3" xfId="1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1" applyNumberFormat="1" applyFont="1" applyFill="1" applyBorder="1" applyAlignment="1">
      <alignment horizontal="center" vertical="center"/>
    </xf>
    <xf numFmtId="0" fontId="13" fillId="3" borderId="5" xfId="0" quotePrefix="1" applyFont="1" applyFill="1" applyBorder="1" applyAlignment="1">
      <alignment horizontal="center"/>
    </xf>
    <xf numFmtId="0" fontId="5" fillId="0" borderId="31" xfId="0" applyFont="1" applyBorder="1"/>
    <xf numFmtId="0" fontId="5" fillId="8" borderId="5" xfId="0" applyFont="1" applyFill="1" applyBorder="1" applyAlignment="1">
      <alignment horizontal="center"/>
    </xf>
    <xf numFmtId="164" fontId="5" fillId="8" borderId="5" xfId="1" applyNumberFormat="1" applyFont="1" applyFill="1" applyBorder="1" applyAlignment="1">
      <alignment horizontal="center"/>
    </xf>
    <xf numFmtId="0" fontId="5" fillId="8" borderId="5" xfId="0" quotePrefix="1" applyFont="1" applyFill="1" applyBorder="1" applyAlignment="1">
      <alignment horizontal="center"/>
    </xf>
    <xf numFmtId="0" fontId="5" fillId="8" borderId="0" xfId="0" applyFont="1" applyFill="1"/>
    <xf numFmtId="0" fontId="5" fillId="8" borderId="17" xfId="0" applyFont="1" applyFill="1" applyBorder="1"/>
    <xf numFmtId="0" fontId="5" fillId="8" borderId="12" xfId="0" applyFont="1" applyFill="1" applyBorder="1"/>
    <xf numFmtId="164" fontId="5" fillId="8" borderId="12" xfId="1" applyNumberFormat="1" applyFont="1" applyFill="1" applyBorder="1"/>
    <xf numFmtId="164" fontId="5" fillId="8" borderId="18" xfId="0" applyNumberFormat="1" applyFont="1" applyFill="1" applyBorder="1"/>
    <xf numFmtId="0" fontId="5" fillId="3" borderId="0" xfId="0" applyFont="1" applyFill="1" applyAlignment="1">
      <alignment horizontal="center"/>
    </xf>
    <xf numFmtId="164" fontId="6" fillId="3" borderId="0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164" fontId="5" fillId="7" borderId="5" xfId="1" applyNumberFormat="1" applyFont="1" applyFill="1" applyBorder="1" applyAlignment="1">
      <alignment horizontal="center"/>
    </xf>
    <xf numFmtId="0" fontId="5" fillId="7" borderId="5" xfId="0" quotePrefix="1" applyFont="1" applyFill="1" applyBorder="1" applyAlignment="1">
      <alignment horizontal="center"/>
    </xf>
    <xf numFmtId="164" fontId="5" fillId="7" borderId="0" xfId="1" applyNumberFormat="1" applyFont="1" applyFill="1" applyBorder="1" applyAlignment="1">
      <alignment horizontal="center"/>
    </xf>
    <xf numFmtId="0" fontId="21" fillId="0" borderId="0" xfId="0" applyFont="1"/>
    <xf numFmtId="164" fontId="5" fillId="4" borderId="0" xfId="1" applyNumberFormat="1" applyFont="1" applyFill="1" applyBorder="1" applyAlignment="1">
      <alignment horizontal="center"/>
    </xf>
    <xf numFmtId="0" fontId="5" fillId="4" borderId="17" xfId="0" applyFont="1" applyFill="1" applyBorder="1"/>
    <xf numFmtId="0" fontId="5" fillId="4" borderId="12" xfId="0" applyFont="1" applyFill="1" applyBorder="1"/>
    <xf numFmtId="164" fontId="5" fillId="4" borderId="12" xfId="1" applyNumberFormat="1" applyFont="1" applyFill="1" applyBorder="1"/>
    <xf numFmtId="0" fontId="8" fillId="0" borderId="7" xfId="2" applyFont="1" applyBorder="1" applyAlignment="1">
      <alignment horizontal="center"/>
    </xf>
    <xf numFmtId="164" fontId="5" fillId="3" borderId="7" xfId="1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164" fontId="5" fillId="4" borderId="7" xfId="1" applyNumberFormat="1" applyFont="1" applyFill="1" applyBorder="1" applyAlignment="1">
      <alignment horizontal="center" vertical="center"/>
    </xf>
    <xf numFmtId="164" fontId="5" fillId="4" borderId="7" xfId="1" applyNumberFormat="1" applyFont="1" applyFill="1" applyBorder="1" applyAlignment="1">
      <alignment horizontal="center"/>
    </xf>
    <xf numFmtId="0" fontId="5" fillId="4" borderId="7" xfId="0" quotePrefix="1" applyFont="1" applyFill="1" applyBorder="1" applyAlignment="1">
      <alignment horizontal="center"/>
    </xf>
    <xf numFmtId="164" fontId="28" fillId="3" borderId="7" xfId="1" applyNumberFormat="1" applyFont="1" applyFill="1" applyBorder="1" applyAlignment="1">
      <alignment horizontal="center"/>
    </xf>
    <xf numFmtId="0" fontId="21" fillId="8" borderId="0" xfId="0" applyFont="1" applyFill="1"/>
    <xf numFmtId="164" fontId="5" fillId="4" borderId="18" xfId="0" applyNumberFormat="1" applyFont="1" applyFill="1" applyBorder="1"/>
    <xf numFmtId="0" fontId="27" fillId="3" borderId="5" xfId="0" applyFont="1" applyFill="1" applyBorder="1" applyAlignment="1">
      <alignment horizontal="center"/>
    </xf>
    <xf numFmtId="164" fontId="5" fillId="3" borderId="40" xfId="1" applyNumberFormat="1" applyFont="1" applyFill="1" applyBorder="1" applyAlignment="1">
      <alignment horizontal="center"/>
    </xf>
    <xf numFmtId="164" fontId="27" fillId="3" borderId="43" xfId="1" applyNumberFormat="1" applyFont="1" applyFill="1" applyBorder="1" applyAlignment="1">
      <alignment horizontal="center"/>
    </xf>
    <xf numFmtId="164" fontId="5" fillId="3" borderId="9" xfId="1" applyNumberFormat="1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0" borderId="12" xfId="0" applyFont="1" applyBorder="1" applyAlignment="1">
      <alignment horizontal="center"/>
    </xf>
    <xf numFmtId="164" fontId="6" fillId="3" borderId="15" xfId="1" applyNumberFormat="1" applyFont="1" applyFill="1" applyBorder="1" applyAlignment="1">
      <alignment horizontal="center" vertical="center"/>
    </xf>
    <xf numFmtId="164" fontId="6" fillId="3" borderId="18" xfId="1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8" fillId="0" borderId="12" xfId="2" applyFont="1" applyBorder="1" applyAlignment="1">
      <alignment horizontal="center"/>
    </xf>
    <xf numFmtId="164" fontId="15" fillId="0" borderId="12" xfId="1" applyNumberFormat="1" applyFont="1" applyFill="1" applyBorder="1" applyAlignment="1">
      <alignment horizontal="center"/>
    </xf>
    <xf numFmtId="0" fontId="5" fillId="3" borderId="12" xfId="0" quotePrefix="1" applyFont="1" applyFill="1" applyBorder="1" applyAlignment="1">
      <alignment horizontal="center"/>
    </xf>
    <xf numFmtId="164" fontId="5" fillId="3" borderId="12" xfId="1" applyNumberFormat="1" applyFont="1" applyFill="1" applyBorder="1" applyAlignment="1">
      <alignment horizontal="center"/>
    </xf>
    <xf numFmtId="164" fontId="5" fillId="3" borderId="18" xfId="1" applyNumberFormat="1" applyFont="1" applyFill="1" applyBorder="1" applyAlignment="1">
      <alignment horizontal="center"/>
    </xf>
    <xf numFmtId="0" fontId="5" fillId="3" borderId="18" xfId="0" applyFont="1" applyFill="1" applyBorder="1"/>
    <xf numFmtId="0" fontId="21" fillId="4" borderId="23" xfId="0" applyFont="1" applyFill="1" applyBorder="1"/>
    <xf numFmtId="0" fontId="21" fillId="4" borderId="24" xfId="0" applyFont="1" applyFill="1" applyBorder="1"/>
    <xf numFmtId="0" fontId="21" fillId="4" borderId="25" xfId="0" applyFont="1" applyFill="1" applyBorder="1"/>
    <xf numFmtId="164" fontId="21" fillId="4" borderId="25" xfId="0" applyNumberFormat="1" applyFont="1" applyFill="1" applyBorder="1"/>
    <xf numFmtId="164" fontId="12" fillId="3" borderId="47" xfId="1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5" fillId="0" borderId="14" xfId="0" applyFont="1" applyBorder="1"/>
    <xf numFmtId="164" fontId="3" fillId="0" borderId="15" xfId="1" applyNumberFormat="1" applyFont="1" applyBorder="1"/>
    <xf numFmtId="164" fontId="13" fillId="3" borderId="10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2" xfId="0" applyBorder="1"/>
    <xf numFmtId="164" fontId="1" fillId="0" borderId="18" xfId="1" applyNumberFormat="1" applyFont="1" applyBorder="1"/>
    <xf numFmtId="0" fontId="13" fillId="3" borderId="9" xfId="0" applyFont="1" applyFill="1" applyBorder="1" applyAlignment="1">
      <alignment horizontal="center"/>
    </xf>
    <xf numFmtId="0" fontId="5" fillId="3" borderId="31" xfId="0" quotePrefix="1" applyFont="1" applyFill="1" applyBorder="1" applyAlignment="1">
      <alignment horizontal="center" vertical="center"/>
    </xf>
    <xf numFmtId="164" fontId="5" fillId="3" borderId="31" xfId="1" applyNumberFormat="1" applyFont="1" applyFill="1" applyBorder="1" applyAlignment="1">
      <alignment horizontal="center" vertical="center"/>
    </xf>
    <xf numFmtId="164" fontId="5" fillId="3" borderId="18" xfId="1" applyNumberFormat="1" applyFont="1" applyFill="1" applyBorder="1"/>
    <xf numFmtId="164" fontId="21" fillId="4" borderId="25" xfId="1" applyNumberFormat="1" applyFont="1" applyFill="1" applyBorder="1"/>
    <xf numFmtId="164" fontId="1" fillId="0" borderId="0" xfId="1" applyNumberFormat="1" applyFont="1"/>
    <xf numFmtId="0" fontId="0" fillId="0" borderId="23" xfId="0" applyBorder="1"/>
    <xf numFmtId="0" fontId="0" fillId="0" borderId="24" xfId="0" applyBorder="1"/>
    <xf numFmtId="0" fontId="27" fillId="0" borderId="24" xfId="0" applyFont="1" applyBorder="1"/>
    <xf numFmtId="164" fontId="3" fillId="0" borderId="25" xfId="1" applyNumberFormat="1" applyFont="1" applyBorder="1"/>
    <xf numFmtId="164" fontId="5" fillId="0" borderId="0" xfId="1" applyNumberFormat="1" applyFont="1"/>
    <xf numFmtId="0" fontId="27" fillId="3" borderId="7" xfId="0" applyFont="1" applyFill="1" applyBorder="1" applyAlignment="1">
      <alignment horizontal="center"/>
    </xf>
    <xf numFmtId="164" fontId="27" fillId="0" borderId="7" xfId="1" applyNumberFormat="1" applyFont="1" applyBorder="1"/>
    <xf numFmtId="164" fontId="5" fillId="0" borderId="0" xfId="1" applyNumberFormat="1" applyFont="1" applyBorder="1"/>
    <xf numFmtId="164" fontId="1" fillId="0" borderId="0" xfId="1" applyNumberFormat="1" applyFont="1" applyBorder="1"/>
    <xf numFmtId="164" fontId="1" fillId="3" borderId="0" xfId="1" applyNumberFormat="1" applyFont="1" applyFill="1"/>
    <xf numFmtId="164" fontId="22" fillId="3" borderId="3" xfId="1" applyNumberFormat="1" applyFont="1" applyFill="1" applyBorder="1" applyAlignment="1">
      <alignment horizontal="center" vertical="center"/>
    </xf>
    <xf numFmtId="164" fontId="22" fillId="3" borderId="4" xfId="1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/>
    </xf>
    <xf numFmtId="164" fontId="21" fillId="3" borderId="5" xfId="1" applyNumberFormat="1" applyFont="1" applyFill="1" applyBorder="1" applyAlignment="1">
      <alignment horizontal="center"/>
    </xf>
    <xf numFmtId="0" fontId="21" fillId="3" borderId="5" xfId="0" quotePrefix="1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0" fillId="3" borderId="7" xfId="0" applyFill="1" applyBorder="1"/>
    <xf numFmtId="0" fontId="5" fillId="4" borderId="23" xfId="0" applyFont="1" applyFill="1" applyBorder="1"/>
    <xf numFmtId="0" fontId="5" fillId="4" borderId="24" xfId="0" applyFont="1" applyFill="1" applyBorder="1"/>
    <xf numFmtId="164" fontId="5" fillId="4" borderId="25" xfId="0" applyNumberFormat="1" applyFont="1" applyFill="1" applyBorder="1"/>
    <xf numFmtId="164" fontId="5" fillId="3" borderId="0" xfId="1" applyNumberFormat="1" applyFont="1" applyFill="1"/>
    <xf numFmtId="0" fontId="5" fillId="3" borderId="12" xfId="0" quotePrefix="1" applyFont="1" applyFill="1" applyBorder="1"/>
    <xf numFmtId="0" fontId="5" fillId="0" borderId="34" xfId="0" applyFont="1" applyBorder="1"/>
    <xf numFmtId="0" fontId="30" fillId="0" borderId="12" xfId="2" applyFont="1" applyBorder="1" applyAlignment="1">
      <alignment horizontal="center"/>
    </xf>
    <xf numFmtId="0" fontId="5" fillId="3" borderId="20" xfId="0" applyFont="1" applyFill="1" applyBorder="1"/>
    <xf numFmtId="0" fontId="5" fillId="3" borderId="6" xfId="0" applyFont="1" applyFill="1" applyBorder="1"/>
    <xf numFmtId="0" fontId="5" fillId="3" borderId="6" xfId="0" quotePrefix="1" applyFont="1" applyFill="1" applyBorder="1"/>
    <xf numFmtId="164" fontId="5" fillId="3" borderId="21" xfId="1" applyNumberFormat="1" applyFont="1" applyFill="1" applyBorder="1" applyAlignment="1">
      <alignment horizontal="center"/>
    </xf>
    <xf numFmtId="0" fontId="28" fillId="4" borderId="23" xfId="0" applyFont="1" applyFill="1" applyBorder="1"/>
    <xf numFmtId="0" fontId="28" fillId="4" borderId="24" xfId="0" applyFont="1" applyFill="1" applyBorder="1"/>
    <xf numFmtId="164" fontId="28" fillId="4" borderId="24" xfId="0" applyNumberFormat="1" applyFont="1" applyFill="1" applyBorder="1"/>
    <xf numFmtId="164" fontId="28" fillId="4" borderId="25" xfId="0" applyNumberFormat="1" applyFont="1" applyFill="1" applyBorder="1"/>
    <xf numFmtId="0" fontId="31" fillId="3" borderId="0" xfId="0" applyFont="1" applyFill="1"/>
    <xf numFmtId="0" fontId="31" fillId="8" borderId="0" xfId="0" applyFont="1" applyFill="1"/>
    <xf numFmtId="0" fontId="28" fillId="3" borderId="17" xfId="0" applyFont="1" applyFill="1" applyBorder="1"/>
    <xf numFmtId="0" fontId="28" fillId="3" borderId="12" xfId="0" applyFont="1" applyFill="1" applyBorder="1"/>
    <xf numFmtId="164" fontId="28" fillId="3" borderId="12" xfId="1" applyNumberFormat="1" applyFont="1" applyFill="1" applyBorder="1"/>
    <xf numFmtId="0" fontId="31" fillId="3" borderId="18" xfId="0" applyFont="1" applyFill="1" applyBorder="1"/>
    <xf numFmtId="164" fontId="21" fillId="6" borderId="5" xfId="1" applyNumberFormat="1" applyFont="1" applyFill="1" applyBorder="1" applyAlignment="1">
      <alignment horizontal="center"/>
    </xf>
    <xf numFmtId="0" fontId="13" fillId="9" borderId="23" xfId="0" applyFont="1" applyFill="1" applyBorder="1" applyAlignment="1">
      <alignment horizontal="center"/>
    </xf>
    <xf numFmtId="0" fontId="13" fillId="9" borderId="24" xfId="0" applyFont="1" applyFill="1" applyBorder="1" applyAlignment="1">
      <alignment horizontal="center"/>
    </xf>
    <xf numFmtId="164" fontId="13" fillId="9" borderId="24" xfId="1" applyNumberFormat="1" applyFont="1" applyFill="1" applyBorder="1" applyAlignment="1">
      <alignment horizontal="center"/>
    </xf>
    <xf numFmtId="164" fontId="19" fillId="9" borderId="24" xfId="1" applyNumberFormat="1" applyFont="1" applyFill="1" applyBorder="1" applyAlignment="1">
      <alignment horizontal="center"/>
    </xf>
    <xf numFmtId="164" fontId="5" fillId="9" borderId="25" xfId="1" applyNumberFormat="1" applyFont="1" applyFill="1" applyBorder="1" applyAlignment="1">
      <alignment horizontal="center"/>
    </xf>
    <xf numFmtId="0" fontId="5" fillId="9" borderId="0" xfId="0" applyFont="1" applyFill="1"/>
    <xf numFmtId="0" fontId="5" fillId="9" borderId="17" xfId="0" applyFont="1" applyFill="1" applyBorder="1"/>
    <xf numFmtId="0" fontId="5" fillId="9" borderId="12" xfId="0" applyFont="1" applyFill="1" applyBorder="1"/>
    <xf numFmtId="0" fontId="5" fillId="9" borderId="5" xfId="0" applyFont="1" applyFill="1" applyBorder="1"/>
    <xf numFmtId="164" fontId="5" fillId="9" borderId="12" xfId="1" applyNumberFormat="1" applyFont="1" applyFill="1" applyBorder="1"/>
    <xf numFmtId="164" fontId="5" fillId="9" borderId="18" xfId="0" applyNumberFormat="1" applyFont="1" applyFill="1" applyBorder="1"/>
    <xf numFmtId="0" fontId="23" fillId="8" borderId="0" xfId="0" applyFont="1" applyFill="1"/>
    <xf numFmtId="0" fontId="21" fillId="3" borderId="12" xfId="0" applyFont="1" applyFill="1" applyBorder="1" applyAlignment="1">
      <alignment horizontal="center"/>
    </xf>
    <xf numFmtId="0" fontId="21" fillId="4" borderId="24" xfId="0" applyFont="1" applyFill="1" applyBorder="1" applyAlignment="1">
      <alignment horizontal="center"/>
    </xf>
    <xf numFmtId="164" fontId="5" fillId="3" borderId="12" xfId="1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164" fontId="21" fillId="3" borderId="18" xfId="0" applyNumberFormat="1" applyFont="1" applyFill="1" applyBorder="1"/>
    <xf numFmtId="164" fontId="6" fillId="3" borderId="21" xfId="1" applyNumberFormat="1" applyFont="1" applyFill="1" applyBorder="1" applyAlignment="1">
      <alignment horizontal="center" vertical="center"/>
    </xf>
    <xf numFmtId="164" fontId="15" fillId="0" borderId="7" xfId="1" applyNumberFormat="1" applyFont="1" applyFill="1" applyBorder="1" applyAlignment="1">
      <alignment horizontal="center"/>
    </xf>
    <xf numFmtId="0" fontId="5" fillId="3" borderId="7" xfId="0" quotePrefix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/>
    </xf>
    <xf numFmtId="164" fontId="21" fillId="3" borderId="7" xfId="0" applyNumberFormat="1" applyFont="1" applyFill="1" applyBorder="1"/>
    <xf numFmtId="0" fontId="21" fillId="4" borderId="52" xfId="0" applyFont="1" applyFill="1" applyBorder="1"/>
    <xf numFmtId="0" fontId="21" fillId="4" borderId="53" xfId="0" applyFont="1" applyFill="1" applyBorder="1"/>
    <xf numFmtId="0" fontId="21" fillId="4" borderId="53" xfId="0" applyFont="1" applyFill="1" applyBorder="1" applyAlignment="1">
      <alignment horizontal="center"/>
    </xf>
    <xf numFmtId="164" fontId="21" fillId="4" borderId="54" xfId="0" applyNumberFormat="1" applyFont="1" applyFill="1" applyBorder="1"/>
    <xf numFmtId="0" fontId="13" fillId="3" borderId="7" xfId="0" applyFont="1" applyFill="1" applyBorder="1" applyAlignment="1">
      <alignment horizontal="center" vertical="center"/>
    </xf>
    <xf numFmtId="0" fontId="13" fillId="3" borderId="7" xfId="0" quotePrefix="1" applyFont="1" applyFill="1" applyBorder="1" applyAlignment="1">
      <alignment horizontal="center"/>
    </xf>
    <xf numFmtId="0" fontId="5" fillId="8" borderId="0" xfId="0" applyFont="1" applyFill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164" fontId="5" fillId="3" borderId="12" xfId="1" applyNumberFormat="1" applyFont="1" applyFill="1" applyBorder="1" applyAlignment="1">
      <alignment vertical="center"/>
    </xf>
    <xf numFmtId="0" fontId="21" fillId="3" borderId="18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164" fontId="5" fillId="0" borderId="5" xfId="1" applyNumberFormat="1" applyFont="1" applyFill="1" applyBorder="1" applyAlignment="1">
      <alignment horizontal="center"/>
    </xf>
    <xf numFmtId="164" fontId="5" fillId="5" borderId="5" xfId="1" applyNumberFormat="1" applyFont="1" applyFill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164" fontId="5" fillId="3" borderId="7" xfId="1" applyNumberFormat="1" applyFont="1" applyFill="1" applyBorder="1" applyAlignment="1">
      <alignment vertical="center"/>
    </xf>
    <xf numFmtId="164" fontId="5" fillId="6" borderId="7" xfId="1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164" fontId="12" fillId="3" borderId="0" xfId="1" applyNumberFormat="1" applyFont="1" applyFill="1" applyBorder="1" applyAlignment="1">
      <alignment horizontal="center" vertical="center"/>
    </xf>
    <xf numFmtId="164" fontId="13" fillId="3" borderId="0" xfId="1" applyNumberFormat="1" applyFont="1" applyFill="1" applyBorder="1" applyAlignment="1">
      <alignment horizontal="center"/>
    </xf>
    <xf numFmtId="164" fontId="27" fillId="3" borderId="7" xfId="1" applyNumberFormat="1" applyFont="1" applyFill="1" applyBorder="1" applyAlignment="1">
      <alignment horizontal="center"/>
    </xf>
    <xf numFmtId="164" fontId="5" fillId="3" borderId="56" xfId="1" applyNumberFormat="1" applyFont="1" applyFill="1" applyBorder="1" applyAlignment="1">
      <alignment horizontal="center"/>
    </xf>
    <xf numFmtId="164" fontId="5" fillId="0" borderId="0" xfId="0" applyNumberFormat="1" applyFont="1"/>
    <xf numFmtId="164" fontId="5" fillId="3" borderId="5" xfId="1" applyNumberFormat="1" applyFont="1" applyFill="1" applyBorder="1" applyAlignment="1">
      <alignment vertical="center"/>
    </xf>
    <xf numFmtId="164" fontId="8" fillId="0" borderId="6" xfId="1" applyNumberFormat="1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/>
    </xf>
    <xf numFmtId="0" fontId="13" fillId="0" borderId="9" xfId="0" applyFont="1" applyBorder="1" applyAlignment="1">
      <alignment vertical="center"/>
    </xf>
    <xf numFmtId="164" fontId="13" fillId="0" borderId="5" xfId="1" quotePrefix="1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164" fontId="13" fillId="0" borderId="5" xfId="1" applyNumberFormat="1" applyFont="1" applyFill="1" applyBorder="1" applyAlignment="1">
      <alignment horizontal="center"/>
    </xf>
    <xf numFmtId="164" fontId="30" fillId="0" borderId="12" xfId="1" applyNumberFormat="1" applyFont="1" applyFill="1" applyBorder="1" applyAlignment="1">
      <alignment horizontal="center"/>
    </xf>
    <xf numFmtId="164" fontId="5" fillId="3" borderId="41" xfId="1" applyNumberFormat="1" applyFont="1" applyFill="1" applyBorder="1" applyAlignment="1">
      <alignment horizontal="center"/>
    </xf>
    <xf numFmtId="0" fontId="5" fillId="3" borderId="41" xfId="0" applyFont="1" applyFill="1" applyBorder="1"/>
    <xf numFmtId="0" fontId="21" fillId="3" borderId="12" xfId="0" quotePrefix="1" applyFont="1" applyFill="1" applyBorder="1"/>
    <xf numFmtId="164" fontId="0" fillId="0" borderId="0" xfId="1" applyNumberFormat="1" applyFont="1"/>
    <xf numFmtId="0" fontId="32" fillId="4" borderId="23" xfId="0" applyFont="1" applyFill="1" applyBorder="1"/>
    <xf numFmtId="0" fontId="32" fillId="4" borderId="24" xfId="0" applyFont="1" applyFill="1" applyBorder="1"/>
    <xf numFmtId="164" fontId="31" fillId="4" borderId="25" xfId="0" applyNumberFormat="1" applyFont="1" applyFill="1" applyBorder="1" applyAlignment="1">
      <alignment horizontal="center" vertical="center"/>
    </xf>
    <xf numFmtId="0" fontId="33" fillId="0" borderId="0" xfId="0" applyFont="1"/>
    <xf numFmtId="164" fontId="5" fillId="3" borderId="10" xfId="1" applyNumberFormat="1" applyFont="1" applyFill="1" applyBorder="1" applyAlignment="1">
      <alignment horizontal="center"/>
    </xf>
    <xf numFmtId="164" fontId="34" fillId="3" borderId="15" xfId="1" applyNumberFormat="1" applyFont="1" applyFill="1" applyBorder="1" applyAlignment="1">
      <alignment horizontal="center" vertical="center"/>
    </xf>
    <xf numFmtId="164" fontId="34" fillId="3" borderId="18" xfId="1" applyNumberFormat="1" applyFont="1" applyFill="1" applyBorder="1" applyAlignment="1">
      <alignment horizontal="center" vertical="center"/>
    </xf>
    <xf numFmtId="0" fontId="33" fillId="3" borderId="17" xfId="0" applyFont="1" applyFill="1" applyBorder="1" applyAlignment="1">
      <alignment horizontal="center"/>
    </xf>
    <xf numFmtId="0" fontId="33" fillId="3" borderId="12" xfId="0" applyFont="1" applyFill="1" applyBorder="1" applyAlignment="1">
      <alignment horizontal="center"/>
    </xf>
    <xf numFmtId="0" fontId="35" fillId="0" borderId="12" xfId="2" applyFont="1" applyBorder="1" applyAlignment="1">
      <alignment horizontal="center"/>
    </xf>
    <xf numFmtId="164" fontId="35" fillId="0" borderId="12" xfId="1" applyNumberFormat="1" applyFont="1" applyFill="1" applyBorder="1" applyAlignment="1">
      <alignment horizontal="center"/>
    </xf>
    <xf numFmtId="0" fontId="33" fillId="3" borderId="12" xfId="0" quotePrefix="1" applyFont="1" applyFill="1" applyBorder="1" applyAlignment="1">
      <alignment horizontal="center"/>
    </xf>
    <xf numFmtId="164" fontId="33" fillId="3" borderId="12" xfId="1" applyNumberFormat="1" applyFont="1" applyFill="1" applyBorder="1" applyAlignment="1">
      <alignment horizontal="center"/>
    </xf>
    <xf numFmtId="164" fontId="33" fillId="3" borderId="18" xfId="1" applyNumberFormat="1" applyFont="1" applyFill="1" applyBorder="1" applyAlignment="1">
      <alignment horizontal="center"/>
    </xf>
    <xf numFmtId="0" fontId="33" fillId="3" borderId="17" xfId="0" applyFont="1" applyFill="1" applyBorder="1"/>
    <xf numFmtId="0" fontId="33" fillId="3" borderId="12" xfId="0" applyFont="1" applyFill="1" applyBorder="1"/>
    <xf numFmtId="0" fontId="33" fillId="3" borderId="18" xfId="0" applyFont="1" applyFill="1" applyBorder="1"/>
    <xf numFmtId="164" fontId="33" fillId="3" borderId="18" xfId="0" applyNumberFormat="1" applyFont="1" applyFill="1" applyBorder="1"/>
    <xf numFmtId="0" fontId="33" fillId="4" borderId="23" xfId="0" applyFont="1" applyFill="1" applyBorder="1"/>
    <xf numFmtId="0" fontId="33" fillId="4" borderId="24" xfId="0" applyFont="1" applyFill="1" applyBorder="1"/>
    <xf numFmtId="0" fontId="33" fillId="4" borderId="25" xfId="0" applyFont="1" applyFill="1" applyBorder="1"/>
    <xf numFmtId="164" fontId="13" fillId="3" borderId="7" xfId="1" applyNumberFormat="1" applyFont="1" applyFill="1" applyBorder="1" applyAlignment="1">
      <alignment vertical="center"/>
    </xf>
    <xf numFmtId="164" fontId="17" fillId="3" borderId="7" xfId="1" applyNumberFormat="1" applyFont="1" applyFill="1" applyBorder="1" applyAlignment="1">
      <alignment horizontal="center"/>
    </xf>
    <xf numFmtId="164" fontId="13" fillId="3" borderId="9" xfId="1" applyNumberFormat="1" applyFont="1" applyFill="1" applyBorder="1" applyAlignment="1">
      <alignment horizontal="center" vertical="center"/>
    </xf>
    <xf numFmtId="1" fontId="13" fillId="3" borderId="5" xfId="1" applyNumberFormat="1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5" xfId="0" quotePrefix="1" applyFont="1" applyFill="1" applyBorder="1" applyAlignment="1">
      <alignment horizontal="center"/>
    </xf>
    <xf numFmtId="164" fontId="34" fillId="3" borderId="5" xfId="1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64" fontId="13" fillId="3" borderId="3" xfId="1" quotePrefix="1" applyNumberFormat="1" applyFont="1" applyFill="1" applyBorder="1" applyAlignment="1">
      <alignment horizontal="center" vertical="center"/>
    </xf>
    <xf numFmtId="164" fontId="13" fillId="3" borderId="3" xfId="1" applyNumberFormat="1" applyFont="1" applyFill="1" applyBorder="1" applyAlignment="1">
      <alignment vertical="center"/>
    </xf>
    <xf numFmtId="164" fontId="21" fillId="3" borderId="3" xfId="1" applyNumberFormat="1" applyFont="1" applyFill="1" applyBorder="1" applyAlignment="1">
      <alignment horizontal="center" vertical="center"/>
    </xf>
    <xf numFmtId="164" fontId="13" fillId="3" borderId="3" xfId="1" applyNumberFormat="1" applyFont="1" applyFill="1" applyBorder="1"/>
    <xf numFmtId="164" fontId="13" fillId="3" borderId="0" xfId="1" applyNumberFormat="1" applyFont="1" applyFill="1" applyBorder="1"/>
    <xf numFmtId="164" fontId="13" fillId="3" borderId="3" xfId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center" vertical="center"/>
    </xf>
    <xf numFmtId="164" fontId="13" fillId="3" borderId="7" xfId="1" quotePrefix="1" applyNumberFormat="1" applyFont="1" applyFill="1" applyBorder="1" applyAlignment="1">
      <alignment horizontal="center" vertical="center"/>
    </xf>
    <xf numFmtId="164" fontId="13" fillId="3" borderId="7" xfId="1" applyNumberFormat="1" applyFont="1" applyFill="1" applyBorder="1" applyAlignment="1">
      <alignment horizontal="center" vertical="center"/>
    </xf>
    <xf numFmtId="164" fontId="13" fillId="3" borderId="7" xfId="1" applyNumberFormat="1" applyFont="1" applyFill="1" applyBorder="1"/>
    <xf numFmtId="164" fontId="21" fillId="3" borderId="7" xfId="1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37" fillId="0" borderId="0" xfId="0" applyFont="1"/>
    <xf numFmtId="164" fontId="38" fillId="0" borderId="0" xfId="1" applyNumberFormat="1" applyFont="1" applyAlignment="1">
      <alignment horizontal="center" vertical="center"/>
    </xf>
    <xf numFmtId="0" fontId="39" fillId="0" borderId="0" xfId="0" applyFont="1"/>
    <xf numFmtId="164" fontId="40" fillId="0" borderId="0" xfId="1" applyNumberFormat="1" applyFont="1"/>
    <xf numFmtId="0" fontId="5" fillId="0" borderId="7" xfId="0" applyFont="1" applyBorder="1" applyAlignment="1">
      <alignment horizontal="center"/>
    </xf>
    <xf numFmtId="0" fontId="41" fillId="0" borderId="0" xfId="0" applyFont="1"/>
    <xf numFmtId="164" fontId="6" fillId="0" borderId="57" xfId="1" applyNumberFormat="1" applyFont="1" applyBorder="1"/>
    <xf numFmtId="164" fontId="41" fillId="0" borderId="0" xfId="1" applyNumberFormat="1" applyFont="1"/>
    <xf numFmtId="164" fontId="0" fillId="0" borderId="0" xfId="0" applyNumberFormat="1"/>
    <xf numFmtId="0" fontId="13" fillId="3" borderId="39" xfId="0" applyFont="1" applyFill="1" applyBorder="1" applyAlignment="1">
      <alignment horizontal="center"/>
    </xf>
    <xf numFmtId="0" fontId="13" fillId="3" borderId="39" xfId="0" applyFont="1" applyFill="1" applyBorder="1" applyAlignment="1">
      <alignment vertical="center"/>
    </xf>
    <xf numFmtId="164" fontId="13" fillId="3" borderId="39" xfId="1" quotePrefix="1" applyNumberFormat="1" applyFont="1" applyFill="1" applyBorder="1" applyAlignment="1">
      <alignment horizontal="center"/>
    </xf>
    <xf numFmtId="164" fontId="13" fillId="3" borderId="39" xfId="1" applyNumberFormat="1" applyFont="1" applyFill="1" applyBorder="1" applyAlignment="1">
      <alignment horizontal="center"/>
    </xf>
    <xf numFmtId="0" fontId="13" fillId="0" borderId="39" xfId="0" applyFont="1" applyBorder="1" applyAlignment="1">
      <alignment horizontal="center"/>
    </xf>
    <xf numFmtId="164" fontId="13" fillId="0" borderId="39" xfId="1" applyNumberFormat="1" applyFont="1" applyFill="1" applyBorder="1" applyAlignment="1">
      <alignment horizontal="center"/>
    </xf>
    <xf numFmtId="164" fontId="19" fillId="0" borderId="39" xfId="1" applyNumberFormat="1" applyFont="1" applyFill="1" applyBorder="1" applyAlignment="1">
      <alignment horizontal="center"/>
    </xf>
    <xf numFmtId="0" fontId="21" fillId="3" borderId="39" xfId="0" applyFont="1" applyFill="1" applyBorder="1"/>
    <xf numFmtId="164" fontId="21" fillId="3" borderId="39" xfId="1" applyNumberFormat="1" applyFont="1" applyFill="1" applyBorder="1"/>
    <xf numFmtId="0" fontId="21" fillId="4" borderId="39" xfId="0" applyFont="1" applyFill="1" applyBorder="1"/>
    <xf numFmtId="164" fontId="21" fillId="4" borderId="39" xfId="1" applyNumberFormat="1" applyFont="1" applyFill="1" applyBorder="1"/>
    <xf numFmtId="0" fontId="5" fillId="0" borderId="20" xfId="0" applyFont="1" applyBorder="1"/>
    <xf numFmtId="0" fontId="5" fillId="0" borderId="6" xfId="0" applyFont="1" applyBorder="1"/>
    <xf numFmtId="164" fontId="5" fillId="0" borderId="6" xfId="1" applyNumberFormat="1" applyFont="1" applyFill="1" applyBorder="1"/>
    <xf numFmtId="0" fontId="5" fillId="4" borderId="7" xfId="0" applyFont="1" applyFill="1" applyBorder="1"/>
    <xf numFmtId="0" fontId="5" fillId="3" borderId="7" xfId="0" applyFont="1" applyFill="1" applyBorder="1"/>
    <xf numFmtId="164" fontId="5" fillId="3" borderId="7" xfId="1" applyNumberFormat="1" applyFont="1" applyFill="1" applyBorder="1"/>
    <xf numFmtId="164" fontId="5" fillId="0" borderId="7" xfId="1" applyNumberFormat="1" applyFont="1" applyFill="1" applyBorder="1"/>
    <xf numFmtId="0" fontId="21" fillId="3" borderId="7" xfId="0" quotePrefix="1" applyFont="1" applyFill="1" applyBorder="1"/>
    <xf numFmtId="164" fontId="25" fillId="3" borderId="7" xfId="1" applyNumberFormat="1" applyFont="1" applyFill="1" applyBorder="1"/>
    <xf numFmtId="0" fontId="5" fillId="3" borderId="11" xfId="0" applyFont="1" applyFill="1" applyBorder="1" applyAlignment="1">
      <alignment horizontal="center"/>
    </xf>
    <xf numFmtId="0" fontId="5" fillId="3" borderId="8" xfId="0" applyFont="1" applyFill="1" applyBorder="1" applyAlignment="1">
      <alignment vertical="center"/>
    </xf>
    <xf numFmtId="0" fontId="30" fillId="3" borderId="5" xfId="0" applyFont="1" applyFill="1" applyBorder="1" applyAlignment="1">
      <alignment horizontal="center"/>
    </xf>
    <xf numFmtId="164" fontId="19" fillId="4" borderId="5" xfId="1" applyNumberFormat="1" applyFont="1" applyFill="1" applyBorder="1" applyAlignment="1">
      <alignment horizontal="center"/>
    </xf>
    <xf numFmtId="43" fontId="20" fillId="3" borderId="12" xfId="1" applyFont="1" applyFill="1" applyBorder="1" applyAlignment="1">
      <alignment horizontal="center"/>
    </xf>
    <xf numFmtId="43" fontId="20" fillId="3" borderId="0" xfId="1" applyFont="1" applyFill="1" applyBorder="1" applyAlignment="1">
      <alignment horizontal="center"/>
    </xf>
    <xf numFmtId="0" fontId="4" fillId="10" borderId="1" xfId="0" applyFont="1" applyFill="1" applyBorder="1"/>
    <xf numFmtId="0" fontId="42" fillId="0" borderId="0" xfId="3"/>
    <xf numFmtId="0" fontId="42" fillId="3" borderId="0" xfId="3" applyFill="1"/>
    <xf numFmtId="164" fontId="42" fillId="0" borderId="0" xfId="3" applyNumberFormat="1"/>
    <xf numFmtId="0" fontId="13" fillId="3" borderId="59" xfId="0" applyFont="1" applyFill="1" applyBorder="1" applyAlignment="1">
      <alignment horizontal="center"/>
    </xf>
    <xf numFmtId="0" fontId="13" fillId="3" borderId="60" xfId="0" applyFont="1" applyFill="1" applyBorder="1" applyAlignment="1">
      <alignment horizontal="center"/>
    </xf>
    <xf numFmtId="164" fontId="13" fillId="3" borderId="60" xfId="1" quotePrefix="1" applyNumberFormat="1" applyFont="1" applyFill="1" applyBorder="1" applyAlignment="1">
      <alignment horizontal="center"/>
    </xf>
    <xf numFmtId="164" fontId="13" fillId="3" borderId="60" xfId="1" applyNumberFormat="1" applyFont="1" applyFill="1" applyBorder="1" applyAlignment="1">
      <alignment horizontal="center"/>
    </xf>
    <xf numFmtId="164" fontId="13" fillId="3" borderId="61" xfId="1" applyNumberFormat="1" applyFont="1" applyFill="1" applyBorder="1" applyAlignment="1">
      <alignment horizontal="center"/>
    </xf>
    <xf numFmtId="0" fontId="13" fillId="3" borderId="62" xfId="0" applyFont="1" applyFill="1" applyBorder="1" applyAlignment="1">
      <alignment horizontal="center"/>
    </xf>
    <xf numFmtId="164" fontId="13" fillId="3" borderId="63" xfId="1" applyNumberFormat="1" applyFont="1" applyFill="1" applyBorder="1" applyAlignment="1">
      <alignment horizontal="center"/>
    </xf>
    <xf numFmtId="0" fontId="13" fillId="3" borderId="64" xfId="0" applyFont="1" applyFill="1" applyBorder="1" applyAlignment="1">
      <alignment horizontal="center"/>
    </xf>
    <xf numFmtId="0" fontId="13" fillId="3" borderId="65" xfId="0" applyFont="1" applyFill="1" applyBorder="1" applyAlignment="1">
      <alignment horizontal="center"/>
    </xf>
    <xf numFmtId="164" fontId="13" fillId="3" borderId="65" xfId="1" applyNumberFormat="1" applyFont="1" applyFill="1" applyBorder="1" applyAlignment="1">
      <alignment horizontal="center"/>
    </xf>
    <xf numFmtId="164" fontId="13" fillId="3" borderId="66" xfId="1" applyNumberFormat="1" applyFont="1" applyFill="1" applyBorder="1" applyAlignment="1">
      <alignment horizontal="center"/>
    </xf>
    <xf numFmtId="164" fontId="18" fillId="3" borderId="7" xfId="1" applyNumberFormat="1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 vertical="center"/>
    </xf>
    <xf numFmtId="164" fontId="13" fillId="3" borderId="2" xfId="1" quotePrefix="1" applyNumberFormat="1" applyFont="1" applyFill="1" applyBorder="1" applyAlignment="1">
      <alignment horizontal="center"/>
    </xf>
    <xf numFmtId="164" fontId="13" fillId="3" borderId="2" xfId="1" applyNumberFormat="1" applyFont="1" applyFill="1" applyBorder="1" applyAlignment="1">
      <alignment horizontal="center"/>
    </xf>
    <xf numFmtId="0" fontId="42" fillId="3" borderId="2" xfId="3" applyFill="1" applyBorder="1" applyAlignment="1">
      <alignment horizontal="center"/>
    </xf>
    <xf numFmtId="0" fontId="13" fillId="3" borderId="67" xfId="0" applyFont="1" applyFill="1" applyBorder="1" applyAlignment="1">
      <alignment horizontal="center"/>
    </xf>
    <xf numFmtId="164" fontId="13" fillId="3" borderId="67" xfId="1" applyNumberFormat="1" applyFont="1" applyFill="1" applyBorder="1" applyAlignment="1">
      <alignment horizontal="center"/>
    </xf>
    <xf numFmtId="0" fontId="42" fillId="3" borderId="67" xfId="3" applyFill="1" applyBorder="1" applyAlignment="1">
      <alignment horizontal="center"/>
    </xf>
    <xf numFmtId="0" fontId="21" fillId="3" borderId="2" xfId="0" applyFont="1" applyFill="1" applyBorder="1"/>
    <xf numFmtId="164" fontId="21" fillId="3" borderId="2" xfId="0" applyNumberFormat="1" applyFont="1" applyFill="1" applyBorder="1"/>
    <xf numFmtId="0" fontId="42" fillId="3" borderId="2" xfId="3" applyFill="1" applyBorder="1"/>
    <xf numFmtId="164" fontId="18" fillId="3" borderId="10" xfId="1" applyNumberFormat="1" applyFont="1" applyFill="1" applyBorder="1" applyAlignment="1">
      <alignment horizontal="center"/>
    </xf>
    <xf numFmtId="0" fontId="2" fillId="3" borderId="0" xfId="0" applyFont="1" applyFill="1"/>
    <xf numFmtId="164" fontId="0" fillId="3" borderId="0" xfId="1" applyNumberFormat="1" applyFont="1" applyFill="1"/>
    <xf numFmtId="164" fontId="0" fillId="3" borderId="0" xfId="0" applyNumberFormat="1" applyFill="1"/>
    <xf numFmtId="164" fontId="33" fillId="0" borderId="0" xfId="1" applyNumberFormat="1" applyFont="1"/>
    <xf numFmtId="164" fontId="33" fillId="3" borderId="18" xfId="1" applyNumberFormat="1" applyFont="1" applyFill="1" applyBorder="1"/>
    <xf numFmtId="164" fontId="33" fillId="4" borderId="25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43" fillId="3" borderId="10" xfId="1" applyNumberFormat="1" applyFont="1" applyFill="1" applyBorder="1" applyAlignment="1">
      <alignment horizontal="center" vertical="center"/>
    </xf>
    <xf numFmtId="164" fontId="4" fillId="0" borderId="0" xfId="1" applyNumberFormat="1" applyFont="1"/>
    <xf numFmtId="164" fontId="29" fillId="3" borderId="7" xfId="1" applyNumberFormat="1" applyFont="1" applyFill="1" applyBorder="1" applyAlignment="1">
      <alignment horizontal="center"/>
    </xf>
    <xf numFmtId="0" fontId="2" fillId="0" borderId="7" xfId="0" applyFont="1" applyBorder="1"/>
    <xf numFmtId="0" fontId="44" fillId="0" borderId="7" xfId="0" applyFont="1" applyBorder="1" applyAlignment="1">
      <alignment horizontal="center"/>
    </xf>
    <xf numFmtId="164" fontId="2" fillId="0" borderId="7" xfId="1" applyNumberFormat="1" applyFont="1" applyBorder="1"/>
    <xf numFmtId="164" fontId="44" fillId="0" borderId="7" xfId="1" applyNumberFormat="1" applyFont="1" applyBorder="1" applyAlignment="1">
      <alignment horizontal="center"/>
    </xf>
    <xf numFmtId="0" fontId="4" fillId="0" borderId="7" xfId="0" applyFont="1" applyBorder="1"/>
    <xf numFmtId="164" fontId="4" fillId="0" borderId="7" xfId="1" applyNumberFormat="1" applyFont="1" applyBorder="1"/>
    <xf numFmtId="0" fontId="0" fillId="0" borderId="7" xfId="0" applyBorder="1"/>
    <xf numFmtId="164" fontId="0" fillId="0" borderId="7" xfId="1" applyNumberFormat="1" applyFont="1" applyBorder="1"/>
    <xf numFmtId="0" fontId="4" fillId="0" borderId="7" xfId="0" applyFont="1" applyBorder="1" applyAlignment="1">
      <alignment horizontal="center"/>
    </xf>
    <xf numFmtId="0" fontId="45" fillId="0" borderId="0" xfId="0" applyFont="1" applyAlignment="1">
      <alignment horizontal="center" vertical="center"/>
    </xf>
    <xf numFmtId="164" fontId="45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5" fillId="3" borderId="12" xfId="0" quotePrefix="1" applyFont="1" applyFill="1" applyBorder="1" applyAlignment="1">
      <alignment horizontal="center" vertical="center"/>
    </xf>
    <xf numFmtId="0" fontId="47" fillId="0" borderId="0" xfId="0" applyFont="1"/>
    <xf numFmtId="0" fontId="47" fillId="0" borderId="0" xfId="0" applyFont="1" applyAlignment="1">
      <alignment horizontal="center" vertical="center"/>
    </xf>
    <xf numFmtId="0" fontId="31" fillId="3" borderId="7" xfId="0" applyFont="1" applyFill="1" applyBorder="1"/>
    <xf numFmtId="164" fontId="4" fillId="0" borderId="0" xfId="0" applyNumberFormat="1" applyFont="1"/>
    <xf numFmtId="0" fontId="0" fillId="0" borderId="0" xfId="0" applyAlignment="1">
      <alignment wrapText="1"/>
    </xf>
    <xf numFmtId="164" fontId="5" fillId="3" borderId="40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0" fontId="5" fillId="3" borderId="40" xfId="0" quotePrefix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0" fontId="3" fillId="0" borderId="0" xfId="0" applyFont="1"/>
    <xf numFmtId="164" fontId="5" fillId="3" borderId="8" xfId="1" applyNumberFormat="1" applyFont="1" applyFill="1" applyBorder="1" applyAlignment="1">
      <alignment horizontal="center" vertical="center"/>
    </xf>
    <xf numFmtId="0" fontId="5" fillId="3" borderId="11" xfId="0" quotePrefix="1" applyFont="1" applyFill="1" applyBorder="1" applyAlignment="1">
      <alignment vertical="center"/>
    </xf>
    <xf numFmtId="0" fontId="5" fillId="3" borderId="9" xfId="0" quotePrefix="1" applyFont="1" applyFill="1" applyBorder="1" applyAlignment="1">
      <alignment vertical="center"/>
    </xf>
    <xf numFmtId="0" fontId="18" fillId="3" borderId="0" xfId="0" applyFont="1" applyFill="1"/>
    <xf numFmtId="0" fontId="13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18" fillId="0" borderId="7" xfId="1" applyNumberFormat="1" applyFont="1" applyBorder="1"/>
    <xf numFmtId="164" fontId="47" fillId="0" borderId="0" xfId="1" applyNumberFormat="1" applyFont="1" applyAlignment="1">
      <alignment horizontal="center" vertical="center"/>
    </xf>
    <xf numFmtId="164" fontId="47" fillId="0" borderId="0" xfId="1" applyNumberFormat="1" applyFont="1"/>
    <xf numFmtId="0" fontId="29" fillId="3" borderId="17" xfId="0" applyFont="1" applyFill="1" applyBorder="1" applyAlignment="1">
      <alignment horizontal="center"/>
    </xf>
    <xf numFmtId="0" fontId="29" fillId="3" borderId="12" xfId="0" applyFont="1" applyFill="1" applyBorder="1" applyAlignment="1">
      <alignment horizontal="center"/>
    </xf>
    <xf numFmtId="0" fontId="49" fillId="0" borderId="12" xfId="2" applyFont="1" applyBorder="1" applyAlignment="1">
      <alignment horizontal="center"/>
    </xf>
    <xf numFmtId="164" fontId="50" fillId="0" borderId="12" xfId="1" applyNumberFormat="1" applyFont="1" applyFill="1" applyBorder="1" applyAlignment="1">
      <alignment horizontal="center"/>
    </xf>
    <xf numFmtId="0" fontId="29" fillId="3" borderId="12" xfId="0" quotePrefix="1" applyFont="1" applyFill="1" applyBorder="1" applyAlignment="1">
      <alignment horizontal="center"/>
    </xf>
    <xf numFmtId="164" fontId="29" fillId="3" borderId="12" xfId="1" applyNumberFormat="1" applyFont="1" applyFill="1" applyBorder="1" applyAlignment="1">
      <alignment horizontal="center"/>
    </xf>
    <xf numFmtId="164" fontId="29" fillId="3" borderId="18" xfId="1" applyNumberFormat="1" applyFont="1" applyFill="1" applyBorder="1" applyAlignment="1">
      <alignment horizontal="center"/>
    </xf>
    <xf numFmtId="0" fontId="29" fillId="3" borderId="17" xfId="0" applyFont="1" applyFill="1" applyBorder="1"/>
    <xf numFmtId="0" fontId="29" fillId="3" borderId="12" xfId="0" applyFont="1" applyFill="1" applyBorder="1"/>
    <xf numFmtId="0" fontId="29" fillId="3" borderId="12" xfId="0" applyFont="1" applyFill="1" applyBorder="1" applyAlignment="1">
      <alignment horizontal="center" vertical="center"/>
    </xf>
    <xf numFmtId="0" fontId="29" fillId="3" borderId="12" xfId="0" quotePrefix="1" applyFont="1" applyFill="1" applyBorder="1" applyAlignment="1">
      <alignment horizontal="center" vertical="center"/>
    </xf>
    <xf numFmtId="0" fontId="29" fillId="3" borderId="20" xfId="0" applyFont="1" applyFill="1" applyBorder="1"/>
    <xf numFmtId="0" fontId="29" fillId="3" borderId="6" xfId="0" applyFont="1" applyFill="1" applyBorder="1"/>
    <xf numFmtId="0" fontId="29" fillId="4" borderId="23" xfId="0" applyFont="1" applyFill="1" applyBorder="1"/>
    <xf numFmtId="0" fontId="29" fillId="4" borderId="24" xfId="0" applyFont="1" applyFill="1" applyBorder="1"/>
    <xf numFmtId="164" fontId="29" fillId="4" borderId="25" xfId="0" applyNumberFormat="1" applyFont="1" applyFill="1" applyBorder="1"/>
    <xf numFmtId="164" fontId="29" fillId="3" borderId="18" xfId="1" applyNumberFormat="1" applyFont="1" applyFill="1" applyBorder="1" applyAlignment="1">
      <alignment horizontal="right" vertical="center"/>
    </xf>
    <xf numFmtId="164" fontId="29" fillId="3" borderId="21" xfId="1" applyNumberFormat="1" applyFont="1" applyFill="1" applyBorder="1"/>
    <xf numFmtId="164" fontId="13" fillId="3" borderId="8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/>
    </xf>
    <xf numFmtId="0" fontId="22" fillId="3" borderId="68" xfId="0" applyFont="1" applyFill="1" applyBorder="1" applyAlignment="1">
      <alignment horizontal="center"/>
    </xf>
    <xf numFmtId="0" fontId="24" fillId="3" borderId="69" xfId="0" applyFont="1" applyFill="1" applyBorder="1" applyAlignment="1">
      <alignment horizontal="center"/>
    </xf>
    <xf numFmtId="0" fontId="24" fillId="3" borderId="41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21" fillId="3" borderId="69" xfId="0" applyFont="1" applyFill="1" applyBorder="1"/>
    <xf numFmtId="0" fontId="21" fillId="3" borderId="34" xfId="0" applyFont="1" applyFill="1" applyBorder="1"/>
    <xf numFmtId="0" fontId="21" fillId="3" borderId="38" xfId="0" applyFont="1" applyFill="1" applyBorder="1"/>
    <xf numFmtId="0" fontId="21" fillId="3" borderId="70" xfId="0" applyFont="1" applyFill="1" applyBorder="1" applyAlignment="1">
      <alignment horizontal="center"/>
    </xf>
    <xf numFmtId="0" fontId="21" fillId="0" borderId="69" xfId="0" applyFont="1" applyBorder="1"/>
    <xf numFmtId="0" fontId="21" fillId="0" borderId="34" xfId="0" applyFont="1" applyBorder="1"/>
    <xf numFmtId="164" fontId="18" fillId="3" borderId="11" xfId="1" applyNumberFormat="1" applyFont="1" applyFill="1" applyBorder="1" applyAlignment="1">
      <alignment horizontal="center"/>
    </xf>
    <xf numFmtId="0" fontId="47" fillId="0" borderId="0" xfId="0" applyFont="1" applyAlignment="1">
      <alignment horizontal="center" vertical="center" wrapText="1"/>
    </xf>
    <xf numFmtId="164" fontId="47" fillId="0" borderId="0" xfId="1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164" fontId="44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2" fillId="0" borderId="0" xfId="0" applyFont="1"/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center" vertical="center"/>
    </xf>
    <xf numFmtId="165" fontId="47" fillId="0" borderId="0" xfId="0" applyNumberFormat="1" applyFont="1"/>
    <xf numFmtId="164" fontId="52" fillId="0" borderId="0" xfId="1" applyNumberFormat="1" applyFont="1" applyAlignment="1">
      <alignment horizontal="center" vertical="center"/>
    </xf>
    <xf numFmtId="0" fontId="47" fillId="3" borderId="0" xfId="0" applyFont="1" applyFill="1"/>
    <xf numFmtId="164" fontId="47" fillId="3" borderId="0" xfId="1" applyNumberFormat="1" applyFont="1" applyFill="1"/>
    <xf numFmtId="0" fontId="52" fillId="3" borderId="0" xfId="0" applyFont="1" applyFill="1" applyAlignment="1">
      <alignment horizontal="center" vertical="center"/>
    </xf>
    <xf numFmtId="164" fontId="52" fillId="3" borderId="0" xfId="1" applyNumberFormat="1" applyFont="1" applyFill="1" applyAlignment="1">
      <alignment horizontal="center" vertical="center"/>
    </xf>
    <xf numFmtId="164" fontId="52" fillId="0" borderId="0" xfId="1" applyNumberFormat="1" applyFont="1"/>
    <xf numFmtId="0" fontId="53" fillId="3" borderId="0" xfId="0" applyFont="1" applyFill="1" applyAlignment="1">
      <alignment horizontal="center"/>
    </xf>
    <xf numFmtId="0" fontId="54" fillId="3" borderId="0" xfId="0" applyFont="1" applyFill="1"/>
    <xf numFmtId="164" fontId="54" fillId="3" borderId="0" xfId="1" applyNumberFormat="1" applyFont="1" applyFill="1"/>
    <xf numFmtId="0" fontId="53" fillId="3" borderId="0" xfId="0" applyFont="1" applyFill="1"/>
    <xf numFmtId="164" fontId="53" fillId="3" borderId="0" xfId="1" applyNumberFormat="1" applyFont="1" applyFill="1"/>
    <xf numFmtId="0" fontId="55" fillId="3" borderId="0" xfId="0" applyFont="1" applyFill="1"/>
    <xf numFmtId="164" fontId="55" fillId="3" borderId="0" xfId="1" applyNumberFormat="1" applyFont="1" applyFill="1"/>
    <xf numFmtId="0" fontId="54" fillId="4" borderId="0" xfId="0" applyFont="1" applyFill="1"/>
    <xf numFmtId="164" fontId="54" fillId="4" borderId="0" xfId="1" applyNumberFormat="1" applyFont="1" applyFill="1"/>
    <xf numFmtId="0" fontId="56" fillId="3" borderId="0" xfId="0" applyFont="1" applyFill="1" applyAlignment="1">
      <alignment horizontal="center"/>
    </xf>
    <xf numFmtId="164" fontId="56" fillId="3" borderId="0" xfId="1" applyNumberFormat="1" applyFont="1" applyFill="1" applyAlignment="1">
      <alignment horizontal="center"/>
    </xf>
    <xf numFmtId="0" fontId="56" fillId="3" borderId="0" xfId="0" applyFont="1" applyFill="1"/>
    <xf numFmtId="164" fontId="56" fillId="3" borderId="0" xfId="1" applyNumberFormat="1" applyFont="1" applyFill="1"/>
    <xf numFmtId="164" fontId="12" fillId="3" borderId="10" xfId="1" applyNumberFormat="1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center" vertical="center"/>
    </xf>
    <xf numFmtId="164" fontId="57" fillId="0" borderId="0" xfId="1" applyNumberFormat="1" applyFont="1" applyAlignment="1">
      <alignment horizontal="center" vertical="center"/>
    </xf>
    <xf numFmtId="164" fontId="57" fillId="0" borderId="0" xfId="1" applyNumberFormat="1" applyFont="1"/>
    <xf numFmtId="0" fontId="45" fillId="0" borderId="0" xfId="0" applyFont="1"/>
    <xf numFmtId="0" fontId="57" fillId="0" borderId="0" xfId="0" applyFont="1" applyAlignment="1">
      <alignment horizontal="center"/>
    </xf>
    <xf numFmtId="164" fontId="57" fillId="0" borderId="0" xfId="1" applyNumberFormat="1" applyFont="1" applyAlignment="1">
      <alignment horizontal="center"/>
    </xf>
    <xf numFmtId="0" fontId="57" fillId="4" borderId="0" xfId="0" applyFont="1" applyFill="1"/>
    <xf numFmtId="164" fontId="57" fillId="4" borderId="0" xfId="1" applyNumberFormat="1" applyFont="1" applyFill="1"/>
    <xf numFmtId="0" fontId="58" fillId="0" borderId="0" xfId="0" applyFont="1" applyAlignment="1">
      <alignment horizontal="center"/>
    </xf>
    <xf numFmtId="164" fontId="21" fillId="0" borderId="18" xfId="1" applyNumberFormat="1" applyFont="1" applyBorder="1"/>
    <xf numFmtId="164" fontId="5" fillId="0" borderId="18" xfId="1" applyNumberFormat="1" applyFont="1" applyBorder="1"/>
    <xf numFmtId="164" fontId="21" fillId="4" borderId="18" xfId="1" applyNumberFormat="1" applyFont="1" applyFill="1" applyBorder="1"/>
    <xf numFmtId="164" fontId="21" fillId="0" borderId="21" xfId="1" applyNumberFormat="1" applyFont="1" applyBorder="1"/>
    <xf numFmtId="0" fontId="31" fillId="3" borderId="0" xfId="0" applyFont="1" applyFill="1" applyAlignment="1">
      <alignment horizontal="center"/>
    </xf>
    <xf numFmtId="164" fontId="31" fillId="3" borderId="0" xfId="1" applyNumberFormat="1" applyFont="1" applyFill="1" applyAlignment="1">
      <alignment horizontal="center"/>
    </xf>
    <xf numFmtId="164" fontId="59" fillId="3" borderId="0" xfId="1" applyNumberFormat="1" applyFont="1" applyFill="1" applyAlignment="1">
      <alignment horizontal="center" vertical="center"/>
    </xf>
    <xf numFmtId="164" fontId="31" fillId="4" borderId="0" xfId="1" applyNumberFormat="1" applyFont="1" applyFill="1"/>
    <xf numFmtId="0" fontId="4" fillId="4" borderId="0" xfId="0" applyFont="1" applyFill="1"/>
    <xf numFmtId="0" fontId="58" fillId="0" borderId="0" xfId="0" applyFont="1" applyAlignment="1">
      <alignment horizontal="center" vertical="center"/>
    </xf>
    <xf numFmtId="0" fontId="29" fillId="3" borderId="0" xfId="0" applyFont="1" applyFill="1"/>
    <xf numFmtId="164" fontId="29" fillId="3" borderId="0" xfId="1" applyNumberFormat="1" applyFont="1" applyFill="1"/>
    <xf numFmtId="0" fontId="59" fillId="3" borderId="0" xfId="0" applyFont="1" applyFill="1" applyAlignment="1">
      <alignment horizontal="center" vertical="center"/>
    </xf>
    <xf numFmtId="0" fontId="29" fillId="4" borderId="0" xfId="0" applyFont="1" applyFill="1"/>
    <xf numFmtId="164" fontId="29" fillId="4" borderId="0" xfId="1" applyNumberFormat="1" applyFont="1" applyFill="1"/>
    <xf numFmtId="0" fontId="56" fillId="3" borderId="0" xfId="0" applyFont="1" applyFill="1" applyAlignment="1">
      <alignment horizontal="center" vertical="center"/>
    </xf>
    <xf numFmtId="164" fontId="56" fillId="3" borderId="0" xfId="1" applyNumberFormat="1" applyFont="1" applyFill="1" applyAlignment="1">
      <alignment horizontal="center" vertical="center"/>
    </xf>
    <xf numFmtId="164" fontId="43" fillId="3" borderId="0" xfId="1" applyNumberFormat="1" applyFont="1" applyFill="1" applyBorder="1" applyAlignment="1">
      <alignment horizontal="center" vertical="center"/>
    </xf>
    <xf numFmtId="0" fontId="52" fillId="4" borderId="0" xfId="0" applyFont="1" applyFill="1"/>
    <xf numFmtId="164" fontId="52" fillId="4" borderId="0" xfId="1" applyNumberFormat="1" applyFont="1" applyFill="1"/>
    <xf numFmtId="164" fontId="58" fillId="0" borderId="0" xfId="1" applyNumberFormat="1" applyFont="1" applyAlignment="1">
      <alignment horizontal="center" vertical="center"/>
    </xf>
    <xf numFmtId="0" fontId="29" fillId="0" borderId="12" xfId="0" applyFont="1" applyBorder="1"/>
    <xf numFmtId="0" fontId="29" fillId="4" borderId="17" xfId="0" applyFont="1" applyFill="1" applyBorder="1"/>
    <xf numFmtId="0" fontId="29" fillId="4" borderId="12" xfId="0" applyFont="1" applyFill="1" applyBorder="1"/>
    <xf numFmtId="0" fontId="29" fillId="0" borderId="17" xfId="0" applyFont="1" applyBorder="1"/>
    <xf numFmtId="0" fontId="29" fillId="3" borderId="23" xfId="0" applyFont="1" applyFill="1" applyBorder="1"/>
    <xf numFmtId="0" fontId="29" fillId="3" borderId="24" xfId="0" applyFont="1" applyFill="1" applyBorder="1"/>
    <xf numFmtId="164" fontId="29" fillId="3" borderId="12" xfId="1" applyNumberFormat="1" applyFont="1" applyFill="1" applyBorder="1"/>
    <xf numFmtId="164" fontId="29" fillId="0" borderId="12" xfId="1" applyNumberFormat="1" applyFont="1" applyBorder="1"/>
    <xf numFmtId="164" fontId="29" fillId="4" borderId="12" xfId="1" applyNumberFormat="1" applyFont="1" applyFill="1" applyBorder="1"/>
    <xf numFmtId="164" fontId="29" fillId="3" borderId="24" xfId="1" applyNumberFormat="1" applyFont="1" applyFill="1" applyBorder="1"/>
    <xf numFmtId="0" fontId="60" fillId="3" borderId="0" xfId="0" applyFont="1" applyFill="1" applyAlignment="1">
      <alignment horizontal="center"/>
    </xf>
    <xf numFmtId="164" fontId="60" fillId="3" borderId="0" xfId="1" applyNumberFormat="1" applyFont="1" applyFill="1" applyAlignment="1">
      <alignment horizontal="center"/>
    </xf>
    <xf numFmtId="0" fontId="4" fillId="3" borderId="0" xfId="0" applyFont="1" applyFill="1"/>
    <xf numFmtId="164" fontId="4" fillId="3" borderId="0" xfId="1" applyNumberFormat="1" applyFont="1" applyFill="1"/>
    <xf numFmtId="0" fontId="58" fillId="3" borderId="0" xfId="0" applyFont="1" applyFill="1" applyAlignment="1">
      <alignment horizontal="center" vertical="center"/>
    </xf>
    <xf numFmtId="164" fontId="58" fillId="3" borderId="0" xfId="1" applyNumberFormat="1" applyFont="1" applyFill="1" applyAlignment="1">
      <alignment horizontal="center" vertical="center"/>
    </xf>
    <xf numFmtId="0" fontId="3" fillId="4" borderId="0" xfId="0" applyFont="1" applyFill="1"/>
    <xf numFmtId="0" fontId="28" fillId="4" borderId="5" xfId="0" applyFont="1" applyFill="1" applyBorder="1" applyAlignment="1">
      <alignment horizontal="center"/>
    </xf>
    <xf numFmtId="164" fontId="28" fillId="4" borderId="5" xfId="1" applyNumberFormat="1" applyFont="1" applyFill="1" applyBorder="1" applyAlignment="1">
      <alignment horizontal="center"/>
    </xf>
    <xf numFmtId="0" fontId="28" fillId="4" borderId="5" xfId="0" quotePrefix="1" applyFont="1" applyFill="1" applyBorder="1" applyAlignment="1">
      <alignment horizontal="center"/>
    </xf>
    <xf numFmtId="164" fontId="18" fillId="3" borderId="0" xfId="1" applyNumberFormat="1" applyFont="1" applyFill="1" applyBorder="1" applyAlignment="1">
      <alignment horizontal="center"/>
    </xf>
    <xf numFmtId="164" fontId="5" fillId="3" borderId="18" xfId="1" applyNumberFormat="1" applyFont="1" applyFill="1" applyBorder="1" applyAlignment="1">
      <alignment horizontal="right"/>
    </xf>
    <xf numFmtId="164" fontId="5" fillId="3" borderId="21" xfId="1" applyNumberFormat="1" applyFont="1" applyFill="1" applyBorder="1"/>
    <xf numFmtId="0" fontId="5" fillId="3" borderId="6" xfId="0" applyFont="1" applyFill="1" applyBorder="1" applyAlignment="1">
      <alignment horizontal="center"/>
    </xf>
    <xf numFmtId="0" fontId="18" fillId="0" borderId="0" xfId="0" quotePrefix="1" applyFont="1"/>
    <xf numFmtId="43" fontId="20" fillId="5" borderId="0" xfId="1" applyFont="1" applyFill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164" fontId="5" fillId="6" borderId="7" xfId="1" quotePrefix="1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33" fillId="3" borderId="12" xfId="0" quotePrefix="1" applyFont="1" applyFill="1" applyBorder="1"/>
    <xf numFmtId="0" fontId="44" fillId="0" borderId="0" xfId="0" applyFont="1"/>
    <xf numFmtId="0" fontId="62" fillId="0" borderId="0" xfId="0" applyFont="1"/>
    <xf numFmtId="14" fontId="4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1" fillId="3" borderId="6" xfId="0" applyFont="1" applyFill="1" applyBorder="1" applyAlignment="1">
      <alignment horizontal="center"/>
    </xf>
    <xf numFmtId="0" fontId="21" fillId="3" borderId="6" xfId="0" quotePrefix="1" applyFont="1" applyFill="1" applyBorder="1"/>
    <xf numFmtId="0" fontId="13" fillId="3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164" fontId="18" fillId="3" borderId="5" xfId="1" applyNumberFormat="1" applyFont="1" applyFill="1" applyBorder="1" applyAlignment="1">
      <alignment horizontal="center"/>
    </xf>
    <xf numFmtId="0" fontId="64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4" fontId="47" fillId="0" borderId="0" xfId="0" applyNumberFormat="1" applyFont="1"/>
    <xf numFmtId="0" fontId="31" fillId="3" borderId="12" xfId="0" applyFont="1" applyFill="1" applyBorder="1" applyAlignment="1">
      <alignment horizontal="center"/>
    </xf>
    <xf numFmtId="0" fontId="31" fillId="3" borderId="12" xfId="0" quotePrefix="1" applyFont="1" applyFill="1" applyBorder="1" applyAlignment="1">
      <alignment horizontal="center"/>
    </xf>
    <xf numFmtId="164" fontId="12" fillId="3" borderId="5" xfId="1" applyNumberFormat="1" applyFont="1" applyFill="1" applyBorder="1" applyAlignment="1">
      <alignment horizontal="center"/>
    </xf>
    <xf numFmtId="0" fontId="4" fillId="10" borderId="0" xfId="0" applyFont="1" applyFill="1"/>
    <xf numFmtId="0" fontId="13" fillId="3" borderId="11" xfId="0" applyFont="1" applyFill="1" applyBorder="1" applyAlignment="1">
      <alignment horizontal="center" vertical="center"/>
    </xf>
    <xf numFmtId="164" fontId="6" fillId="3" borderId="71" xfId="1" applyNumberFormat="1" applyFont="1" applyFill="1" applyBorder="1" applyAlignment="1">
      <alignment horizontal="center" vertical="center"/>
    </xf>
    <xf numFmtId="164" fontId="5" fillId="3" borderId="27" xfId="1" applyNumberFormat="1" applyFont="1" applyFill="1" applyBorder="1" applyAlignment="1">
      <alignment horizontal="center"/>
    </xf>
    <xf numFmtId="164" fontId="68" fillId="3" borderId="0" xfId="1" applyNumberFormat="1" applyFont="1" applyFill="1" applyBorder="1" applyAlignment="1">
      <alignment horizontal="center"/>
    </xf>
    <xf numFmtId="164" fontId="5" fillId="3" borderId="5" xfId="1" applyNumberFormat="1" applyFont="1" applyFill="1" applyBorder="1" applyAlignment="1">
      <alignment horizontal="center" wrapText="1"/>
    </xf>
    <xf numFmtId="0" fontId="47" fillId="0" borderId="0" xfId="0" applyFont="1" applyAlignment="1">
      <alignment horizontal="center"/>
    </xf>
    <xf numFmtId="0" fontId="0" fillId="0" borderId="10" xfId="0" applyBorder="1"/>
    <xf numFmtId="164" fontId="1" fillId="0" borderId="0" xfId="1" applyNumberFormat="1" applyFont="1" applyAlignment="1">
      <alignment horizontal="center"/>
    </xf>
    <xf numFmtId="0" fontId="33" fillId="4" borderId="17" xfId="0" applyFont="1" applyFill="1" applyBorder="1"/>
    <xf numFmtId="0" fontId="33" fillId="4" borderId="12" xfId="0" applyFont="1" applyFill="1" applyBorder="1"/>
    <xf numFmtId="164" fontId="33" fillId="4" borderId="18" xfId="1" applyNumberFormat="1" applyFont="1" applyFill="1" applyBorder="1"/>
    <xf numFmtId="164" fontId="18" fillId="3" borderId="21" xfId="1" applyNumberFormat="1" applyFont="1" applyFill="1" applyBorder="1" applyAlignment="1">
      <alignment horizontal="center"/>
    </xf>
    <xf numFmtId="164" fontId="34" fillId="3" borderId="21" xfId="1" applyNumberFormat="1" applyFont="1" applyFill="1" applyBorder="1" applyAlignment="1">
      <alignment horizontal="center"/>
    </xf>
    <xf numFmtId="0" fontId="21" fillId="3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164" fontId="18" fillId="3" borderId="18" xfId="1" applyNumberFormat="1" applyFont="1" applyFill="1" applyBorder="1" applyAlignment="1">
      <alignment horizontal="center"/>
    </xf>
    <xf numFmtId="164" fontId="13" fillId="3" borderId="7" xfId="1" applyNumberFormat="1" applyFont="1" applyFill="1" applyBorder="1" applyAlignment="1">
      <alignment horizontal="left"/>
    </xf>
    <xf numFmtId="164" fontId="13" fillId="4" borderId="7" xfId="1" applyNumberFormat="1" applyFont="1" applyFill="1" applyBorder="1" applyAlignment="1">
      <alignment horizontal="center"/>
    </xf>
    <xf numFmtId="164" fontId="19" fillId="4" borderId="7" xfId="1" applyNumberFormat="1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left"/>
    </xf>
    <xf numFmtId="0" fontId="0" fillId="0" borderId="71" xfId="0" applyBorder="1" applyAlignment="1">
      <alignment horizontal="center"/>
    </xf>
    <xf numFmtId="0" fontId="46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3" fillId="3" borderId="40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/>
    </xf>
    <xf numFmtId="0" fontId="29" fillId="3" borderId="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4" xfId="1" applyNumberFormat="1" applyFont="1" applyFill="1" applyBorder="1" applyAlignment="1">
      <alignment horizontal="center" vertical="center"/>
    </xf>
    <xf numFmtId="164" fontId="6" fillId="3" borderId="12" xfId="1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/>
    </xf>
    <xf numFmtId="0" fontId="5" fillId="8" borderId="28" xfId="0" applyFont="1" applyFill="1" applyBorder="1" applyAlignment="1">
      <alignment horizontal="center"/>
    </xf>
    <xf numFmtId="0" fontId="5" fillId="8" borderId="29" xfId="0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/>
    </xf>
    <xf numFmtId="0" fontId="29" fillId="3" borderId="0" xfId="0" applyFont="1" applyFill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/>
    </xf>
    <xf numFmtId="164" fontId="13" fillId="4" borderId="40" xfId="1" applyNumberFormat="1" applyFont="1" applyFill="1" applyBorder="1" applyAlignment="1">
      <alignment horizontal="center" vertical="center"/>
    </xf>
    <xf numFmtId="164" fontId="13" fillId="4" borderId="9" xfId="1" applyNumberFormat="1" applyFont="1" applyFill="1" applyBorder="1" applyAlignment="1">
      <alignment horizontal="center" vertical="center"/>
    </xf>
    <xf numFmtId="164" fontId="13" fillId="3" borderId="40" xfId="1" applyNumberFormat="1" applyFont="1" applyFill="1" applyBorder="1" applyAlignment="1">
      <alignment horizontal="center" vertical="center"/>
    </xf>
    <xf numFmtId="164" fontId="13" fillId="3" borderId="9" xfId="1" applyNumberFormat="1" applyFont="1" applyFill="1" applyBorder="1" applyAlignment="1">
      <alignment horizontal="center" vertical="center"/>
    </xf>
    <xf numFmtId="0" fontId="21" fillId="3" borderId="55" xfId="0" applyFont="1" applyFill="1" applyBorder="1" applyAlignment="1">
      <alignment horizontal="center"/>
    </xf>
    <xf numFmtId="164" fontId="22" fillId="3" borderId="15" xfId="1" applyNumberFormat="1" applyFont="1" applyFill="1" applyBorder="1" applyAlignment="1">
      <alignment horizontal="center" vertical="center"/>
    </xf>
    <xf numFmtId="164" fontId="22" fillId="3" borderId="18" xfId="1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13" fillId="3" borderId="40" xfId="0" quotePrefix="1" applyFont="1" applyFill="1" applyBorder="1" applyAlignment="1">
      <alignment horizontal="center" vertical="center"/>
    </xf>
    <xf numFmtId="0" fontId="13" fillId="3" borderId="9" xfId="0" quotePrefix="1" applyFont="1" applyFill="1" applyBorder="1" applyAlignment="1">
      <alignment horizontal="center" vertical="center"/>
    </xf>
    <xf numFmtId="0" fontId="36" fillId="3" borderId="2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3" fontId="0" fillId="5" borderId="10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33" fillId="3" borderId="2" xfId="0" applyFont="1" applyFill="1" applyBorder="1" applyAlignment="1">
      <alignment horizontal="center"/>
    </xf>
    <xf numFmtId="0" fontId="34" fillId="3" borderId="13" xfId="0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/>
    </xf>
    <xf numFmtId="0" fontId="34" fillId="3" borderId="14" xfId="0" applyFont="1" applyFill="1" applyBorder="1" applyAlignment="1">
      <alignment horizontal="center" vertical="center" wrapText="1"/>
    </xf>
    <xf numFmtId="0" fontId="34" fillId="3" borderId="12" xfId="0" applyFont="1" applyFill="1" applyBorder="1" applyAlignment="1">
      <alignment horizontal="center" vertical="center"/>
    </xf>
    <xf numFmtId="0" fontId="34" fillId="3" borderId="14" xfId="0" applyFont="1" applyFill="1" applyBorder="1" applyAlignment="1">
      <alignment horizontal="center" vertical="center"/>
    </xf>
    <xf numFmtId="0" fontId="34" fillId="3" borderId="1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164" fontId="11" fillId="3" borderId="2" xfId="1" applyNumberFormat="1" applyFont="1" applyFill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28" fillId="3" borderId="27" xfId="0" applyFont="1" applyFill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164" fontId="5" fillId="3" borderId="10" xfId="1" applyNumberFormat="1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64" fontId="5" fillId="3" borderId="40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27" fillId="3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164" fontId="13" fillId="3" borderId="10" xfId="1" applyNumberFormat="1" applyFont="1" applyFill="1" applyBorder="1" applyAlignment="1">
      <alignment horizontal="center" vertical="center"/>
    </xf>
    <xf numFmtId="0" fontId="5" fillId="3" borderId="7" xfId="0" quotePrefix="1" applyFont="1" applyFill="1" applyBorder="1" applyAlignment="1">
      <alignment horizontal="center" vertical="center"/>
    </xf>
    <xf numFmtId="0" fontId="22" fillId="3" borderId="42" xfId="0" applyFont="1" applyFill="1" applyBorder="1" applyAlignment="1">
      <alignment horizontal="center" vertical="center"/>
    </xf>
    <xf numFmtId="0" fontId="22" fillId="3" borderId="32" xfId="0" applyFont="1" applyFill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5" fillId="3" borderId="40" xfId="0" quotePrefix="1" applyFont="1" applyFill="1" applyBorder="1" applyAlignment="1">
      <alignment horizontal="center" vertical="center"/>
    </xf>
    <xf numFmtId="0" fontId="5" fillId="3" borderId="9" xfId="0" quotePrefix="1" applyFont="1" applyFill="1" applyBorder="1" applyAlignment="1">
      <alignment horizontal="center" vertical="center"/>
    </xf>
    <xf numFmtId="164" fontId="5" fillId="3" borderId="21" xfId="1" applyNumberFormat="1" applyFont="1" applyFill="1" applyBorder="1" applyAlignment="1">
      <alignment horizontal="center" vertical="center"/>
    </xf>
    <xf numFmtId="164" fontId="5" fillId="3" borderId="33" xfId="1" applyNumberFormat="1" applyFont="1" applyFill="1" applyBorder="1" applyAlignment="1">
      <alignment horizontal="center" vertical="center"/>
    </xf>
    <xf numFmtId="164" fontId="5" fillId="3" borderId="32" xfId="1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6" xfId="0" quotePrefix="1" applyFont="1" applyFill="1" applyBorder="1" applyAlignment="1">
      <alignment horizontal="center" vertical="center"/>
    </xf>
    <xf numFmtId="0" fontId="5" fillId="3" borderId="48" xfId="0" quotePrefix="1" applyFont="1" applyFill="1" applyBorder="1" applyAlignment="1">
      <alignment horizontal="center" vertical="center"/>
    </xf>
    <xf numFmtId="0" fontId="5" fillId="3" borderId="31" xfId="0" quotePrefix="1" applyFont="1" applyFill="1" applyBorder="1" applyAlignment="1">
      <alignment horizontal="center" vertical="center"/>
    </xf>
    <xf numFmtId="164" fontId="5" fillId="3" borderId="6" xfId="1" applyNumberFormat="1" applyFont="1" applyFill="1" applyBorder="1" applyAlignment="1">
      <alignment horizontal="center" vertical="center"/>
    </xf>
    <xf numFmtId="164" fontId="5" fillId="3" borderId="48" xfId="1" applyNumberFormat="1" applyFont="1" applyFill="1" applyBorder="1" applyAlignment="1">
      <alignment horizontal="center" vertical="center"/>
    </xf>
    <xf numFmtId="164" fontId="5" fillId="3" borderId="31" xfId="1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13" fillId="3" borderId="48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1" fillId="6" borderId="40" xfId="0" quotePrefix="1" applyFont="1" applyFill="1" applyBorder="1" applyAlignment="1">
      <alignment horizontal="center" vertical="center"/>
    </xf>
    <xf numFmtId="0" fontId="21" fillId="6" borderId="11" xfId="0" quotePrefix="1" applyFont="1" applyFill="1" applyBorder="1" applyAlignment="1">
      <alignment horizontal="center" vertical="center"/>
    </xf>
    <xf numFmtId="0" fontId="21" fillId="6" borderId="9" xfId="0" quotePrefix="1" applyFont="1" applyFill="1" applyBorder="1" applyAlignment="1">
      <alignment horizontal="center" vertical="center"/>
    </xf>
    <xf numFmtId="164" fontId="21" fillId="6" borderId="40" xfId="1" applyNumberFormat="1" applyFont="1" applyFill="1" applyBorder="1" applyAlignment="1">
      <alignment horizontal="center" vertical="center"/>
    </xf>
    <xf numFmtId="164" fontId="21" fillId="6" borderId="11" xfId="1" applyNumberFormat="1" applyFont="1" applyFill="1" applyBorder="1" applyAlignment="1">
      <alignment horizontal="center" vertical="center"/>
    </xf>
    <xf numFmtId="164" fontId="21" fillId="6" borderId="9" xfId="1" applyNumberFormat="1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29" fillId="3" borderId="2" xfId="0" applyFont="1" applyFill="1" applyBorder="1" applyAlignment="1">
      <alignment horizontal="center"/>
    </xf>
    <xf numFmtId="0" fontId="42" fillId="3" borderId="2" xfId="3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/>
    </xf>
    <xf numFmtId="0" fontId="6" fillId="3" borderId="45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 vertical="center"/>
    </xf>
    <xf numFmtId="0" fontId="61" fillId="3" borderId="13" xfId="0" applyFont="1" applyFill="1" applyBorder="1" applyAlignment="1">
      <alignment horizontal="center" vertical="center"/>
    </xf>
    <xf numFmtId="0" fontId="61" fillId="3" borderId="17" xfId="0" applyFont="1" applyFill="1" applyBorder="1" applyAlignment="1">
      <alignment horizontal="center" vertical="center"/>
    </xf>
    <xf numFmtId="0" fontId="61" fillId="3" borderId="14" xfId="0" applyFont="1" applyFill="1" applyBorder="1" applyAlignment="1">
      <alignment horizontal="center" vertical="center" wrapText="1"/>
    </xf>
    <xf numFmtId="0" fontId="61" fillId="3" borderId="12" xfId="0" applyFont="1" applyFill="1" applyBorder="1" applyAlignment="1">
      <alignment horizontal="center" vertical="center" wrapText="1"/>
    </xf>
    <xf numFmtId="164" fontId="61" fillId="3" borderId="14" xfId="1" applyNumberFormat="1" applyFont="1" applyFill="1" applyBorder="1" applyAlignment="1">
      <alignment horizontal="center" vertical="center"/>
    </xf>
    <xf numFmtId="164" fontId="61" fillId="3" borderId="12" xfId="1" applyNumberFormat="1" applyFont="1" applyFill="1" applyBorder="1" applyAlignment="1">
      <alignment horizontal="center" vertical="center"/>
    </xf>
    <xf numFmtId="0" fontId="25" fillId="3" borderId="41" xfId="0" applyFont="1" applyFill="1" applyBorder="1" applyAlignment="1">
      <alignment horizontal="center" vertical="center"/>
    </xf>
    <xf numFmtId="164" fontId="5" fillId="3" borderId="7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left" vertical="center"/>
    </xf>
    <xf numFmtId="0" fontId="48" fillId="3" borderId="41" xfId="0" applyFont="1" applyFill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/>
    </xf>
    <xf numFmtId="0" fontId="24" fillId="3" borderId="22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25" fillId="3" borderId="34" xfId="0" applyFont="1" applyFill="1" applyBorder="1" applyAlignment="1">
      <alignment horizontal="center"/>
    </xf>
    <xf numFmtId="0" fontId="25" fillId="3" borderId="19" xfId="0" applyFont="1" applyFill="1" applyBorder="1" applyAlignment="1">
      <alignment horizontal="center"/>
    </xf>
    <xf numFmtId="0" fontId="21" fillId="3" borderId="36" xfId="0" applyFont="1" applyFill="1" applyBorder="1" applyAlignment="1">
      <alignment horizontal="center"/>
    </xf>
    <xf numFmtId="0" fontId="21" fillId="3" borderId="26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left" vertical="center"/>
    </xf>
    <xf numFmtId="0" fontId="21" fillId="3" borderId="11" xfId="0" applyFont="1" applyFill="1" applyBorder="1" applyAlignment="1">
      <alignment horizontal="left" vertical="center"/>
    </xf>
    <xf numFmtId="0" fontId="21" fillId="3" borderId="4" xfId="0" applyFont="1" applyFill="1" applyBorder="1" applyAlignment="1">
      <alignment horizontal="left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Normal 2" xfId="2" xr:uid="{4A14F858-3679-4E94-8B10-47294E084B91}"/>
  </cellStyles>
  <dxfs count="20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27473C-F476-4731-9C46-0720EF56F5CA}" name="Table3" displayName="Table3" ref="A2:T97" totalsRowShown="0" headerRowDxfId="19">
  <autoFilter ref="A2:T97" xr:uid="{7E27473C-F476-4731-9C46-0720EF56F5CA}">
    <filterColumn colId="2">
      <filters>
        <filter val="Daw May Hnin Phyu"/>
        <filter val="Ko Aung Kyaw"/>
        <filter val="Ko Aung Thura Kyaw"/>
        <filter val="Ko Hein Htet"/>
        <filter val="Ko Hein Htut Aung"/>
        <filter val="Ko Hla Aung Mmo fri"/>
        <filter val="Ko Kyaw Kyaw"/>
        <filter val="Ko Kyaw Nyi Nyi Lwin"/>
        <filter val="Ko Nay Min Han"/>
        <filter val="Ko Soe Myint Oo"/>
        <filter val="Ko Thein Shwe"/>
        <filter val="Ma Hla Hla Maw"/>
        <filter val="Ma Phyu Phyu Moe"/>
        <filter val="Ma Thandar"/>
        <filter val="Mr Bai Luokun"/>
        <filter val="Mr Chen Dexiong"/>
        <filter val="Mr Chen Jun"/>
        <filter val="Mr Chen Sheng Li"/>
        <filter val="Mr Dai Ajian"/>
        <filter val="Mr Deng Li"/>
        <filter val="Mr Deng Shi Hui"/>
        <filter val="Mr Dong Caigun"/>
        <filter val="Mr Dong Lei"/>
        <filter val="Mr Du Jian"/>
        <filter val="Mr Fu Qiang"/>
        <filter val="Mr Fu Shaoyou"/>
        <filter val="Mr Guo Ling"/>
        <filter val="Mr Hou Dongcheng"/>
        <filter val="Mr Hu Fengbo"/>
        <filter val="Mr Hu Lanxiong"/>
        <filter val="Mr Hu Xiaobin"/>
        <filter val="Mr Huang Haiming"/>
        <filter val="Mr Huang Wei Meng"/>
        <filter val="Mr Huang Xin Leng"/>
        <filter val="Mr Jin Zheng Chun/SJ Co., Ltd"/>
        <filter val="Mr Kuo Yuan Yang"/>
        <filter val="Mr Kway Chi"/>
        <filter val="Mr Lee /Mr Tang Yong Clun"/>
        <filter val="Mr Lei Ming"/>
        <filter val="Mr Li Zuolong"/>
        <filter val="Mr Lin Xiao Yun"/>
        <filter val="Mr Liu Shiquan"/>
        <filter val="Mr Liu Yi Chung"/>
        <filter val="Mr Liu Zhaoyun"/>
        <filter val="Mr Lu Jian Zhaung"/>
        <filter val="Mr Mo Enging/Zvan Yip"/>
        <filter val="Mr Pu Yuan Lun"/>
        <filter val="Mr Tong Kai Liang"/>
        <filter val="Mr Wang Chenghai"/>
        <filter val="Mr Wang Ping"/>
        <filter val="Mr Wu Wei Jun"/>
        <filter val="Mr Xiao Lusheng"/>
        <filter val="Mr Xie Ming Jian"/>
        <filter val="Mr Xiong Zhong Xiang"/>
        <filter val="Mr Xu Fen"/>
        <filter val="Mr Xu Liangihang"/>
        <filter val="Mr Xu Yizhi"/>
        <filter val="Mr XUAN YULONG"/>
        <filter val="Mr Xue Hua Bei"/>
        <filter val="Mr Yan Xuzhong"/>
        <filter val="Mr Yan Yue Peng"/>
        <filter val="Mr Ye Zhao Zheng"/>
        <filter val="Mr Yu Jingsong"/>
        <filter val="Mr Yu Liang Liang"/>
        <filter val="Mr Yu Xiang Zhong"/>
        <filter val="Mr Yuan Zhichao/SJ Co., Ltd"/>
        <filter val="Mr Zeng Jin"/>
        <filter val="Mr Zhe Jiang"/>
        <filter val="Mr Zhou Jimimg"/>
        <filter val="Mr Zhu Qing Lei"/>
        <filter val="Mr Zhu Yun Jian"/>
        <filter val="Mr.Zhao Ting"/>
        <filter val="STEK"/>
        <filter val="STEK - YGN Office"/>
        <filter val="STEK-MDY Office"/>
        <filter val="U Aung Kyaw"/>
        <filter val="U Hla Myint"/>
        <filter val="U Myat Min Paing"/>
        <filter val="U Win Naing"/>
        <filter val="U Zaw Lin Aung"/>
        <filter val="U Zay Paing Htoo"/>
        <filter val="Yang Jiu Ping"/>
      </filters>
    </filterColumn>
  </autoFilter>
  <sortState xmlns:xlrd2="http://schemas.microsoft.com/office/spreadsheetml/2017/richdata2" ref="A3:T97">
    <sortCondition ref="A2:A97"/>
  </sortState>
  <tableColumns count="20">
    <tableColumn id="1" xr3:uid="{E5E53153-0E9F-4B16-96AC-A47B582B54F3}" name="No" dataDxfId="18"/>
    <tableColumn id="2" xr3:uid="{2C27FF6F-570C-4824-B08E-9DF8939B08DB}" name="Car No" dataDxfId="17"/>
    <tableColumn id="3" xr3:uid="{BF79DAC7-5305-44FB-AB3B-2CD35480F3A8}" name="Customer Name" dataDxfId="16"/>
    <tableColumn id="4" xr3:uid="{123730A8-32CD-4C0A-92FC-20031FF617CA}" name="Car Type" dataDxfId="15"/>
    <tableColumn id="5" xr3:uid="{0E2509A4-DAE8-4DC2-A07C-4DF1CCEE66FB}" name="Chassis No" dataDxfId="14"/>
    <tableColumn id="16" xr3:uid="{C8D4F9C0-6241-4B07-842B-FAC0D76A7F89}" name="Color &amp; Model Year" dataDxfId="13" dataCellStyle="Comma"/>
    <tableColumn id="6" xr3:uid="{D46DFC90-FE2C-4A50-BB0D-394F4061E676}" name="Rental Monthy " dataDxfId="12" dataCellStyle="Comma"/>
    <tableColumn id="7" xr3:uid="{6A158015-0DDA-4DD0-A1B5-F7230EF72BB7}" name="Ph Number" dataDxfId="11"/>
    <tableColumn id="8" xr3:uid="{15DB8CCD-FDD7-4599-9FF5-BED28112D7C8}" name="Rent Period" dataDxfId="10"/>
    <tableColumn id="20" xr3:uid="{46F633B7-BE3A-459A-B1E3-E9475973DFB0}" name="Column3" dataDxfId="9">
      <calculatedColumnFormula>TRIM(MID(I3, FIND("to", I3) + 2, LEN(I3)))</calculatedColumnFormula>
    </tableColumn>
    <tableColumn id="19" xr3:uid="{338CA3E9-E92E-42AA-9A7B-E23969BD2121}" name="Rent Start Date" dataDxfId="8">
      <calculatedColumnFormula>TEXT(DATE(2000+RIGHT(I3,2), MID(I3, FIND(".", I3)+1, FIND(".", I3, FIND(".", I3)+1)-FIND(".", I3)-1), LEFT(I3, FIND(".", I3)-1)), "yyyy-mm-dd")</calculatedColumnFormula>
    </tableColumn>
    <tableColumn id="18" xr3:uid="{C7743B80-B5AC-4E32-AC9B-7F1970A8BF8C}" name="Rent End Date" dataDxfId="7">
      <calculatedColumnFormula>TEXT(DATE(2000+RIGHT(J3,2), MID(J3, FIND(".", J3)+1, FIND(".", J3, FIND(".", J3)+1)-FIND(".", J3)-1), LEFT(J3, FIND(".", J3)-1)), "yyyy-mm-dd")</calculatedColumnFormula>
    </tableColumn>
    <tableColumn id="15" xr3:uid="{924C18A1-D61A-46F8-BD44-8257B5C07D1F}" name="Over Due" dataDxfId="6"/>
    <tableColumn id="12" xr3:uid="{7D9E2621-7732-4A38-95B0-F74C7017C3A2}" name="Insurance" dataDxfId="5"/>
    <tableColumn id="14" xr3:uid="{0070DB57-280E-4BAA-B4AC-1FDD690F608C}" name="Insurance Name" dataDxfId="4"/>
    <tableColumn id="9" xr3:uid="{8EDF4C35-9D10-4EB3-9273-33B689714D6C}" name="Owner Book Exp" dataDxfId="3"/>
    <tableColumn id="10" xr3:uid="{730772DB-DA47-447C-A1D2-7EA3FABE4F0C}" name="OB Name " dataDxfId="2"/>
    <tableColumn id="13" xr3:uid="{AC181C92-1744-454D-8D1D-19DD75DD5F7A}" name="GPS Ph No" dataDxfId="1" dataCellStyle="Comma"/>
    <tableColumn id="11" xr3:uid="{F96DCAE6-EFE3-4C14-ADCC-103B741FA103}" name="Price" dataDxfId="0" dataCellStyle="Comma"/>
    <tableColumn id="30" xr3:uid="{FC960727-53AD-45EB-AAE6-8EF485B1F0F0}" name="Remar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6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7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8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71BC-FF4B-44AF-99E6-9FA32C8F9AE6}">
  <dimension ref="A1:W100"/>
  <sheetViews>
    <sheetView tabSelected="1" topLeftCell="H1" zoomScale="110" zoomScaleNormal="110" zoomScaleSheetLayoutView="107" workbookViewId="0">
      <selection activeCell="L3" sqref="L3:L96"/>
    </sheetView>
  </sheetViews>
  <sheetFormatPr defaultColWidth="20.85546875" defaultRowHeight="34.9" customHeight="1"/>
  <cols>
    <col min="1" max="1" width="13" style="625" customWidth="1"/>
    <col min="2" max="2" width="20.85546875" style="463"/>
    <col min="3" max="3" width="29.85546875" style="463" customWidth="1"/>
    <col min="4" max="4" width="12.28515625" style="463" customWidth="1"/>
    <col min="5" max="5" width="26.140625" style="463" customWidth="1"/>
    <col min="6" max="6" width="22" style="481" customWidth="1"/>
    <col min="7" max="7" width="22" style="463" customWidth="1"/>
    <col min="8" max="8" width="33.7109375" style="463" customWidth="1"/>
    <col min="9" max="12" width="40.42578125" style="463" customWidth="1"/>
    <col min="13" max="13" width="21.7109375" style="463" customWidth="1"/>
    <col min="14" max="14" width="20.7109375" style="463" customWidth="1"/>
    <col min="15" max="16" width="20.85546875" style="463" customWidth="1"/>
    <col min="17" max="17" width="20.85546875" style="328" customWidth="1"/>
    <col min="18" max="18" width="20.85546875" style="328"/>
  </cols>
  <sheetData>
    <row r="1" spans="1:23" ht="34.9" customHeight="1">
      <c r="A1" s="643" t="s">
        <v>10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517"/>
    </row>
    <row r="2" spans="1:23" ht="34.9" customHeight="1">
      <c r="A2" s="464" t="s">
        <v>11</v>
      </c>
      <c r="B2" s="464" t="s">
        <v>12</v>
      </c>
      <c r="C2" s="464" t="s">
        <v>13</v>
      </c>
      <c r="D2" s="464" t="s">
        <v>14</v>
      </c>
      <c r="E2" s="464" t="s">
        <v>15</v>
      </c>
      <c r="F2" s="464" t="s">
        <v>16</v>
      </c>
      <c r="G2" s="480" t="s">
        <v>17</v>
      </c>
      <c r="H2" s="464" t="s">
        <v>18</v>
      </c>
      <c r="I2" s="464" t="s">
        <v>19</v>
      </c>
      <c r="J2" s="464" t="s">
        <v>5087</v>
      </c>
      <c r="K2" s="464" t="s">
        <v>5088</v>
      </c>
      <c r="L2" s="464" t="s">
        <v>5089</v>
      </c>
      <c r="M2" s="464" t="s">
        <v>20</v>
      </c>
      <c r="N2" s="464" t="s">
        <v>21</v>
      </c>
      <c r="O2" s="464" t="s">
        <v>22</v>
      </c>
      <c r="P2" s="464" t="s">
        <v>23</v>
      </c>
      <c r="Q2" s="464" t="s">
        <v>24</v>
      </c>
      <c r="R2" s="464" t="s">
        <v>25</v>
      </c>
      <c r="S2" s="480" t="s">
        <v>26</v>
      </c>
      <c r="T2" s="464" t="s">
        <v>27</v>
      </c>
    </row>
    <row r="3" spans="1:23" ht="34.9" customHeight="1">
      <c r="A3" s="625">
        <v>1</v>
      </c>
      <c r="B3" s="464" t="s">
        <v>28</v>
      </c>
      <c r="C3" s="464" t="s">
        <v>29</v>
      </c>
      <c r="D3" s="464" t="s">
        <v>30</v>
      </c>
      <c r="E3" s="464" t="s">
        <v>31</v>
      </c>
      <c r="F3" s="464" t="s">
        <v>32</v>
      </c>
      <c r="G3" s="480">
        <v>1600000</v>
      </c>
      <c r="H3" s="464" t="s">
        <v>33</v>
      </c>
      <c r="I3" s="464" t="s">
        <v>34</v>
      </c>
      <c r="J3" s="464" t="str">
        <f t="shared" ref="J3:J34" si="0">TRIM(MID(I3, FIND("to", I3) + 2, LEN(I3)))</f>
        <v>21.4.24</v>
      </c>
      <c r="K3" s="464" t="str">
        <f t="shared" ref="K3:K34" si="1">TEXT(DATE(2000+RIGHT(I3,2), MID(I3, FIND(".", I3)+1, FIND(".", I3, FIND(".", I3)+1)-FIND(".", I3)-1), LEFT(I3, FIND(".", I3)-1)), "yyyy-mm-dd")</f>
        <v>2024-09-22</v>
      </c>
      <c r="L3" s="464" t="str">
        <f t="shared" ref="L3:L34" si="2">TEXT(DATE(2000+RIGHT(J3,2), MID(J3, FIND(".", J3)+1, FIND(".", J3, FIND(".", J3)+1)-FIND(".", J3)-1), LEFT(J3, FIND(".", J3)-1)), "yyyy-mm-dd")</f>
        <v>2024-04-21</v>
      </c>
      <c r="M3" s="464"/>
      <c r="N3" s="464" t="s">
        <v>35</v>
      </c>
      <c r="O3" s="464" t="s">
        <v>36</v>
      </c>
      <c r="P3" s="464" t="s">
        <v>37</v>
      </c>
      <c r="Q3" s="464" t="s">
        <v>38</v>
      </c>
      <c r="R3" s="464" t="s">
        <v>39</v>
      </c>
      <c r="S3" s="480"/>
      <c r="W3" s="472"/>
    </row>
    <row r="4" spans="1:23" ht="34.9" hidden="1" customHeight="1">
      <c r="A4" s="625">
        <v>2</v>
      </c>
      <c r="B4" s="464" t="s">
        <v>40</v>
      </c>
      <c r="C4" s="464">
        <v>0</v>
      </c>
      <c r="D4" s="464" t="s">
        <v>30</v>
      </c>
      <c r="E4" s="464" t="s">
        <v>41</v>
      </c>
      <c r="F4" s="464" t="s">
        <v>42</v>
      </c>
      <c r="G4" s="480">
        <v>1600000</v>
      </c>
      <c r="H4" s="464">
        <v>0</v>
      </c>
      <c r="I4" s="464">
        <v>0</v>
      </c>
      <c r="J4" s="464" t="e">
        <f t="shared" si="0"/>
        <v>#VALUE!</v>
      </c>
      <c r="K4" s="464" t="e">
        <f t="shared" si="1"/>
        <v>#VALUE!</v>
      </c>
      <c r="L4" s="464" t="e">
        <f t="shared" si="2"/>
        <v>#VALUE!</v>
      </c>
      <c r="M4" s="464"/>
      <c r="N4" s="464" t="s">
        <v>43</v>
      </c>
      <c r="O4" s="464"/>
      <c r="P4" s="464" t="s">
        <v>44</v>
      </c>
      <c r="Q4" s="464" t="s">
        <v>38</v>
      </c>
      <c r="R4" s="464" t="s">
        <v>45</v>
      </c>
      <c r="S4" s="480"/>
      <c r="W4" s="472"/>
    </row>
    <row r="5" spans="1:23" ht="34.9" customHeight="1">
      <c r="A5" s="625">
        <v>3</v>
      </c>
      <c r="B5" s="464" t="s">
        <v>46</v>
      </c>
      <c r="C5" s="464" t="s">
        <v>47</v>
      </c>
      <c r="D5" s="464" t="s">
        <v>48</v>
      </c>
      <c r="E5" s="464" t="s">
        <v>49</v>
      </c>
      <c r="F5" s="464" t="s">
        <v>50</v>
      </c>
      <c r="G5" s="480">
        <v>800000</v>
      </c>
      <c r="H5" s="464" t="s">
        <v>51</v>
      </c>
      <c r="I5" s="464" t="s">
        <v>52</v>
      </c>
      <c r="J5" s="464" t="str">
        <f t="shared" si="0"/>
        <v>24.7.23</v>
      </c>
      <c r="K5" s="464" t="str">
        <f t="shared" si="1"/>
        <v>2023-05-25</v>
      </c>
      <c r="L5" s="464" t="str">
        <f t="shared" si="2"/>
        <v>2023-07-24</v>
      </c>
      <c r="M5" s="464"/>
      <c r="N5" s="464" t="s">
        <v>53</v>
      </c>
      <c r="O5" s="464" t="s">
        <v>36</v>
      </c>
      <c r="P5" s="464" t="s">
        <v>54</v>
      </c>
      <c r="Q5" s="464" t="s">
        <v>55</v>
      </c>
      <c r="R5" s="464" t="s">
        <v>56</v>
      </c>
      <c r="S5" s="480"/>
      <c r="W5" s="472"/>
    </row>
    <row r="6" spans="1:23" ht="34.9" hidden="1" customHeight="1">
      <c r="A6" s="625">
        <v>4</v>
      </c>
      <c r="B6" s="464" t="s">
        <v>57</v>
      </c>
      <c r="C6" s="464">
        <v>0</v>
      </c>
      <c r="D6" s="464" t="s">
        <v>48</v>
      </c>
      <c r="E6" s="464" t="s">
        <v>58</v>
      </c>
      <c r="F6" s="464" t="s">
        <v>59</v>
      </c>
      <c r="G6" s="480">
        <v>800000</v>
      </c>
      <c r="H6" s="464">
        <v>0</v>
      </c>
      <c r="I6" s="464">
        <v>0</v>
      </c>
      <c r="J6" s="464" t="e">
        <f t="shared" si="0"/>
        <v>#VALUE!</v>
      </c>
      <c r="K6" s="464" t="e">
        <f t="shared" si="1"/>
        <v>#VALUE!</v>
      </c>
      <c r="L6" s="464" t="e">
        <f t="shared" si="2"/>
        <v>#VALUE!</v>
      </c>
      <c r="M6" s="464"/>
      <c r="N6" s="464" t="s">
        <v>53</v>
      </c>
      <c r="O6" s="464" t="s">
        <v>36</v>
      </c>
      <c r="P6" s="464" t="s">
        <v>60</v>
      </c>
      <c r="Q6" s="464" t="s">
        <v>55</v>
      </c>
      <c r="R6" s="464" t="s">
        <v>61</v>
      </c>
      <c r="S6" s="480"/>
      <c r="W6" s="472"/>
    </row>
    <row r="7" spans="1:23" ht="34.9" customHeight="1">
      <c r="A7" s="625">
        <v>5</v>
      </c>
      <c r="B7" s="464" t="s">
        <v>62</v>
      </c>
      <c r="C7" s="464" t="s">
        <v>63</v>
      </c>
      <c r="D7" s="464" t="s">
        <v>48</v>
      </c>
      <c r="E7" s="464" t="s">
        <v>64</v>
      </c>
      <c r="F7" s="464" t="s">
        <v>59</v>
      </c>
      <c r="G7" s="480">
        <v>700000</v>
      </c>
      <c r="H7" s="464" t="s">
        <v>65</v>
      </c>
      <c r="I7" s="464" t="s">
        <v>66</v>
      </c>
      <c r="J7" s="464" t="str">
        <f t="shared" si="0"/>
        <v>30.6.24</v>
      </c>
      <c r="K7" s="464" t="str">
        <f t="shared" si="1"/>
        <v>2024-06-01</v>
      </c>
      <c r="L7" s="464" t="str">
        <f t="shared" si="2"/>
        <v>2024-06-30</v>
      </c>
      <c r="M7" s="464"/>
      <c r="N7" s="464" t="s">
        <v>67</v>
      </c>
      <c r="O7" s="464" t="s">
        <v>36</v>
      </c>
      <c r="P7" s="464" t="s">
        <v>68</v>
      </c>
      <c r="Q7" s="464" t="s">
        <v>38</v>
      </c>
      <c r="R7" s="464" t="s">
        <v>69</v>
      </c>
      <c r="S7" s="480"/>
      <c r="T7" s="44"/>
      <c r="W7" s="472"/>
    </row>
    <row r="8" spans="1:23" ht="34.9" hidden="1" customHeight="1">
      <c r="A8" s="625">
        <v>6</v>
      </c>
      <c r="B8" s="464" t="s">
        <v>70</v>
      </c>
      <c r="C8" s="464">
        <v>0</v>
      </c>
      <c r="D8" s="464" t="s">
        <v>48</v>
      </c>
      <c r="E8" s="464" t="s">
        <v>71</v>
      </c>
      <c r="F8" s="464" t="s">
        <v>72</v>
      </c>
      <c r="G8" s="480">
        <v>800000</v>
      </c>
      <c r="H8" s="464">
        <v>0</v>
      </c>
      <c r="I8" s="464">
        <v>0</v>
      </c>
      <c r="J8" s="464" t="e">
        <f t="shared" si="0"/>
        <v>#VALUE!</v>
      </c>
      <c r="K8" s="464" t="e">
        <f t="shared" si="1"/>
        <v>#VALUE!</v>
      </c>
      <c r="L8" s="464" t="e">
        <f t="shared" si="2"/>
        <v>#VALUE!</v>
      </c>
      <c r="M8" s="464"/>
      <c r="N8" s="464" t="s">
        <v>73</v>
      </c>
      <c r="O8" s="464" t="s">
        <v>36</v>
      </c>
      <c r="P8" s="464" t="s">
        <v>74</v>
      </c>
      <c r="Q8" s="464" t="s">
        <v>55</v>
      </c>
      <c r="R8" s="464" t="s">
        <v>75</v>
      </c>
      <c r="S8" s="480"/>
      <c r="W8" s="472"/>
    </row>
    <row r="9" spans="1:23" ht="34.9" customHeight="1">
      <c r="A9" s="625">
        <v>7</v>
      </c>
      <c r="B9" s="464" t="s">
        <v>76</v>
      </c>
      <c r="C9" s="464" t="s">
        <v>77</v>
      </c>
      <c r="D9" s="464" t="s">
        <v>48</v>
      </c>
      <c r="E9" s="464" t="s">
        <v>78</v>
      </c>
      <c r="F9" s="464" t="s">
        <v>79</v>
      </c>
      <c r="G9" s="480">
        <v>700000</v>
      </c>
      <c r="H9" s="464" t="s">
        <v>80</v>
      </c>
      <c r="I9" s="464" t="s">
        <v>81</v>
      </c>
      <c r="J9" s="464" t="str">
        <f t="shared" si="0"/>
        <v>28.8.24</v>
      </c>
      <c r="K9" s="464" t="str">
        <f t="shared" si="1"/>
        <v>2024-04-29</v>
      </c>
      <c r="L9" s="464" t="str">
        <f t="shared" si="2"/>
        <v>2024-08-28</v>
      </c>
      <c r="M9" s="464"/>
      <c r="N9" s="464" t="s">
        <v>67</v>
      </c>
      <c r="O9" s="464" t="s">
        <v>36</v>
      </c>
      <c r="P9" s="464" t="s">
        <v>82</v>
      </c>
      <c r="Q9" s="464" t="s">
        <v>38</v>
      </c>
      <c r="R9" s="464" t="s">
        <v>83</v>
      </c>
      <c r="S9" s="480"/>
      <c r="W9" s="472"/>
    </row>
    <row r="10" spans="1:23" ht="34.9" customHeight="1">
      <c r="A10" s="625">
        <v>8</v>
      </c>
      <c r="B10" s="464" t="s">
        <v>84</v>
      </c>
      <c r="C10" s="464" t="s">
        <v>85</v>
      </c>
      <c r="D10" s="464" t="s">
        <v>48</v>
      </c>
      <c r="E10" s="464" t="s">
        <v>86</v>
      </c>
      <c r="F10" s="464"/>
      <c r="G10" s="480">
        <v>500000</v>
      </c>
      <c r="H10" s="464" t="s">
        <v>87</v>
      </c>
      <c r="I10" s="464" t="s">
        <v>88</v>
      </c>
      <c r="J10" s="464" t="str">
        <f t="shared" si="0"/>
        <v>4.5.24</v>
      </c>
      <c r="K10" s="464" t="str">
        <f t="shared" si="1"/>
        <v>2024-03-05</v>
      </c>
      <c r="L10" s="464" t="str">
        <f t="shared" si="2"/>
        <v>2024-05-04</v>
      </c>
      <c r="M10" s="464"/>
      <c r="N10" s="464" t="s">
        <v>89</v>
      </c>
      <c r="O10" s="464" t="s">
        <v>90</v>
      </c>
      <c r="P10" s="464" t="s">
        <v>54</v>
      </c>
      <c r="Q10" s="464" t="s">
        <v>38</v>
      </c>
      <c r="R10" s="464" t="s">
        <v>91</v>
      </c>
      <c r="S10" s="480"/>
    </row>
    <row r="11" spans="1:23" ht="34.9" customHeight="1">
      <c r="A11" s="625">
        <v>9</v>
      </c>
      <c r="B11" s="464" t="s">
        <v>92</v>
      </c>
      <c r="C11" s="464" t="s">
        <v>93</v>
      </c>
      <c r="D11" s="464" t="s">
        <v>94</v>
      </c>
      <c r="E11" s="464" t="s">
        <v>95</v>
      </c>
      <c r="F11" s="464" t="s">
        <v>96</v>
      </c>
      <c r="G11" s="480">
        <v>800000</v>
      </c>
      <c r="H11" s="464" t="s">
        <v>97</v>
      </c>
      <c r="I11" s="464" t="s">
        <v>98</v>
      </c>
      <c r="J11" s="464" t="str">
        <f t="shared" si="0"/>
        <v>6.3.24</v>
      </c>
      <c r="K11" s="464" t="str">
        <f t="shared" si="1"/>
        <v>2024-01-07</v>
      </c>
      <c r="L11" s="464" t="str">
        <f t="shared" si="2"/>
        <v>2024-03-06</v>
      </c>
      <c r="M11" s="464"/>
      <c r="N11" s="464" t="s">
        <v>67</v>
      </c>
      <c r="O11" s="464" t="s">
        <v>36</v>
      </c>
      <c r="P11" s="464" t="s">
        <v>99</v>
      </c>
      <c r="Q11" s="464" t="s">
        <v>55</v>
      </c>
      <c r="R11" s="464" t="s">
        <v>100</v>
      </c>
      <c r="S11" s="480"/>
      <c r="W11" s="472"/>
    </row>
    <row r="12" spans="1:23" ht="34.9" hidden="1" customHeight="1">
      <c r="A12" s="625">
        <v>10</v>
      </c>
      <c r="B12" s="464" t="s">
        <v>101</v>
      </c>
      <c r="C12" s="464">
        <v>0</v>
      </c>
      <c r="D12" s="464" t="s">
        <v>102</v>
      </c>
      <c r="E12" s="464" t="s">
        <v>103</v>
      </c>
      <c r="F12" s="464"/>
      <c r="G12" s="480">
        <v>800000</v>
      </c>
      <c r="H12" s="464" t="s">
        <v>104</v>
      </c>
      <c r="I12" s="464">
        <v>0</v>
      </c>
      <c r="J12" s="464" t="e">
        <f t="shared" si="0"/>
        <v>#VALUE!</v>
      </c>
      <c r="K12" s="464" t="e">
        <f t="shared" si="1"/>
        <v>#VALUE!</v>
      </c>
      <c r="L12" s="464" t="e">
        <f t="shared" si="2"/>
        <v>#VALUE!</v>
      </c>
      <c r="M12" s="464"/>
      <c r="N12" s="464" t="s">
        <v>105</v>
      </c>
      <c r="O12" s="464" t="s">
        <v>90</v>
      </c>
      <c r="P12" s="464" t="s">
        <v>106</v>
      </c>
      <c r="Q12" s="464" t="s">
        <v>55</v>
      </c>
      <c r="R12" s="464" t="s">
        <v>107</v>
      </c>
      <c r="S12" s="480"/>
    </row>
    <row r="13" spans="1:23" ht="34.9" customHeight="1">
      <c r="A13" s="625">
        <v>11</v>
      </c>
      <c r="B13" s="464" t="s">
        <v>108</v>
      </c>
      <c r="C13" s="464" t="s">
        <v>109</v>
      </c>
      <c r="D13" s="464" t="s">
        <v>110</v>
      </c>
      <c r="E13" s="464">
        <v>0</v>
      </c>
      <c r="F13" s="464"/>
      <c r="G13" s="480">
        <v>1300000</v>
      </c>
      <c r="H13" s="464" t="s">
        <v>111</v>
      </c>
      <c r="I13" s="464" t="s">
        <v>112</v>
      </c>
      <c r="J13" s="464" t="str">
        <f t="shared" si="0"/>
        <v>31.7.24</v>
      </c>
      <c r="K13" s="464" t="str">
        <f t="shared" si="1"/>
        <v>2024-07-02</v>
      </c>
      <c r="L13" s="464" t="str">
        <f t="shared" si="2"/>
        <v>2024-07-31</v>
      </c>
      <c r="M13" s="464"/>
      <c r="N13" s="464" t="s">
        <v>113</v>
      </c>
      <c r="O13" s="464" t="s">
        <v>114</v>
      </c>
      <c r="P13" s="464" t="s">
        <v>37</v>
      </c>
      <c r="Q13" s="464" t="s">
        <v>55</v>
      </c>
      <c r="R13" s="464" t="s">
        <v>115</v>
      </c>
      <c r="S13" s="480"/>
    </row>
    <row r="14" spans="1:23" ht="34.9" customHeight="1">
      <c r="A14" s="625">
        <v>12</v>
      </c>
      <c r="B14" s="464" t="s">
        <v>116</v>
      </c>
      <c r="C14" s="464" t="s">
        <v>117</v>
      </c>
      <c r="D14" s="464" t="s">
        <v>110</v>
      </c>
      <c r="E14" s="464" t="s">
        <v>118</v>
      </c>
      <c r="F14" s="464"/>
      <c r="G14" s="480">
        <v>1170000</v>
      </c>
      <c r="H14" s="464" t="s">
        <v>119</v>
      </c>
      <c r="I14" s="464" t="s">
        <v>120</v>
      </c>
      <c r="J14" s="464" t="str">
        <f t="shared" si="0"/>
        <v>14.5.25</v>
      </c>
      <c r="K14" s="464" t="str">
        <f t="shared" si="1"/>
        <v>2025-05-15</v>
      </c>
      <c r="L14" s="464" t="str">
        <f t="shared" si="2"/>
        <v>2025-05-14</v>
      </c>
      <c r="M14" s="464"/>
      <c r="N14" s="606" t="s">
        <v>121</v>
      </c>
      <c r="O14" s="464" t="s">
        <v>90</v>
      </c>
      <c r="P14" s="464" t="s">
        <v>74</v>
      </c>
      <c r="Q14" s="464" t="s">
        <v>55</v>
      </c>
      <c r="R14" s="464" t="s">
        <v>122</v>
      </c>
      <c r="S14" s="480"/>
    </row>
    <row r="15" spans="1:23" ht="34.9" hidden="1" customHeight="1">
      <c r="A15" s="625">
        <v>13</v>
      </c>
      <c r="B15" s="464" t="s">
        <v>123</v>
      </c>
      <c r="C15" s="464">
        <v>0</v>
      </c>
      <c r="D15" s="464" t="s">
        <v>124</v>
      </c>
      <c r="E15" s="464">
        <v>0</v>
      </c>
      <c r="F15" s="464"/>
      <c r="G15" s="480">
        <v>800000</v>
      </c>
      <c r="H15" s="464">
        <v>0</v>
      </c>
      <c r="I15" s="464">
        <v>0</v>
      </c>
      <c r="J15" s="464" t="e">
        <f t="shared" si="0"/>
        <v>#VALUE!</v>
      </c>
      <c r="K15" s="464" t="e">
        <f t="shared" si="1"/>
        <v>#VALUE!</v>
      </c>
      <c r="L15" s="464" t="e">
        <f t="shared" si="2"/>
        <v>#VALUE!</v>
      </c>
      <c r="M15" s="464"/>
      <c r="N15" s="464" t="s">
        <v>125</v>
      </c>
      <c r="O15" s="464" t="s">
        <v>114</v>
      </c>
      <c r="P15" s="464" t="s">
        <v>126</v>
      </c>
      <c r="Q15" s="464" t="s">
        <v>55</v>
      </c>
      <c r="R15" s="464" t="s">
        <v>127</v>
      </c>
      <c r="S15" s="480"/>
    </row>
    <row r="16" spans="1:23" ht="34.9" customHeight="1">
      <c r="A16" s="625">
        <v>14</v>
      </c>
      <c r="B16" s="464" t="s">
        <v>128</v>
      </c>
      <c r="C16" s="464" t="s">
        <v>129</v>
      </c>
      <c r="D16" s="464" t="s">
        <v>130</v>
      </c>
      <c r="E16" s="464" t="s">
        <v>131</v>
      </c>
      <c r="F16" s="464" t="s">
        <v>132</v>
      </c>
      <c r="G16" s="480">
        <v>800000</v>
      </c>
      <c r="H16" s="464" t="s">
        <v>133</v>
      </c>
      <c r="I16" s="464" t="s">
        <v>134</v>
      </c>
      <c r="J16" s="464" t="str">
        <f t="shared" si="0"/>
        <v>23.6.24</v>
      </c>
      <c r="K16" s="464" t="str">
        <f t="shared" si="1"/>
        <v>2024-03-24</v>
      </c>
      <c r="L16" s="464" t="str">
        <f t="shared" si="2"/>
        <v>2024-06-23</v>
      </c>
      <c r="M16" s="464"/>
      <c r="N16" s="464" t="s">
        <v>53</v>
      </c>
      <c r="O16" s="464" t="s">
        <v>36</v>
      </c>
      <c r="P16" s="464" t="s">
        <v>68</v>
      </c>
      <c r="Q16" s="464" t="s">
        <v>55</v>
      </c>
      <c r="R16" s="464" t="s">
        <v>135</v>
      </c>
      <c r="S16" s="480"/>
    </row>
    <row r="17" spans="1:22" ht="34.9" customHeight="1">
      <c r="A17" s="625">
        <v>15</v>
      </c>
      <c r="B17" s="464" t="s">
        <v>136</v>
      </c>
      <c r="C17" s="464" t="s">
        <v>137</v>
      </c>
      <c r="D17" s="464" t="s">
        <v>130</v>
      </c>
      <c r="E17" s="464" t="s">
        <v>138</v>
      </c>
      <c r="F17" s="464" t="s">
        <v>139</v>
      </c>
      <c r="G17" s="480">
        <v>800000</v>
      </c>
      <c r="H17" s="464" t="s">
        <v>140</v>
      </c>
      <c r="I17" s="464" t="s">
        <v>141</v>
      </c>
      <c r="J17" s="464" t="str">
        <f t="shared" si="0"/>
        <v>30.6.24</v>
      </c>
      <c r="K17" s="464" t="str">
        <f t="shared" si="1"/>
        <v>2024-04-01</v>
      </c>
      <c r="L17" s="464" t="str">
        <f t="shared" si="2"/>
        <v>2024-06-30</v>
      </c>
      <c r="M17" s="464"/>
      <c r="N17" s="464" t="s">
        <v>73</v>
      </c>
      <c r="O17" s="464" t="s">
        <v>36</v>
      </c>
      <c r="P17" s="464" t="s">
        <v>126</v>
      </c>
      <c r="Q17" s="464" t="s">
        <v>55</v>
      </c>
      <c r="R17" s="464" t="s">
        <v>142</v>
      </c>
      <c r="S17" s="480"/>
    </row>
    <row r="18" spans="1:22" ht="34.9" customHeight="1">
      <c r="A18" s="625">
        <v>16</v>
      </c>
      <c r="B18" s="464" t="s">
        <v>143</v>
      </c>
      <c r="C18" s="464" t="s">
        <v>144</v>
      </c>
      <c r="D18" s="464" t="s">
        <v>130</v>
      </c>
      <c r="E18" s="464" t="s">
        <v>145</v>
      </c>
      <c r="F18" s="464"/>
      <c r="G18" s="480">
        <v>800000</v>
      </c>
      <c r="H18" s="464" t="s">
        <v>146</v>
      </c>
      <c r="I18" s="464" t="s">
        <v>147</v>
      </c>
      <c r="J18" s="464" t="e">
        <f t="shared" si="0"/>
        <v>#VALUE!</v>
      </c>
      <c r="K18" s="464" t="e">
        <f t="shared" si="1"/>
        <v>#VALUE!</v>
      </c>
      <c r="L18" s="464" t="e">
        <f t="shared" si="2"/>
        <v>#VALUE!</v>
      </c>
      <c r="M18" s="464"/>
      <c r="N18" s="515" t="s">
        <v>148</v>
      </c>
      <c r="O18" s="464"/>
      <c r="P18" s="464" t="s">
        <v>60</v>
      </c>
      <c r="Q18" s="464" t="s">
        <v>55</v>
      </c>
      <c r="R18" s="464" t="s">
        <v>104</v>
      </c>
      <c r="S18" s="480"/>
      <c r="T18" t="s">
        <v>149</v>
      </c>
    </row>
    <row r="19" spans="1:22" ht="34.9" customHeight="1">
      <c r="A19" s="625">
        <v>17</v>
      </c>
      <c r="B19" s="464" t="s">
        <v>150</v>
      </c>
      <c r="C19" s="464" t="s">
        <v>151</v>
      </c>
      <c r="D19" s="464" t="s">
        <v>152</v>
      </c>
      <c r="E19" s="464" t="s">
        <v>153</v>
      </c>
      <c r="F19" s="464" t="s">
        <v>154</v>
      </c>
      <c r="G19" s="480">
        <v>800000</v>
      </c>
      <c r="H19" s="464">
        <v>0</v>
      </c>
      <c r="I19" s="464" t="s">
        <v>155</v>
      </c>
      <c r="J19" s="464" t="str">
        <f t="shared" si="0"/>
        <v>8.5.24</v>
      </c>
      <c r="K19" s="464" t="str">
        <f t="shared" si="1"/>
        <v>2024-04-09</v>
      </c>
      <c r="L19" s="464" t="str">
        <f t="shared" si="2"/>
        <v>2024-05-08</v>
      </c>
      <c r="M19" s="464"/>
      <c r="N19" s="464" t="s">
        <v>121</v>
      </c>
      <c r="O19" s="464" t="s">
        <v>90</v>
      </c>
      <c r="P19" s="464" t="s">
        <v>156</v>
      </c>
      <c r="Q19" s="464" t="s">
        <v>55</v>
      </c>
      <c r="R19" s="464" t="s">
        <v>157</v>
      </c>
      <c r="S19" s="480"/>
    </row>
    <row r="20" spans="1:22" ht="34.9" customHeight="1">
      <c r="A20" s="625">
        <v>18</v>
      </c>
      <c r="B20" s="464" t="s">
        <v>158</v>
      </c>
      <c r="C20" s="464" t="s">
        <v>159</v>
      </c>
      <c r="D20" s="464" t="s">
        <v>152</v>
      </c>
      <c r="E20" s="464" t="s">
        <v>160</v>
      </c>
      <c r="F20" s="464" t="s">
        <v>161</v>
      </c>
      <c r="G20" s="480">
        <v>800000</v>
      </c>
      <c r="H20" s="464" t="s">
        <v>162</v>
      </c>
      <c r="I20" s="464" t="s">
        <v>163</v>
      </c>
      <c r="J20" s="464" t="str">
        <f t="shared" si="0"/>
        <v>2.11.23</v>
      </c>
      <c r="K20" s="464" t="str">
        <f t="shared" si="1"/>
        <v>2023-10-03</v>
      </c>
      <c r="L20" s="464" t="str">
        <f t="shared" si="2"/>
        <v>2023-11-02</v>
      </c>
      <c r="M20" s="464"/>
      <c r="N20" s="464" t="s">
        <v>35</v>
      </c>
      <c r="O20" s="464" t="s">
        <v>36</v>
      </c>
      <c r="P20" s="464" t="s">
        <v>60</v>
      </c>
      <c r="Q20" s="464" t="s">
        <v>55</v>
      </c>
      <c r="R20" s="464" t="s">
        <v>164</v>
      </c>
      <c r="S20" s="480"/>
    </row>
    <row r="21" spans="1:22" ht="34.9" customHeight="1">
      <c r="A21" s="625">
        <v>19</v>
      </c>
      <c r="B21" s="464" t="s">
        <v>165</v>
      </c>
      <c r="C21" s="464" t="s">
        <v>166</v>
      </c>
      <c r="D21" s="464" t="s">
        <v>130</v>
      </c>
      <c r="E21" s="464" t="s">
        <v>167</v>
      </c>
      <c r="F21" s="464" t="s">
        <v>168</v>
      </c>
      <c r="G21" s="480">
        <v>800000</v>
      </c>
      <c r="H21" s="464" t="s">
        <v>169</v>
      </c>
      <c r="I21" s="464" t="s">
        <v>170</v>
      </c>
      <c r="J21" s="464" t="str">
        <f t="shared" si="0"/>
        <v>1.10.24</v>
      </c>
      <c r="K21" s="464" t="str">
        <f t="shared" si="1"/>
        <v>2024-07-02</v>
      </c>
      <c r="L21" s="464" t="str">
        <f t="shared" si="2"/>
        <v>2024-10-01</v>
      </c>
      <c r="M21" s="464"/>
      <c r="N21" s="464" t="s">
        <v>53</v>
      </c>
      <c r="O21" s="464" t="s">
        <v>36</v>
      </c>
      <c r="P21" s="464" t="s">
        <v>44</v>
      </c>
      <c r="Q21" s="464" t="s">
        <v>55</v>
      </c>
      <c r="R21" s="464" t="s">
        <v>171</v>
      </c>
      <c r="S21" s="480"/>
    </row>
    <row r="22" spans="1:22" ht="34.9" customHeight="1">
      <c r="A22" s="625">
        <v>20</v>
      </c>
      <c r="B22" s="464" t="s">
        <v>172</v>
      </c>
      <c r="C22" s="464" t="s">
        <v>173</v>
      </c>
      <c r="D22" s="464" t="s">
        <v>152</v>
      </c>
      <c r="E22" s="464" t="s">
        <v>174</v>
      </c>
      <c r="F22" s="464" t="s">
        <v>154</v>
      </c>
      <c r="G22" s="480">
        <v>800000</v>
      </c>
      <c r="H22" s="464" t="s">
        <v>175</v>
      </c>
      <c r="I22" s="464" t="s">
        <v>176</v>
      </c>
      <c r="J22" s="464" t="str">
        <f t="shared" si="0"/>
        <v>31.7.24</v>
      </c>
      <c r="K22" s="464" t="str">
        <f t="shared" si="1"/>
        <v>2024-07-01</v>
      </c>
      <c r="L22" s="464" t="str">
        <f t="shared" si="2"/>
        <v>2024-07-31</v>
      </c>
      <c r="M22" s="464"/>
      <c r="N22" s="464" t="s">
        <v>73</v>
      </c>
      <c r="O22" s="464" t="s">
        <v>36</v>
      </c>
      <c r="P22" s="464" t="s">
        <v>68</v>
      </c>
      <c r="Q22" s="464" t="s">
        <v>55</v>
      </c>
      <c r="R22" s="464" t="s">
        <v>177</v>
      </c>
      <c r="S22" s="480"/>
    </row>
    <row r="23" spans="1:22" ht="34.9" customHeight="1">
      <c r="A23" s="625">
        <v>21</v>
      </c>
      <c r="B23" s="464" t="s">
        <v>178</v>
      </c>
      <c r="C23" s="464" t="s">
        <v>179</v>
      </c>
      <c r="D23" s="464" t="s">
        <v>152</v>
      </c>
      <c r="E23" s="464" t="s">
        <v>180</v>
      </c>
      <c r="F23" s="464" t="s">
        <v>154</v>
      </c>
      <c r="G23" s="480">
        <v>800000</v>
      </c>
      <c r="H23" s="464" t="s">
        <v>181</v>
      </c>
      <c r="I23" s="464" t="s">
        <v>182</v>
      </c>
      <c r="J23" s="464" t="str">
        <f t="shared" si="0"/>
        <v>7.5.24</v>
      </c>
      <c r="K23" s="464" t="str">
        <f t="shared" si="1"/>
        <v>2024-03-08</v>
      </c>
      <c r="L23" s="464" t="str">
        <f t="shared" si="2"/>
        <v>2024-05-07</v>
      </c>
      <c r="M23" s="464"/>
      <c r="N23" s="464" t="s">
        <v>67</v>
      </c>
      <c r="O23" s="464" t="s">
        <v>36</v>
      </c>
      <c r="P23" s="464" t="s">
        <v>82</v>
      </c>
      <c r="Q23" s="464" t="s">
        <v>55</v>
      </c>
      <c r="R23" s="464" t="s">
        <v>183</v>
      </c>
      <c r="S23" s="480"/>
      <c r="T23" s="44" t="s">
        <v>184</v>
      </c>
    </row>
    <row r="24" spans="1:22" s="467" customFormat="1" ht="34.9" customHeight="1">
      <c r="A24" s="625">
        <v>22</v>
      </c>
      <c r="B24" s="513" t="s">
        <v>185</v>
      </c>
      <c r="C24" s="513" t="s">
        <v>186</v>
      </c>
      <c r="D24" s="513" t="s">
        <v>152</v>
      </c>
      <c r="E24" s="513" t="s">
        <v>187</v>
      </c>
      <c r="F24" s="513" t="s">
        <v>188</v>
      </c>
      <c r="G24" s="514">
        <v>800000</v>
      </c>
      <c r="H24" s="513" t="s">
        <v>189</v>
      </c>
      <c r="I24" s="513" t="s">
        <v>190</v>
      </c>
      <c r="J24" s="513" t="str">
        <f t="shared" si="0"/>
        <v>26.6.24</v>
      </c>
      <c r="K24" s="513" t="str">
        <f t="shared" si="1"/>
        <v>2024-01-27</v>
      </c>
      <c r="L24" s="513" t="str">
        <f t="shared" si="2"/>
        <v>2024-06-26</v>
      </c>
      <c r="M24" s="513"/>
      <c r="N24" s="513" t="s">
        <v>35</v>
      </c>
      <c r="O24" s="513" t="s">
        <v>36</v>
      </c>
      <c r="P24" s="513" t="s">
        <v>191</v>
      </c>
      <c r="Q24" s="513" t="s">
        <v>55</v>
      </c>
      <c r="R24" s="513" t="s">
        <v>192</v>
      </c>
      <c r="S24" s="514"/>
      <c r="V24"/>
    </row>
    <row r="25" spans="1:22" ht="34.9" customHeight="1">
      <c r="A25" s="625">
        <v>23</v>
      </c>
      <c r="B25" s="464" t="s">
        <v>193</v>
      </c>
      <c r="C25" s="464" t="s">
        <v>194</v>
      </c>
      <c r="D25" s="464" t="s">
        <v>152</v>
      </c>
      <c r="E25" s="464" t="s">
        <v>195</v>
      </c>
      <c r="F25" s="464" t="s">
        <v>154</v>
      </c>
      <c r="G25" s="480">
        <v>300000</v>
      </c>
      <c r="H25" s="464">
        <v>0</v>
      </c>
      <c r="I25" s="464" t="s">
        <v>196</v>
      </c>
      <c r="J25" s="464" t="str">
        <f t="shared" si="0"/>
        <v>29.2.24</v>
      </c>
      <c r="K25" s="464" t="str">
        <f t="shared" si="1"/>
        <v>2024-08-01</v>
      </c>
      <c r="L25" s="464" t="str">
        <f t="shared" si="2"/>
        <v>2024-02-29</v>
      </c>
      <c r="M25" s="464"/>
      <c r="N25" s="464" t="s">
        <v>197</v>
      </c>
      <c r="O25" s="464" t="s">
        <v>90</v>
      </c>
      <c r="P25" s="464" t="s">
        <v>198</v>
      </c>
      <c r="Q25" s="464" t="s">
        <v>55</v>
      </c>
      <c r="R25" s="464" t="s">
        <v>104</v>
      </c>
      <c r="S25" s="480"/>
    </row>
    <row r="26" spans="1:22" ht="34.9" customHeight="1">
      <c r="A26" s="625">
        <v>24</v>
      </c>
      <c r="B26" s="464" t="s">
        <v>199</v>
      </c>
      <c r="C26" s="464" t="s">
        <v>200</v>
      </c>
      <c r="D26" s="464" t="s">
        <v>152</v>
      </c>
      <c r="E26" s="464" t="s">
        <v>201</v>
      </c>
      <c r="F26" s="464" t="s">
        <v>154</v>
      </c>
      <c r="G26" s="480">
        <v>800000</v>
      </c>
      <c r="H26" s="464" t="s">
        <v>202</v>
      </c>
      <c r="I26" s="464" t="s">
        <v>176</v>
      </c>
      <c r="J26" s="464" t="str">
        <f t="shared" si="0"/>
        <v>31.7.24</v>
      </c>
      <c r="K26" s="464" t="str">
        <f t="shared" si="1"/>
        <v>2024-07-01</v>
      </c>
      <c r="L26" s="464" t="str">
        <f t="shared" si="2"/>
        <v>2024-07-31</v>
      </c>
      <c r="M26" s="464"/>
      <c r="N26" s="464" t="s">
        <v>203</v>
      </c>
      <c r="O26" s="464" t="s">
        <v>36</v>
      </c>
      <c r="P26" s="464" t="s">
        <v>204</v>
      </c>
      <c r="Q26" s="464" t="s">
        <v>55</v>
      </c>
      <c r="R26" s="464" t="s">
        <v>205</v>
      </c>
      <c r="S26" s="480"/>
    </row>
    <row r="27" spans="1:22" ht="34.9" hidden="1" customHeight="1">
      <c r="A27" s="625">
        <v>25</v>
      </c>
      <c r="B27" s="464" t="s">
        <v>206</v>
      </c>
      <c r="C27" s="464">
        <v>0</v>
      </c>
      <c r="D27" s="464" t="s">
        <v>152</v>
      </c>
      <c r="E27" s="464" t="s">
        <v>207</v>
      </c>
      <c r="F27" s="464" t="s">
        <v>132</v>
      </c>
      <c r="G27" s="480">
        <v>800000</v>
      </c>
      <c r="H27" s="464"/>
      <c r="I27" s="464"/>
      <c r="J27" s="464" t="e">
        <f t="shared" si="0"/>
        <v>#VALUE!</v>
      </c>
      <c r="K27" s="464" t="e">
        <f t="shared" si="1"/>
        <v>#VALUE!</v>
      </c>
      <c r="L27" s="464" t="e">
        <f t="shared" si="2"/>
        <v>#VALUE!</v>
      </c>
      <c r="M27" s="464"/>
      <c r="N27" s="464" t="s">
        <v>208</v>
      </c>
      <c r="O27" s="515"/>
      <c r="P27" s="464" t="s">
        <v>209</v>
      </c>
      <c r="Q27" s="464" t="s">
        <v>55</v>
      </c>
      <c r="R27" s="464" t="s">
        <v>210</v>
      </c>
      <c r="S27" s="480"/>
    </row>
    <row r="28" spans="1:22" ht="33.6" customHeight="1">
      <c r="A28" s="625">
        <v>26</v>
      </c>
      <c r="B28" s="464" t="s">
        <v>211</v>
      </c>
      <c r="C28" s="464" t="s">
        <v>212</v>
      </c>
      <c r="D28" s="464" t="s">
        <v>152</v>
      </c>
      <c r="E28" s="464" t="s">
        <v>213</v>
      </c>
      <c r="F28" s="464"/>
      <c r="G28" s="480">
        <v>800000</v>
      </c>
      <c r="H28" s="464" t="s">
        <v>214</v>
      </c>
      <c r="I28" s="464" t="s">
        <v>215</v>
      </c>
      <c r="J28" s="464" t="str">
        <f t="shared" si="0"/>
        <v>20.6.24</v>
      </c>
      <c r="K28" s="464" t="str">
        <f t="shared" si="1"/>
        <v>2024-03-21</v>
      </c>
      <c r="L28" s="464" t="str">
        <f t="shared" si="2"/>
        <v>2024-06-20</v>
      </c>
      <c r="M28" s="464"/>
      <c r="N28" s="464" t="s">
        <v>216</v>
      </c>
      <c r="O28" s="464" t="s">
        <v>90</v>
      </c>
      <c r="P28" s="464" t="s">
        <v>60</v>
      </c>
      <c r="Q28" s="464" t="s">
        <v>55</v>
      </c>
      <c r="R28" s="464" t="s">
        <v>217</v>
      </c>
      <c r="S28" s="480"/>
    </row>
    <row r="29" spans="1:22" ht="34.9" customHeight="1">
      <c r="A29" s="625">
        <v>27</v>
      </c>
      <c r="B29" s="464" t="s">
        <v>218</v>
      </c>
      <c r="C29" s="464" t="s">
        <v>219</v>
      </c>
      <c r="D29" s="464" t="s">
        <v>152</v>
      </c>
      <c r="E29" s="464" t="s">
        <v>220</v>
      </c>
      <c r="F29" s="464" t="s">
        <v>188</v>
      </c>
      <c r="G29" s="480">
        <v>800000</v>
      </c>
      <c r="H29" s="464" t="s">
        <v>221</v>
      </c>
      <c r="I29" s="464" t="s">
        <v>222</v>
      </c>
      <c r="J29" s="464" t="str">
        <f t="shared" si="0"/>
        <v>2.8.24</v>
      </c>
      <c r="K29" s="464" t="str">
        <f t="shared" si="1"/>
        <v>2024-06-03</v>
      </c>
      <c r="L29" s="464" t="str">
        <f t="shared" si="2"/>
        <v>2024-08-02</v>
      </c>
      <c r="M29" s="464"/>
      <c r="N29" s="464" t="s">
        <v>35</v>
      </c>
      <c r="O29" s="464" t="s">
        <v>36</v>
      </c>
      <c r="P29" s="464" t="s">
        <v>223</v>
      </c>
      <c r="Q29" s="464" t="s">
        <v>55</v>
      </c>
      <c r="R29" s="464" t="s">
        <v>224</v>
      </c>
      <c r="S29" s="480"/>
    </row>
    <row r="30" spans="1:22" ht="34.9" customHeight="1">
      <c r="A30" s="625">
        <v>28</v>
      </c>
      <c r="B30" s="464" t="s">
        <v>225</v>
      </c>
      <c r="C30" s="464" t="s">
        <v>226</v>
      </c>
      <c r="D30" s="464" t="s">
        <v>152</v>
      </c>
      <c r="E30" s="464" t="s">
        <v>227</v>
      </c>
      <c r="F30" s="464" t="s">
        <v>188</v>
      </c>
      <c r="G30" s="480">
        <v>800000</v>
      </c>
      <c r="H30" s="464" t="s">
        <v>228</v>
      </c>
      <c r="I30" s="464" t="s">
        <v>229</v>
      </c>
      <c r="J30" s="464" t="str">
        <f t="shared" si="0"/>
        <v>1.7.24</v>
      </c>
      <c r="K30" s="464" t="str">
        <f t="shared" si="1"/>
        <v>2024-09-02</v>
      </c>
      <c r="L30" s="464" t="str">
        <f t="shared" si="2"/>
        <v>2024-07-01</v>
      </c>
      <c r="M30" s="464"/>
      <c r="N30" s="464" t="s">
        <v>230</v>
      </c>
      <c r="O30" s="464"/>
      <c r="P30" s="464" t="s">
        <v>209</v>
      </c>
      <c r="Q30" s="464" t="s">
        <v>55</v>
      </c>
      <c r="R30" s="464" t="s">
        <v>231</v>
      </c>
      <c r="S30" s="480"/>
    </row>
    <row r="31" spans="1:22" ht="34.9" customHeight="1">
      <c r="A31" s="625">
        <v>29</v>
      </c>
      <c r="B31" s="464" t="s">
        <v>232</v>
      </c>
      <c r="C31" s="464" t="s">
        <v>233</v>
      </c>
      <c r="D31" s="464" t="s">
        <v>152</v>
      </c>
      <c r="E31" s="464" t="s">
        <v>234</v>
      </c>
      <c r="F31" s="464" t="s">
        <v>96</v>
      </c>
      <c r="G31" s="480">
        <v>800000</v>
      </c>
      <c r="H31" s="464" t="s">
        <v>235</v>
      </c>
      <c r="I31" s="464" t="s">
        <v>236</v>
      </c>
      <c r="J31" s="464" t="str">
        <f t="shared" si="0"/>
        <v>9.2.24</v>
      </c>
      <c r="K31" s="464" t="str">
        <f t="shared" si="1"/>
        <v>2024-11-10</v>
      </c>
      <c r="L31" s="464" t="str">
        <f t="shared" si="2"/>
        <v>2024-02-09</v>
      </c>
      <c r="M31" s="464"/>
      <c r="N31" s="613" t="s">
        <v>35</v>
      </c>
      <c r="O31" s="613" t="s">
        <v>36</v>
      </c>
      <c r="P31" s="464" t="s">
        <v>237</v>
      </c>
      <c r="Q31" s="464" t="s">
        <v>55</v>
      </c>
      <c r="R31" s="464" t="s">
        <v>238</v>
      </c>
      <c r="S31" s="480"/>
    </row>
    <row r="32" spans="1:22" ht="34.9" customHeight="1">
      <c r="A32" s="625">
        <v>30</v>
      </c>
      <c r="B32" s="464" t="s">
        <v>239</v>
      </c>
      <c r="C32" s="464" t="s">
        <v>240</v>
      </c>
      <c r="D32" s="464" t="s">
        <v>152</v>
      </c>
      <c r="E32" s="464" t="s">
        <v>241</v>
      </c>
      <c r="F32" s="464"/>
      <c r="G32" s="480">
        <v>800000</v>
      </c>
      <c r="H32" s="464" t="s">
        <v>242</v>
      </c>
      <c r="I32" s="464" t="s">
        <v>243</v>
      </c>
      <c r="J32" s="464" t="str">
        <f t="shared" si="0"/>
        <v>11.8.23</v>
      </c>
      <c r="K32" s="464" t="str">
        <f t="shared" si="1"/>
        <v>2023-06-12</v>
      </c>
      <c r="L32" s="464" t="str">
        <f t="shared" si="2"/>
        <v>2023-08-11</v>
      </c>
      <c r="M32" s="464"/>
      <c r="N32" s="464" t="s">
        <v>230</v>
      </c>
      <c r="O32" s="464"/>
      <c r="P32" s="464" t="s">
        <v>68</v>
      </c>
      <c r="Q32" s="464" t="s">
        <v>55</v>
      </c>
      <c r="R32" s="464" t="s">
        <v>244</v>
      </c>
      <c r="S32" s="480"/>
    </row>
    <row r="33" spans="1:20" ht="34.9" customHeight="1">
      <c r="A33" s="625">
        <v>31</v>
      </c>
      <c r="B33" s="464" t="s">
        <v>245</v>
      </c>
      <c r="C33" s="464" t="s">
        <v>166</v>
      </c>
      <c r="D33" s="464" t="s">
        <v>152</v>
      </c>
      <c r="E33" s="464" t="s">
        <v>246</v>
      </c>
      <c r="F33" s="464" t="s">
        <v>154</v>
      </c>
      <c r="G33" s="480">
        <v>800000</v>
      </c>
      <c r="H33" s="464" t="s">
        <v>169</v>
      </c>
      <c r="I33" s="464" t="s">
        <v>247</v>
      </c>
      <c r="J33" s="464" t="str">
        <f t="shared" si="0"/>
        <v>18.9.24</v>
      </c>
      <c r="K33" s="464" t="str">
        <f t="shared" si="1"/>
        <v>2024-06-19</v>
      </c>
      <c r="L33" s="464" t="str">
        <f t="shared" si="2"/>
        <v>2024-09-18</v>
      </c>
      <c r="M33" s="464"/>
      <c r="N33" s="464" t="s">
        <v>53</v>
      </c>
      <c r="O33" s="464" t="s">
        <v>36</v>
      </c>
      <c r="P33" s="464" t="s">
        <v>198</v>
      </c>
      <c r="Q33" s="464" t="s">
        <v>55</v>
      </c>
      <c r="R33" s="464" t="s">
        <v>248</v>
      </c>
      <c r="S33" s="480"/>
    </row>
    <row r="34" spans="1:20" ht="34.9" customHeight="1">
      <c r="A34" s="625">
        <v>32</v>
      </c>
      <c r="B34" s="464" t="s">
        <v>249</v>
      </c>
      <c r="C34" s="464" t="s">
        <v>250</v>
      </c>
      <c r="D34" s="464" t="s">
        <v>152</v>
      </c>
      <c r="E34" s="464" t="s">
        <v>251</v>
      </c>
      <c r="F34" s="464" t="s">
        <v>188</v>
      </c>
      <c r="G34" s="480">
        <v>800000</v>
      </c>
      <c r="H34" s="464">
        <v>0</v>
      </c>
      <c r="I34" s="464" t="s">
        <v>170</v>
      </c>
      <c r="J34" s="464" t="str">
        <f t="shared" si="0"/>
        <v>1.10.24</v>
      </c>
      <c r="K34" s="464" t="str">
        <f t="shared" si="1"/>
        <v>2024-07-02</v>
      </c>
      <c r="L34" s="464" t="str">
        <f t="shared" si="2"/>
        <v>2024-10-01</v>
      </c>
      <c r="M34" s="464"/>
      <c r="N34" s="464" t="s">
        <v>67</v>
      </c>
      <c r="O34" s="464" t="s">
        <v>36</v>
      </c>
      <c r="P34" s="464" t="s">
        <v>252</v>
      </c>
      <c r="Q34" s="464" t="s">
        <v>55</v>
      </c>
      <c r="R34" s="464" t="s">
        <v>253</v>
      </c>
      <c r="S34" s="480"/>
    </row>
    <row r="35" spans="1:20" ht="34.9" customHeight="1">
      <c r="A35" s="625">
        <v>33</v>
      </c>
      <c r="B35" s="464" t="s">
        <v>254</v>
      </c>
      <c r="C35" s="464" t="s">
        <v>255</v>
      </c>
      <c r="D35" s="464" t="s">
        <v>152</v>
      </c>
      <c r="E35" s="464" t="s">
        <v>256</v>
      </c>
      <c r="F35" s="464" t="s">
        <v>154</v>
      </c>
      <c r="G35" s="480">
        <v>700000</v>
      </c>
      <c r="H35" s="464" t="s">
        <v>257</v>
      </c>
      <c r="I35" s="464" t="s">
        <v>258</v>
      </c>
      <c r="J35" s="464" t="str">
        <f t="shared" ref="J35:J66" si="3">TRIM(MID(I35, FIND("to", I35) + 2, LEN(I35)))</f>
        <v>19.6.24</v>
      </c>
      <c r="K35" s="464" t="str">
        <f t="shared" ref="K35:K66" si="4">TEXT(DATE(2000+RIGHT(I35,2), MID(I35, FIND(".", I35)+1, FIND(".", I35, FIND(".", I35)+1)-FIND(".", I35)-1), LEFT(I35, FIND(".", I35)-1)), "yyyy-mm-dd")</f>
        <v>2024-05-20</v>
      </c>
      <c r="L35" s="464" t="str">
        <f t="shared" ref="L35:L66" si="5">TEXT(DATE(2000+RIGHT(J35,2), MID(J35, FIND(".", J35)+1, FIND(".", J35, FIND(".", J35)+1)-FIND(".", J35)-1), LEFT(J35, FIND(".", J35)-1)), "yyyy-mm-dd")</f>
        <v>2024-06-19</v>
      </c>
      <c r="M35" s="464"/>
      <c r="N35" s="464" t="s">
        <v>53</v>
      </c>
      <c r="O35" s="464" t="s">
        <v>36</v>
      </c>
      <c r="P35" s="464" t="s">
        <v>82</v>
      </c>
      <c r="Q35" s="464" t="s">
        <v>55</v>
      </c>
      <c r="R35" s="464" t="s">
        <v>259</v>
      </c>
      <c r="S35" s="480"/>
    </row>
    <row r="36" spans="1:20" ht="34.9" customHeight="1">
      <c r="A36" s="625">
        <v>34</v>
      </c>
      <c r="B36" s="464" t="s">
        <v>260</v>
      </c>
      <c r="C36" s="464" t="s">
        <v>261</v>
      </c>
      <c r="D36" s="464" t="s">
        <v>152</v>
      </c>
      <c r="E36" s="464" t="s">
        <v>262</v>
      </c>
      <c r="F36" s="464" t="s">
        <v>154</v>
      </c>
      <c r="G36" s="480">
        <v>800000</v>
      </c>
      <c r="H36" s="464" t="s">
        <v>263</v>
      </c>
      <c r="I36" s="464" t="s">
        <v>264</v>
      </c>
      <c r="J36" s="464" t="str">
        <f t="shared" si="3"/>
        <v>1.8.24</v>
      </c>
      <c r="K36" s="464" t="str">
        <f t="shared" si="4"/>
        <v>2024-05-02</v>
      </c>
      <c r="L36" s="464" t="str">
        <f t="shared" si="5"/>
        <v>2024-08-01</v>
      </c>
      <c r="M36" s="464"/>
      <c r="N36" s="464" t="s">
        <v>67</v>
      </c>
      <c r="O36" s="464" t="s">
        <v>36</v>
      </c>
      <c r="P36" s="464" t="s">
        <v>60</v>
      </c>
      <c r="Q36" s="464" t="s">
        <v>55</v>
      </c>
      <c r="R36" s="464" t="s">
        <v>265</v>
      </c>
      <c r="S36" s="480"/>
    </row>
    <row r="37" spans="1:20" ht="34.9" customHeight="1">
      <c r="A37" s="625">
        <v>35</v>
      </c>
      <c r="B37" s="464" t="s">
        <v>266</v>
      </c>
      <c r="C37" s="464" t="s">
        <v>267</v>
      </c>
      <c r="D37" s="464" t="s">
        <v>152</v>
      </c>
      <c r="E37" s="464" t="s">
        <v>268</v>
      </c>
      <c r="F37" s="464" t="s">
        <v>154</v>
      </c>
      <c r="G37" s="480">
        <v>800000</v>
      </c>
      <c r="H37" s="464" t="s">
        <v>269</v>
      </c>
      <c r="I37" s="464" t="s">
        <v>134</v>
      </c>
      <c r="J37" s="464" t="str">
        <f t="shared" si="3"/>
        <v>23.6.24</v>
      </c>
      <c r="K37" s="464" t="str">
        <f t="shared" si="4"/>
        <v>2024-03-24</v>
      </c>
      <c r="L37" s="464" t="str">
        <f t="shared" si="5"/>
        <v>2024-06-23</v>
      </c>
      <c r="M37" s="464"/>
      <c r="N37" s="464" t="s">
        <v>53</v>
      </c>
      <c r="O37" s="464" t="s">
        <v>36</v>
      </c>
      <c r="P37" s="464" t="s">
        <v>198</v>
      </c>
      <c r="Q37" s="464" t="s">
        <v>55</v>
      </c>
      <c r="R37" s="464" t="s">
        <v>270</v>
      </c>
      <c r="S37" s="480"/>
    </row>
    <row r="38" spans="1:20" ht="34.9" customHeight="1">
      <c r="A38" s="625">
        <v>36</v>
      </c>
      <c r="B38" s="464" t="s">
        <v>271</v>
      </c>
      <c r="C38" s="464" t="s">
        <v>272</v>
      </c>
      <c r="D38" s="464" t="s">
        <v>152</v>
      </c>
      <c r="E38" s="464" t="s">
        <v>273</v>
      </c>
      <c r="F38" s="464" t="s">
        <v>274</v>
      </c>
      <c r="G38" s="480">
        <v>720000</v>
      </c>
      <c r="H38" s="464" t="s">
        <v>275</v>
      </c>
      <c r="I38" s="464" t="s">
        <v>276</v>
      </c>
      <c r="J38" s="464" t="str">
        <f t="shared" si="3"/>
        <v>31.5.24</v>
      </c>
      <c r="K38" s="464" t="str">
        <f t="shared" si="4"/>
        <v>2024-04-01</v>
      </c>
      <c r="L38" s="464" t="str">
        <f t="shared" si="5"/>
        <v>2024-05-31</v>
      </c>
      <c r="M38" s="464"/>
      <c r="N38" s="464" t="s">
        <v>203</v>
      </c>
      <c r="O38" s="464" t="s">
        <v>36</v>
      </c>
      <c r="P38" s="464" t="s">
        <v>54</v>
      </c>
      <c r="Q38" s="464" t="s">
        <v>55</v>
      </c>
      <c r="R38" s="464" t="s">
        <v>277</v>
      </c>
      <c r="S38" s="480"/>
    </row>
    <row r="39" spans="1:20" ht="34.9" customHeight="1">
      <c r="A39" s="625">
        <v>37</v>
      </c>
      <c r="B39" s="464" t="s">
        <v>278</v>
      </c>
      <c r="C39" s="464" t="s">
        <v>279</v>
      </c>
      <c r="D39" s="464" t="s">
        <v>152</v>
      </c>
      <c r="E39" s="464" t="s">
        <v>280</v>
      </c>
      <c r="F39" s="464" t="s">
        <v>161</v>
      </c>
      <c r="G39" s="480">
        <v>800000</v>
      </c>
      <c r="H39" s="464" t="s">
        <v>281</v>
      </c>
      <c r="I39" s="464" t="s">
        <v>282</v>
      </c>
      <c r="J39" s="464" t="str">
        <f t="shared" si="3"/>
        <v>7.9.24</v>
      </c>
      <c r="K39" s="464" t="str">
        <f t="shared" si="4"/>
        <v>2024-06-08</v>
      </c>
      <c r="L39" s="464" t="str">
        <f t="shared" si="5"/>
        <v>2024-09-07</v>
      </c>
      <c r="M39" s="464"/>
      <c r="N39" s="464" t="s">
        <v>35</v>
      </c>
      <c r="O39" s="464" t="s">
        <v>36</v>
      </c>
      <c r="P39" s="464" t="s">
        <v>99</v>
      </c>
      <c r="Q39" s="464" t="s">
        <v>55</v>
      </c>
      <c r="R39" s="464" t="s">
        <v>283</v>
      </c>
      <c r="S39" s="480"/>
    </row>
    <row r="40" spans="1:20" ht="34.9" customHeight="1">
      <c r="A40" s="625">
        <v>38</v>
      </c>
      <c r="B40" s="464" t="s">
        <v>284</v>
      </c>
      <c r="C40" s="464" t="s">
        <v>285</v>
      </c>
      <c r="D40" s="464" t="s">
        <v>152</v>
      </c>
      <c r="E40" s="464" t="s">
        <v>286</v>
      </c>
      <c r="F40" s="464" t="s">
        <v>50</v>
      </c>
      <c r="G40" s="480">
        <v>800000</v>
      </c>
      <c r="H40" s="464" t="s">
        <v>287</v>
      </c>
      <c r="I40" s="464" t="s">
        <v>288</v>
      </c>
      <c r="J40" s="464" t="str">
        <f t="shared" si="3"/>
        <v>30.6.24</v>
      </c>
      <c r="K40" s="464" t="str">
        <f t="shared" si="4"/>
        <v>2024-03-01</v>
      </c>
      <c r="L40" s="464" t="str">
        <f t="shared" si="5"/>
        <v>2024-06-30</v>
      </c>
      <c r="M40" s="464"/>
      <c r="N40" s="464" t="s">
        <v>203</v>
      </c>
      <c r="O40" s="464" t="s">
        <v>36</v>
      </c>
      <c r="P40" s="464" t="s">
        <v>68</v>
      </c>
      <c r="Q40" s="464" t="s">
        <v>55</v>
      </c>
      <c r="R40" s="464" t="s">
        <v>289</v>
      </c>
      <c r="S40" s="480"/>
    </row>
    <row r="41" spans="1:20" ht="34.9" customHeight="1">
      <c r="A41" s="625">
        <v>39</v>
      </c>
      <c r="B41" s="464" t="s">
        <v>290</v>
      </c>
      <c r="C41" s="464" t="s">
        <v>291</v>
      </c>
      <c r="D41" s="464" t="s">
        <v>152</v>
      </c>
      <c r="E41" s="464" t="s">
        <v>292</v>
      </c>
      <c r="F41" s="464" t="s">
        <v>188</v>
      </c>
      <c r="G41" s="480">
        <v>800000</v>
      </c>
      <c r="H41" s="464" t="s">
        <v>293</v>
      </c>
      <c r="I41" s="464" t="s">
        <v>294</v>
      </c>
      <c r="J41" s="464" t="str">
        <f t="shared" si="3"/>
        <v>24.9.24</v>
      </c>
      <c r="K41" s="464" t="str">
        <f t="shared" si="4"/>
        <v>2024-06-25</v>
      </c>
      <c r="L41" s="464" t="str">
        <f t="shared" si="5"/>
        <v>2024-09-24</v>
      </c>
      <c r="M41" s="464">
        <v>4</v>
      </c>
      <c r="N41" s="464" t="s">
        <v>35</v>
      </c>
      <c r="O41" s="464" t="s">
        <v>36</v>
      </c>
      <c r="P41" s="464" t="s">
        <v>54</v>
      </c>
      <c r="Q41" s="464" t="s">
        <v>295</v>
      </c>
      <c r="R41" s="464" t="s">
        <v>296</v>
      </c>
      <c r="S41" s="480"/>
    </row>
    <row r="42" spans="1:20" ht="34.9" customHeight="1">
      <c r="A42" s="625">
        <v>40</v>
      </c>
      <c r="B42" s="464" t="s">
        <v>297</v>
      </c>
      <c r="C42" s="464" t="s">
        <v>298</v>
      </c>
      <c r="D42" s="464" t="s">
        <v>152</v>
      </c>
      <c r="E42" s="464" t="s">
        <v>299</v>
      </c>
      <c r="F42" s="464" t="s">
        <v>50</v>
      </c>
      <c r="G42" s="480">
        <v>800000</v>
      </c>
      <c r="H42" s="464" t="s">
        <v>300</v>
      </c>
      <c r="I42" s="464" t="s">
        <v>301</v>
      </c>
      <c r="J42" s="464" t="str">
        <f t="shared" si="3"/>
        <v>24.5.23</v>
      </c>
      <c r="K42" s="464" t="str">
        <f t="shared" si="4"/>
        <v>2023-04-25</v>
      </c>
      <c r="L42" s="464" t="str">
        <f t="shared" si="5"/>
        <v>2023-05-24</v>
      </c>
      <c r="M42" s="464"/>
      <c r="N42" s="515" t="s">
        <v>302</v>
      </c>
      <c r="O42" s="464"/>
      <c r="P42" s="464" t="s">
        <v>44</v>
      </c>
      <c r="Q42" s="464" t="s">
        <v>55</v>
      </c>
      <c r="R42" s="464" t="s">
        <v>303</v>
      </c>
      <c r="S42" s="480"/>
      <c r="T42" t="s">
        <v>149</v>
      </c>
    </row>
    <row r="43" spans="1:20" ht="34.9" customHeight="1">
      <c r="A43" s="625">
        <v>41</v>
      </c>
      <c r="B43" s="464" t="s">
        <v>304</v>
      </c>
      <c r="C43" s="464" t="s">
        <v>305</v>
      </c>
      <c r="D43" s="464" t="s">
        <v>152</v>
      </c>
      <c r="E43" s="464" t="s">
        <v>306</v>
      </c>
      <c r="F43" s="464" t="s">
        <v>154</v>
      </c>
      <c r="G43" s="480">
        <v>800000</v>
      </c>
      <c r="H43" s="464" t="s">
        <v>307</v>
      </c>
      <c r="I43" s="464" t="s">
        <v>308</v>
      </c>
      <c r="J43" s="464" t="str">
        <f t="shared" si="3"/>
        <v>16.8.24</v>
      </c>
      <c r="K43" s="464" t="str">
        <f t="shared" si="4"/>
        <v>2024-07-17</v>
      </c>
      <c r="L43" s="464" t="str">
        <f t="shared" si="5"/>
        <v>2024-08-16</v>
      </c>
      <c r="M43" s="464"/>
      <c r="N43" s="464" t="s">
        <v>67</v>
      </c>
      <c r="O43" s="464" t="s">
        <v>36</v>
      </c>
      <c r="P43" s="464" t="s">
        <v>54</v>
      </c>
      <c r="Q43" s="464" t="s">
        <v>38</v>
      </c>
      <c r="R43" s="464" t="s">
        <v>309</v>
      </c>
      <c r="S43" s="480"/>
    </row>
    <row r="44" spans="1:20" ht="34.9" customHeight="1">
      <c r="A44" s="625">
        <v>42</v>
      </c>
      <c r="B44" s="464" t="s">
        <v>310</v>
      </c>
      <c r="C44" s="464" t="s">
        <v>311</v>
      </c>
      <c r="D44" s="464" t="s">
        <v>152</v>
      </c>
      <c r="E44" s="464" t="s">
        <v>312</v>
      </c>
      <c r="F44" s="464" t="s">
        <v>188</v>
      </c>
      <c r="G44" s="480">
        <v>800000</v>
      </c>
      <c r="H44" s="464" t="s">
        <v>313</v>
      </c>
      <c r="I44" s="464" t="s">
        <v>314</v>
      </c>
      <c r="J44" s="464" t="str">
        <f t="shared" si="3"/>
        <v>28.3.24</v>
      </c>
      <c r="K44" s="464" t="str">
        <f t="shared" si="4"/>
        <v>2024-02-29</v>
      </c>
      <c r="L44" s="464" t="str">
        <f t="shared" si="5"/>
        <v>2024-03-28</v>
      </c>
      <c r="M44" s="464"/>
      <c r="N44" s="464" t="s">
        <v>67</v>
      </c>
      <c r="O44" s="464" t="s">
        <v>36</v>
      </c>
      <c r="P44" s="464" t="s">
        <v>37</v>
      </c>
      <c r="Q44" s="464" t="s">
        <v>55</v>
      </c>
      <c r="R44" s="464" t="s">
        <v>315</v>
      </c>
      <c r="S44" s="480"/>
    </row>
    <row r="45" spans="1:20" ht="34.9" customHeight="1">
      <c r="A45" s="625">
        <v>43</v>
      </c>
      <c r="B45" s="464" t="s">
        <v>316</v>
      </c>
      <c r="C45" s="464" t="s">
        <v>317</v>
      </c>
      <c r="D45" s="464" t="s">
        <v>152</v>
      </c>
      <c r="E45" s="464" t="s">
        <v>318</v>
      </c>
      <c r="F45" s="464" t="s">
        <v>188</v>
      </c>
      <c r="G45" s="480">
        <v>800000</v>
      </c>
      <c r="H45" s="464" t="s">
        <v>319</v>
      </c>
      <c r="I45" s="464" t="s">
        <v>320</v>
      </c>
      <c r="J45" s="464" t="str">
        <f t="shared" si="3"/>
        <v>16.2.24</v>
      </c>
      <c r="K45" s="464" t="str">
        <f t="shared" si="4"/>
        <v>2024-01-17</v>
      </c>
      <c r="L45" s="464" t="str">
        <f t="shared" si="5"/>
        <v>2024-02-16</v>
      </c>
      <c r="M45" s="464"/>
      <c r="N45" s="464" t="s">
        <v>67</v>
      </c>
      <c r="O45" s="464" t="s">
        <v>36</v>
      </c>
      <c r="P45" s="464" t="s">
        <v>237</v>
      </c>
      <c r="Q45" s="464" t="s">
        <v>55</v>
      </c>
      <c r="R45" s="464" t="s">
        <v>321</v>
      </c>
      <c r="S45" s="480"/>
    </row>
    <row r="46" spans="1:20" ht="34.9" hidden="1" customHeight="1">
      <c r="A46" s="625">
        <v>44</v>
      </c>
      <c r="B46" s="464" t="s">
        <v>322</v>
      </c>
      <c r="C46" s="464">
        <v>0</v>
      </c>
      <c r="D46" s="464" t="s">
        <v>152</v>
      </c>
      <c r="E46" s="464" t="s">
        <v>323</v>
      </c>
      <c r="F46" s="464" t="s">
        <v>188</v>
      </c>
      <c r="G46" s="480">
        <v>720000</v>
      </c>
      <c r="H46" s="464">
        <v>0</v>
      </c>
      <c r="I46" s="464">
        <v>0</v>
      </c>
      <c r="J46" s="464" t="e">
        <f t="shared" si="3"/>
        <v>#VALUE!</v>
      </c>
      <c r="K46" s="464" t="e">
        <f t="shared" si="4"/>
        <v>#VALUE!</v>
      </c>
      <c r="L46" s="464" t="e">
        <f t="shared" si="5"/>
        <v>#VALUE!</v>
      </c>
      <c r="M46" s="464">
        <v>4</v>
      </c>
      <c r="N46" s="464" t="s">
        <v>73</v>
      </c>
      <c r="O46" s="464" t="s">
        <v>36</v>
      </c>
      <c r="P46" s="464" t="s">
        <v>209</v>
      </c>
      <c r="Q46" s="464" t="s">
        <v>55</v>
      </c>
      <c r="R46" s="464" t="s">
        <v>324</v>
      </c>
      <c r="S46" s="480"/>
    </row>
    <row r="47" spans="1:20" ht="34.9" customHeight="1">
      <c r="A47" s="625">
        <v>45</v>
      </c>
      <c r="B47" s="464" t="s">
        <v>325</v>
      </c>
      <c r="C47" s="464" t="s">
        <v>326</v>
      </c>
      <c r="D47" s="464" t="s">
        <v>152</v>
      </c>
      <c r="E47" s="464" t="s">
        <v>327</v>
      </c>
      <c r="F47" s="464"/>
      <c r="G47" s="480">
        <v>800000</v>
      </c>
      <c r="H47" s="464" t="s">
        <v>328</v>
      </c>
      <c r="I47" s="464" t="s">
        <v>329</v>
      </c>
      <c r="J47" s="464" t="str">
        <f t="shared" si="3"/>
        <v>2.7.23</v>
      </c>
      <c r="K47" s="464" t="str">
        <f t="shared" si="4"/>
        <v>2023-06-03</v>
      </c>
      <c r="L47" s="464" t="str">
        <f t="shared" si="5"/>
        <v>2023-07-02</v>
      </c>
      <c r="M47" s="464"/>
      <c r="N47" s="464" t="s">
        <v>330</v>
      </c>
      <c r="O47" s="464"/>
      <c r="P47" s="464" t="s">
        <v>331</v>
      </c>
      <c r="Q47" s="464" t="s">
        <v>55</v>
      </c>
      <c r="R47" s="464" t="s">
        <v>332</v>
      </c>
      <c r="S47" s="480"/>
    </row>
    <row r="48" spans="1:20" ht="34.9" customHeight="1">
      <c r="A48" s="625">
        <v>46</v>
      </c>
      <c r="B48" s="464" t="s">
        <v>333</v>
      </c>
      <c r="C48" s="464" t="s">
        <v>334</v>
      </c>
      <c r="D48" s="464" t="s">
        <v>152</v>
      </c>
      <c r="E48" s="464" t="s">
        <v>335</v>
      </c>
      <c r="F48" s="464"/>
      <c r="G48" s="480">
        <v>800000</v>
      </c>
      <c r="H48" s="464" t="s">
        <v>336</v>
      </c>
      <c r="I48" s="464" t="s">
        <v>337</v>
      </c>
      <c r="J48" s="464" t="str">
        <f t="shared" si="3"/>
        <v>28.8.24</v>
      </c>
      <c r="K48" s="464" t="str">
        <f t="shared" si="4"/>
        <v>2024-05-29</v>
      </c>
      <c r="L48" s="464" t="str">
        <f t="shared" si="5"/>
        <v>2024-08-28</v>
      </c>
      <c r="M48" s="464"/>
      <c r="N48" s="464" t="s">
        <v>338</v>
      </c>
      <c r="O48" s="464"/>
      <c r="P48" s="464" t="s">
        <v>68</v>
      </c>
      <c r="Q48" s="464" t="s">
        <v>55</v>
      </c>
      <c r="R48" s="464" t="s">
        <v>339</v>
      </c>
      <c r="S48" s="480"/>
    </row>
    <row r="49" spans="1:20" ht="34.9" customHeight="1">
      <c r="A49" s="625">
        <v>47</v>
      </c>
      <c r="B49" s="464" t="s">
        <v>340</v>
      </c>
      <c r="C49" s="464" t="s">
        <v>341</v>
      </c>
      <c r="D49" s="464" t="s">
        <v>152</v>
      </c>
      <c r="E49" s="464" t="s">
        <v>342</v>
      </c>
      <c r="F49" s="464" t="s">
        <v>50</v>
      </c>
      <c r="G49" s="480">
        <v>800000</v>
      </c>
      <c r="H49" s="464" t="s">
        <v>343</v>
      </c>
      <c r="I49" s="464" t="s">
        <v>344</v>
      </c>
      <c r="J49" s="464" t="str">
        <f t="shared" si="3"/>
        <v>20.7.24</v>
      </c>
      <c r="K49" s="464" t="str">
        <f t="shared" si="4"/>
        <v>2024-12-21</v>
      </c>
      <c r="L49" s="464" t="str">
        <f t="shared" si="5"/>
        <v>2024-07-20</v>
      </c>
      <c r="M49" s="464"/>
      <c r="N49" s="464" t="s">
        <v>345</v>
      </c>
      <c r="O49" s="464"/>
      <c r="P49" s="464" t="s">
        <v>209</v>
      </c>
      <c r="Q49" s="464" t="s">
        <v>38</v>
      </c>
      <c r="R49" s="464" t="s">
        <v>346</v>
      </c>
      <c r="S49" s="480"/>
    </row>
    <row r="50" spans="1:20" ht="34.9" customHeight="1">
      <c r="A50" s="625">
        <v>48</v>
      </c>
      <c r="B50" s="464" t="s">
        <v>347</v>
      </c>
      <c r="C50" s="464" t="s">
        <v>348</v>
      </c>
      <c r="D50" s="464" t="s">
        <v>152</v>
      </c>
      <c r="E50" s="464" t="s">
        <v>349</v>
      </c>
      <c r="F50" s="464"/>
      <c r="G50" s="480">
        <v>800000</v>
      </c>
      <c r="H50" s="464" t="s">
        <v>350</v>
      </c>
      <c r="I50" s="464" t="s">
        <v>351</v>
      </c>
      <c r="J50" s="464" t="str">
        <f t="shared" si="3"/>
        <v>19.3.24</v>
      </c>
      <c r="K50" s="464" t="str">
        <f t="shared" si="4"/>
        <v>2024-08-20</v>
      </c>
      <c r="L50" s="464" t="str">
        <f t="shared" si="5"/>
        <v>2024-03-19</v>
      </c>
      <c r="M50" s="464"/>
      <c r="N50" s="464" t="s">
        <v>352</v>
      </c>
      <c r="O50" s="464"/>
      <c r="P50" s="464" t="s">
        <v>60</v>
      </c>
      <c r="Q50" s="464" t="s">
        <v>55</v>
      </c>
      <c r="R50" s="464" t="s">
        <v>353</v>
      </c>
      <c r="S50" s="480"/>
      <c r="T50" s="611" t="s">
        <v>354</v>
      </c>
    </row>
    <row r="51" spans="1:20" ht="34.9" customHeight="1">
      <c r="A51" s="625">
        <v>49</v>
      </c>
      <c r="B51" s="464" t="s">
        <v>355</v>
      </c>
      <c r="C51" s="464" t="s">
        <v>356</v>
      </c>
      <c r="D51" s="464" t="s">
        <v>152</v>
      </c>
      <c r="E51" s="464" t="s">
        <v>357</v>
      </c>
      <c r="F51" s="464" t="s">
        <v>154</v>
      </c>
      <c r="G51" s="480">
        <v>800000</v>
      </c>
      <c r="H51" s="464" t="s">
        <v>358</v>
      </c>
      <c r="I51" s="464" t="s">
        <v>359</v>
      </c>
      <c r="J51" s="464" t="str">
        <f t="shared" si="3"/>
        <v>17.7.24</v>
      </c>
      <c r="K51" s="464" t="str">
        <f t="shared" si="4"/>
        <v>2024-05-18</v>
      </c>
      <c r="L51" s="464" t="str">
        <f t="shared" si="5"/>
        <v>2024-07-17</v>
      </c>
      <c r="M51" s="464"/>
      <c r="N51" s="464" t="s">
        <v>345</v>
      </c>
      <c r="O51" s="464"/>
      <c r="P51" s="464" t="s">
        <v>37</v>
      </c>
      <c r="Q51" s="464" t="s">
        <v>38</v>
      </c>
      <c r="R51" s="464" t="s">
        <v>360</v>
      </c>
      <c r="S51" s="516"/>
      <c r="T51" s="516"/>
    </row>
    <row r="52" spans="1:20" ht="34.9" customHeight="1">
      <c r="A52" s="625">
        <v>50</v>
      </c>
      <c r="B52" s="464" t="s">
        <v>361</v>
      </c>
      <c r="C52" s="464" t="s">
        <v>362</v>
      </c>
      <c r="D52" s="464" t="s">
        <v>152</v>
      </c>
      <c r="E52" s="464" t="s">
        <v>363</v>
      </c>
      <c r="F52" s="464"/>
      <c r="G52" s="480">
        <v>800000</v>
      </c>
      <c r="H52" s="464" t="s">
        <v>364</v>
      </c>
      <c r="I52" s="464" t="s">
        <v>308</v>
      </c>
      <c r="J52" s="464" t="str">
        <f t="shared" si="3"/>
        <v>16.8.24</v>
      </c>
      <c r="K52" s="464" t="str">
        <f t="shared" si="4"/>
        <v>2024-07-17</v>
      </c>
      <c r="L52" s="464" t="str">
        <f t="shared" si="5"/>
        <v>2024-08-16</v>
      </c>
      <c r="M52" s="464"/>
      <c r="N52" s="464" t="s">
        <v>365</v>
      </c>
      <c r="O52" s="464"/>
      <c r="P52" s="464" t="s">
        <v>366</v>
      </c>
      <c r="Q52" s="464" t="s">
        <v>38</v>
      </c>
      <c r="R52" s="464" t="s">
        <v>367</v>
      </c>
      <c r="S52" s="480"/>
    </row>
    <row r="53" spans="1:20" ht="34.9" customHeight="1">
      <c r="A53" s="625">
        <v>51</v>
      </c>
      <c r="B53" s="464" t="s">
        <v>368</v>
      </c>
      <c r="C53" s="464" t="s">
        <v>369</v>
      </c>
      <c r="D53" s="464" t="s">
        <v>152</v>
      </c>
      <c r="E53" s="464" t="s">
        <v>370</v>
      </c>
      <c r="F53" s="464" t="s">
        <v>161</v>
      </c>
      <c r="G53" s="480">
        <v>800000</v>
      </c>
      <c r="H53" s="464" t="s">
        <v>111</v>
      </c>
      <c r="I53" s="464" t="s">
        <v>371</v>
      </c>
      <c r="J53" s="464" t="str">
        <f t="shared" si="3"/>
        <v>31.7.24</v>
      </c>
      <c r="K53" s="464" t="str">
        <f t="shared" si="4"/>
        <v>2024-06-07</v>
      </c>
      <c r="L53" s="464" t="str">
        <f t="shared" si="5"/>
        <v>2024-07-31</v>
      </c>
      <c r="M53" s="464"/>
      <c r="N53" s="464" t="s">
        <v>372</v>
      </c>
      <c r="O53" s="464"/>
      <c r="P53" s="464" t="s">
        <v>198</v>
      </c>
      <c r="Q53" s="464" t="s">
        <v>38</v>
      </c>
      <c r="R53" s="464" t="s">
        <v>373</v>
      </c>
      <c r="S53" s="480"/>
    </row>
    <row r="54" spans="1:20" ht="28.9" customHeight="1">
      <c r="A54" s="625">
        <v>52</v>
      </c>
      <c r="B54" s="464" t="s">
        <v>374</v>
      </c>
      <c r="C54" s="464" t="s">
        <v>375</v>
      </c>
      <c r="D54" s="464" t="s">
        <v>152</v>
      </c>
      <c r="E54" s="464" t="s">
        <v>376</v>
      </c>
      <c r="F54" s="464" t="s">
        <v>188</v>
      </c>
      <c r="G54" s="480">
        <v>800000</v>
      </c>
      <c r="H54" s="464" t="s">
        <v>377</v>
      </c>
      <c r="I54" s="464" t="s">
        <v>378</v>
      </c>
      <c r="J54" s="464" t="str">
        <f t="shared" si="3"/>
        <v>18.7.24</v>
      </c>
      <c r="K54" s="464" t="str">
        <f t="shared" si="4"/>
        <v>2024-06-19</v>
      </c>
      <c r="L54" s="464" t="str">
        <f t="shared" si="5"/>
        <v>2024-07-18</v>
      </c>
      <c r="M54" s="464"/>
      <c r="N54" s="464" t="s">
        <v>203</v>
      </c>
      <c r="O54" s="464" t="s">
        <v>36</v>
      </c>
      <c r="P54" s="464" t="s">
        <v>82</v>
      </c>
      <c r="Q54" s="464" t="s">
        <v>55</v>
      </c>
      <c r="R54" s="464" t="s">
        <v>379</v>
      </c>
      <c r="S54" s="480"/>
      <c r="T54" s="44" t="s">
        <v>380</v>
      </c>
    </row>
    <row r="55" spans="1:20" ht="34.9" customHeight="1">
      <c r="A55" s="625">
        <v>53</v>
      </c>
      <c r="B55" s="464" t="s">
        <v>381</v>
      </c>
      <c r="C55" s="464" t="s">
        <v>382</v>
      </c>
      <c r="D55" s="464" t="s">
        <v>152</v>
      </c>
      <c r="E55" s="464" t="s">
        <v>383</v>
      </c>
      <c r="F55" s="464" t="s">
        <v>154</v>
      </c>
      <c r="G55" s="480">
        <v>800000</v>
      </c>
      <c r="H55" s="464" t="s">
        <v>384</v>
      </c>
      <c r="I55" s="464" t="s">
        <v>385</v>
      </c>
      <c r="J55" s="464" t="str">
        <f t="shared" si="3"/>
        <v>23.10.24</v>
      </c>
      <c r="K55" s="464" t="str">
        <f t="shared" si="4"/>
        <v>2024-07-24</v>
      </c>
      <c r="L55" s="464" t="str">
        <f t="shared" si="5"/>
        <v>2024-10-23</v>
      </c>
      <c r="M55" s="464"/>
      <c r="N55" s="464" t="s">
        <v>203</v>
      </c>
      <c r="O55" s="464" t="s">
        <v>36</v>
      </c>
      <c r="P55" s="464" t="s">
        <v>198</v>
      </c>
      <c r="Q55" s="464" t="s">
        <v>38</v>
      </c>
      <c r="R55" s="464" t="s">
        <v>386</v>
      </c>
      <c r="S55" s="516"/>
      <c r="T55" s="516"/>
    </row>
    <row r="56" spans="1:20" ht="34.9" customHeight="1">
      <c r="A56" s="625">
        <v>54</v>
      </c>
      <c r="B56" s="464" t="s">
        <v>387</v>
      </c>
      <c r="C56" s="464" t="s">
        <v>388</v>
      </c>
      <c r="D56" s="464" t="s">
        <v>152</v>
      </c>
      <c r="E56" s="464" t="s">
        <v>389</v>
      </c>
      <c r="F56" s="464" t="s">
        <v>154</v>
      </c>
      <c r="G56" s="480">
        <v>800000</v>
      </c>
      <c r="H56" s="464" t="s">
        <v>390</v>
      </c>
      <c r="I56" s="464" t="s">
        <v>391</v>
      </c>
      <c r="J56" s="464" t="str">
        <f t="shared" si="3"/>
        <v>22.9.23</v>
      </c>
      <c r="K56" s="464" t="str">
        <f t="shared" si="4"/>
        <v>2023-06-23</v>
      </c>
      <c r="L56" s="464" t="str">
        <f t="shared" si="5"/>
        <v>2023-09-22</v>
      </c>
      <c r="M56" s="464"/>
      <c r="N56" s="464" t="s">
        <v>203</v>
      </c>
      <c r="O56" s="464" t="s">
        <v>36</v>
      </c>
      <c r="P56" s="464" t="s">
        <v>156</v>
      </c>
      <c r="Q56" s="464" t="s">
        <v>38</v>
      </c>
      <c r="R56" s="464" t="s">
        <v>392</v>
      </c>
      <c r="S56" s="480" t="s">
        <v>393</v>
      </c>
    </row>
    <row r="57" spans="1:20" ht="34.9" customHeight="1">
      <c r="A57" s="625">
        <v>55</v>
      </c>
      <c r="B57" s="464" t="s">
        <v>394</v>
      </c>
      <c r="C57" s="464" t="s">
        <v>395</v>
      </c>
      <c r="D57" s="464" t="s">
        <v>152</v>
      </c>
      <c r="E57" s="464" t="s">
        <v>396</v>
      </c>
      <c r="F57" s="464"/>
      <c r="G57" s="480">
        <v>800000</v>
      </c>
      <c r="H57" s="464" t="s">
        <v>397</v>
      </c>
      <c r="I57" s="464" t="s">
        <v>398</v>
      </c>
      <c r="J57" s="464" t="str">
        <f t="shared" si="3"/>
        <v>22.5.24</v>
      </c>
      <c r="K57" s="464" t="str">
        <f t="shared" si="4"/>
        <v>2024-11-23</v>
      </c>
      <c r="L57" s="464" t="str">
        <f t="shared" si="5"/>
        <v>2024-05-22</v>
      </c>
      <c r="M57" s="464"/>
      <c r="N57" s="464" t="s">
        <v>399</v>
      </c>
      <c r="O57" s="464" t="s">
        <v>90</v>
      </c>
      <c r="P57" s="464" t="s">
        <v>44</v>
      </c>
      <c r="Q57" s="464" t="s">
        <v>38</v>
      </c>
      <c r="R57" s="464" t="s">
        <v>400</v>
      </c>
      <c r="S57" s="480"/>
    </row>
    <row r="58" spans="1:20" ht="34.9" customHeight="1">
      <c r="A58" s="625">
        <v>56</v>
      </c>
      <c r="B58" s="464" t="s">
        <v>401</v>
      </c>
      <c r="C58" s="464" t="s">
        <v>402</v>
      </c>
      <c r="D58" s="464" t="s">
        <v>152</v>
      </c>
      <c r="E58" s="464" t="s">
        <v>403</v>
      </c>
      <c r="F58" s="464" t="s">
        <v>188</v>
      </c>
      <c r="G58" s="480">
        <v>800000</v>
      </c>
      <c r="H58" s="464" t="s">
        <v>404</v>
      </c>
      <c r="I58" s="464" t="s">
        <v>405</v>
      </c>
      <c r="J58" s="464" t="str">
        <f t="shared" si="3"/>
        <v>23.11.23</v>
      </c>
      <c r="K58" s="464" t="str">
        <f t="shared" si="4"/>
        <v>2023-09-24</v>
      </c>
      <c r="L58" s="464" t="str">
        <f t="shared" si="5"/>
        <v>2023-11-23</v>
      </c>
      <c r="M58" s="464"/>
      <c r="N58" s="464" t="s">
        <v>203</v>
      </c>
      <c r="O58" s="464" t="s">
        <v>36</v>
      </c>
      <c r="P58" s="464" t="s">
        <v>82</v>
      </c>
      <c r="Q58" s="464" t="s">
        <v>38</v>
      </c>
      <c r="R58" s="464" t="s">
        <v>406</v>
      </c>
      <c r="S58" s="480"/>
    </row>
    <row r="59" spans="1:20" ht="34.9" customHeight="1">
      <c r="A59" s="625">
        <v>57</v>
      </c>
      <c r="B59" s="464" t="s">
        <v>407</v>
      </c>
      <c r="C59" s="464" t="s">
        <v>408</v>
      </c>
      <c r="D59" s="464" t="s">
        <v>152</v>
      </c>
      <c r="E59" s="464" t="s">
        <v>409</v>
      </c>
      <c r="F59" s="464" t="s">
        <v>79</v>
      </c>
      <c r="G59" s="480">
        <v>800000</v>
      </c>
      <c r="H59" s="464" t="s">
        <v>410</v>
      </c>
      <c r="I59" s="464" t="s">
        <v>411</v>
      </c>
      <c r="J59" s="464" t="str">
        <f t="shared" si="3"/>
        <v>31.12.24</v>
      </c>
      <c r="K59" s="464" t="str">
        <f t="shared" si="4"/>
        <v>2024-05-01</v>
      </c>
      <c r="L59" s="464" t="str">
        <f t="shared" si="5"/>
        <v>2024-12-31</v>
      </c>
      <c r="M59" s="464"/>
      <c r="N59" s="464" t="s">
        <v>203</v>
      </c>
      <c r="O59" s="464" t="s">
        <v>36</v>
      </c>
      <c r="P59" s="464" t="s">
        <v>82</v>
      </c>
      <c r="Q59" s="464" t="s">
        <v>55</v>
      </c>
      <c r="R59" s="464" t="s">
        <v>412</v>
      </c>
      <c r="S59" s="480"/>
    </row>
    <row r="60" spans="1:20" ht="34.9" customHeight="1">
      <c r="A60" s="625">
        <v>58</v>
      </c>
      <c r="B60" s="464" t="s">
        <v>413</v>
      </c>
      <c r="C60" s="464" t="s">
        <v>414</v>
      </c>
      <c r="D60" s="464" t="s">
        <v>152</v>
      </c>
      <c r="E60" s="464" t="s">
        <v>415</v>
      </c>
      <c r="F60" s="464" t="s">
        <v>154</v>
      </c>
      <c r="G60" s="480">
        <v>800000</v>
      </c>
      <c r="H60" s="464" t="s">
        <v>416</v>
      </c>
      <c r="I60" s="464" t="s">
        <v>417</v>
      </c>
      <c r="J60" s="464" t="str">
        <f t="shared" si="3"/>
        <v>13.9.24</v>
      </c>
      <c r="K60" s="464" t="str">
        <f t="shared" si="4"/>
        <v>2024-06-14</v>
      </c>
      <c r="L60" s="464" t="str">
        <f t="shared" si="5"/>
        <v>2024-09-13</v>
      </c>
      <c r="M60" s="464">
        <v>11</v>
      </c>
      <c r="N60" s="464" t="s">
        <v>73</v>
      </c>
      <c r="O60" s="464" t="s">
        <v>36</v>
      </c>
      <c r="P60" s="464" t="s">
        <v>44</v>
      </c>
      <c r="Q60" s="464" t="s">
        <v>295</v>
      </c>
      <c r="R60" s="464" t="s">
        <v>418</v>
      </c>
      <c r="S60" s="480"/>
    </row>
    <row r="61" spans="1:20" ht="34.9" customHeight="1">
      <c r="A61" s="625">
        <v>59</v>
      </c>
      <c r="B61" s="464" t="s">
        <v>419</v>
      </c>
      <c r="C61" s="464" t="s">
        <v>420</v>
      </c>
      <c r="D61" s="464" t="s">
        <v>152</v>
      </c>
      <c r="E61" s="464" t="s">
        <v>421</v>
      </c>
      <c r="F61" s="464"/>
      <c r="G61" s="480">
        <v>800000</v>
      </c>
      <c r="H61" s="464" t="s">
        <v>422</v>
      </c>
      <c r="I61" s="464" t="s">
        <v>423</v>
      </c>
      <c r="J61" s="464" t="str">
        <f t="shared" si="3"/>
        <v>11.8.24</v>
      </c>
      <c r="K61" s="464" t="str">
        <f t="shared" si="4"/>
        <v>2024-06-12</v>
      </c>
      <c r="L61" s="464" t="str">
        <f t="shared" si="5"/>
        <v>2024-08-11</v>
      </c>
      <c r="M61" s="464">
        <v>1</v>
      </c>
      <c r="N61" s="464" t="s">
        <v>216</v>
      </c>
      <c r="O61" s="464" t="s">
        <v>90</v>
      </c>
      <c r="P61" s="464" t="s">
        <v>44</v>
      </c>
      <c r="Q61" s="464" t="s">
        <v>38</v>
      </c>
      <c r="R61" s="464" t="s">
        <v>424</v>
      </c>
      <c r="S61" s="480"/>
    </row>
    <row r="62" spans="1:20" ht="34.9" customHeight="1">
      <c r="A62" s="625">
        <v>60</v>
      </c>
      <c r="B62" s="464" t="s">
        <v>425</v>
      </c>
      <c r="C62" s="464" t="s">
        <v>426</v>
      </c>
      <c r="D62" s="464" t="s">
        <v>152</v>
      </c>
      <c r="E62" s="464" t="s">
        <v>427</v>
      </c>
      <c r="F62" s="464" t="s">
        <v>154</v>
      </c>
      <c r="G62" s="480">
        <v>800000</v>
      </c>
      <c r="H62" s="464" t="s">
        <v>428</v>
      </c>
      <c r="I62" s="464" t="s">
        <v>429</v>
      </c>
      <c r="J62" s="464" t="str">
        <f t="shared" si="3"/>
        <v>22.7.24</v>
      </c>
      <c r="K62" s="464" t="str">
        <f t="shared" si="4"/>
        <v>2024-05-23</v>
      </c>
      <c r="L62" s="464" t="str">
        <f t="shared" si="5"/>
        <v>2024-07-22</v>
      </c>
      <c r="M62" s="464"/>
      <c r="N62" s="464" t="s">
        <v>35</v>
      </c>
      <c r="O62" s="464" t="s">
        <v>36</v>
      </c>
      <c r="P62" s="464" t="s">
        <v>156</v>
      </c>
      <c r="Q62" s="464" t="s">
        <v>38</v>
      </c>
      <c r="R62" s="464" t="s">
        <v>430</v>
      </c>
      <c r="S62" s="480"/>
    </row>
    <row r="63" spans="1:20" ht="35.450000000000003" customHeight="1">
      <c r="A63" s="625">
        <v>61</v>
      </c>
      <c r="B63" s="464" t="s">
        <v>431</v>
      </c>
      <c r="C63" s="464" t="s">
        <v>432</v>
      </c>
      <c r="D63" s="464" t="s">
        <v>152</v>
      </c>
      <c r="E63" s="464" t="s">
        <v>433</v>
      </c>
      <c r="F63" s="464" t="s">
        <v>139</v>
      </c>
      <c r="G63" s="480">
        <v>800000</v>
      </c>
      <c r="H63" s="464" t="s">
        <v>434</v>
      </c>
      <c r="I63" s="464" t="s">
        <v>435</v>
      </c>
      <c r="J63" s="464" t="str">
        <f t="shared" si="3"/>
        <v>5.10.23</v>
      </c>
      <c r="K63" s="464" t="str">
        <f t="shared" si="4"/>
        <v>2023-05-06</v>
      </c>
      <c r="L63" s="464" t="str">
        <f t="shared" si="5"/>
        <v>2023-10-05</v>
      </c>
      <c r="M63" s="464"/>
      <c r="N63" s="464" t="s">
        <v>67</v>
      </c>
      <c r="O63" s="464" t="s">
        <v>36</v>
      </c>
      <c r="P63" s="464" t="s">
        <v>156</v>
      </c>
      <c r="Q63" s="464" t="s">
        <v>38</v>
      </c>
      <c r="R63" s="464" t="s">
        <v>436</v>
      </c>
      <c r="S63" s="480"/>
    </row>
    <row r="64" spans="1:20" ht="34.9" customHeight="1">
      <c r="A64" s="625">
        <v>62</v>
      </c>
      <c r="B64" s="464" t="s">
        <v>437</v>
      </c>
      <c r="C64" s="464" t="s">
        <v>438</v>
      </c>
      <c r="D64" s="464" t="s">
        <v>152</v>
      </c>
      <c r="E64" s="464" t="s">
        <v>439</v>
      </c>
      <c r="F64" s="464" t="s">
        <v>154</v>
      </c>
      <c r="G64" s="480">
        <v>800000</v>
      </c>
      <c r="H64" s="464" t="s">
        <v>440</v>
      </c>
      <c r="I64" s="464" t="s">
        <v>441</v>
      </c>
      <c r="J64" s="464" t="str">
        <f t="shared" si="3"/>
        <v>19.8.23</v>
      </c>
      <c r="K64" s="464" t="str">
        <f t="shared" si="4"/>
        <v>2003-07-20</v>
      </c>
      <c r="L64" s="464" t="str">
        <f t="shared" si="5"/>
        <v>2023-08-19</v>
      </c>
      <c r="M64" s="464"/>
      <c r="N64" s="464" t="s">
        <v>73</v>
      </c>
      <c r="O64" s="464" t="s">
        <v>36</v>
      </c>
      <c r="P64" s="464" t="s">
        <v>223</v>
      </c>
      <c r="Q64" s="464" t="s">
        <v>38</v>
      </c>
      <c r="R64" s="464" t="s">
        <v>442</v>
      </c>
      <c r="S64" s="480"/>
    </row>
    <row r="65" spans="1:20" ht="34.9" customHeight="1">
      <c r="A65" s="625">
        <v>63</v>
      </c>
      <c r="B65" s="464" t="s">
        <v>443</v>
      </c>
      <c r="C65" s="464" t="s">
        <v>444</v>
      </c>
      <c r="D65" s="464" t="s">
        <v>152</v>
      </c>
      <c r="E65" s="464" t="s">
        <v>445</v>
      </c>
      <c r="F65" s="464" t="s">
        <v>154</v>
      </c>
      <c r="G65" s="480">
        <v>800000</v>
      </c>
      <c r="H65" s="464" t="s">
        <v>446</v>
      </c>
      <c r="I65" s="464" t="s">
        <v>264</v>
      </c>
      <c r="J65" s="464" t="str">
        <f t="shared" si="3"/>
        <v>1.8.24</v>
      </c>
      <c r="K65" s="464" t="str">
        <f t="shared" si="4"/>
        <v>2024-05-02</v>
      </c>
      <c r="L65" s="464" t="str">
        <f t="shared" si="5"/>
        <v>2024-08-01</v>
      </c>
      <c r="M65" s="464"/>
      <c r="N65" s="464" t="s">
        <v>203</v>
      </c>
      <c r="O65" s="464" t="s">
        <v>36</v>
      </c>
      <c r="P65" s="464" t="s">
        <v>68</v>
      </c>
      <c r="Q65" s="464" t="s">
        <v>55</v>
      </c>
      <c r="R65" s="464" t="s">
        <v>447</v>
      </c>
      <c r="S65" s="480"/>
      <c r="T65" s="604" t="s">
        <v>448</v>
      </c>
    </row>
    <row r="66" spans="1:20" ht="34.9" customHeight="1">
      <c r="A66" s="625">
        <v>64</v>
      </c>
      <c r="B66" s="464" t="s">
        <v>449</v>
      </c>
      <c r="C66" s="464" t="s">
        <v>450</v>
      </c>
      <c r="D66" s="464" t="s">
        <v>152</v>
      </c>
      <c r="E66" s="464" t="s">
        <v>451</v>
      </c>
      <c r="F66" s="464" t="s">
        <v>154</v>
      </c>
      <c r="G66" s="480">
        <v>800000</v>
      </c>
      <c r="H66" s="464" t="s">
        <v>452</v>
      </c>
      <c r="I66" s="464" t="s">
        <v>453</v>
      </c>
      <c r="J66" s="464" t="str">
        <f t="shared" si="3"/>
        <v>6.6.24</v>
      </c>
      <c r="K66" s="464" t="str">
        <f t="shared" si="4"/>
        <v>2024-03-07</v>
      </c>
      <c r="L66" s="464" t="str">
        <f t="shared" si="5"/>
        <v>2024-06-06</v>
      </c>
      <c r="M66" s="464"/>
      <c r="N66" s="464" t="s">
        <v>203</v>
      </c>
      <c r="O66" s="464" t="s">
        <v>36</v>
      </c>
      <c r="P66" s="464" t="s">
        <v>198</v>
      </c>
      <c r="Q66" s="464" t="s">
        <v>38</v>
      </c>
      <c r="R66" s="464" t="s">
        <v>454</v>
      </c>
      <c r="S66" s="480"/>
    </row>
    <row r="67" spans="1:20" ht="34.9" customHeight="1">
      <c r="A67" s="625">
        <v>65</v>
      </c>
      <c r="B67" s="464" t="s">
        <v>455</v>
      </c>
      <c r="C67" s="464" t="s">
        <v>456</v>
      </c>
      <c r="D67" s="464" t="s">
        <v>152</v>
      </c>
      <c r="E67" s="464" t="s">
        <v>457</v>
      </c>
      <c r="F67" s="464" t="s">
        <v>79</v>
      </c>
      <c r="G67" s="480">
        <v>800000</v>
      </c>
      <c r="H67" s="464" t="s">
        <v>458</v>
      </c>
      <c r="I67" s="464" t="s">
        <v>459</v>
      </c>
      <c r="J67" s="464" t="str">
        <f t="shared" ref="J67:J97" si="6">TRIM(MID(I67, FIND("to", I67) + 2, LEN(I67)))</f>
        <v>22.7.24</v>
      </c>
      <c r="K67" s="464" t="str">
        <f t="shared" ref="K67:K97" si="7">TEXT(DATE(2000+RIGHT(I67,2), MID(I67, FIND(".", I67)+1, FIND(".", I67, FIND(".", I67)+1)-FIND(".", I67)-1), LEFT(I67, FIND(".", I67)-1)), "yyyy-mm-dd")</f>
        <v>2024-06-23</v>
      </c>
      <c r="L67" s="464" t="str">
        <f t="shared" ref="L67:L97" si="8">TEXT(DATE(2000+RIGHT(J67,2), MID(J67, FIND(".", J67)+1, FIND(".", J67, FIND(".", J67)+1)-FIND(".", J67)-1), LEFT(J67, FIND(".", J67)-1)), "yyyy-mm-dd")</f>
        <v>2024-07-22</v>
      </c>
      <c r="M67" s="464"/>
      <c r="N67" s="464" t="s">
        <v>73</v>
      </c>
      <c r="O67" s="464" t="s">
        <v>36</v>
      </c>
      <c r="P67" s="464" t="s">
        <v>223</v>
      </c>
      <c r="Q67" s="464" t="s">
        <v>38</v>
      </c>
      <c r="R67" s="464" t="s">
        <v>460</v>
      </c>
      <c r="S67" s="480"/>
    </row>
    <row r="68" spans="1:20" ht="34.9" customHeight="1">
      <c r="A68" s="625">
        <v>66</v>
      </c>
      <c r="B68" s="464" t="s">
        <v>461</v>
      </c>
      <c r="C68" s="464" t="s">
        <v>462</v>
      </c>
      <c r="D68" s="464" t="s">
        <v>152</v>
      </c>
      <c r="E68" s="464" t="s">
        <v>463</v>
      </c>
      <c r="F68" s="464" t="s">
        <v>464</v>
      </c>
      <c r="G68" s="480">
        <v>800000</v>
      </c>
      <c r="H68" s="464" t="s">
        <v>465</v>
      </c>
      <c r="I68" s="464" t="s">
        <v>466</v>
      </c>
      <c r="J68" s="464" t="str">
        <f t="shared" si="6"/>
        <v>30.6.24</v>
      </c>
      <c r="K68" s="464" t="str">
        <f t="shared" si="7"/>
        <v>2024-05-01</v>
      </c>
      <c r="L68" s="464" t="str">
        <f t="shared" si="8"/>
        <v>2024-06-30</v>
      </c>
      <c r="M68" s="464"/>
      <c r="N68" s="464" t="s">
        <v>35</v>
      </c>
      <c r="O68" s="464" t="s">
        <v>36</v>
      </c>
      <c r="P68" s="464" t="s">
        <v>44</v>
      </c>
      <c r="Q68" s="464" t="s">
        <v>38</v>
      </c>
      <c r="R68" s="464" t="s">
        <v>467</v>
      </c>
      <c r="S68" s="480"/>
    </row>
    <row r="69" spans="1:20" ht="34.9" customHeight="1">
      <c r="A69" s="625">
        <v>67</v>
      </c>
      <c r="B69" s="464" t="s">
        <v>468</v>
      </c>
      <c r="C69" s="464" t="s">
        <v>63</v>
      </c>
      <c r="D69" s="464" t="s">
        <v>152</v>
      </c>
      <c r="E69" s="464" t="s">
        <v>469</v>
      </c>
      <c r="F69" s="464" t="s">
        <v>154</v>
      </c>
      <c r="G69" s="480">
        <v>800000</v>
      </c>
      <c r="H69" s="464" t="s">
        <v>65</v>
      </c>
      <c r="I69" s="464" t="s">
        <v>470</v>
      </c>
      <c r="J69" s="464" t="str">
        <f t="shared" si="6"/>
        <v>26.6.24</v>
      </c>
      <c r="K69" s="464" t="str">
        <f t="shared" si="7"/>
        <v>2024-05-27</v>
      </c>
      <c r="L69" s="464" t="str">
        <f t="shared" si="8"/>
        <v>2024-06-26</v>
      </c>
      <c r="M69" s="464"/>
      <c r="N69" s="464" t="s">
        <v>53</v>
      </c>
      <c r="O69" s="464" t="s">
        <v>36</v>
      </c>
      <c r="P69" s="464" t="s">
        <v>60</v>
      </c>
      <c r="Q69" s="464" t="s">
        <v>38</v>
      </c>
      <c r="R69" s="464" t="s">
        <v>471</v>
      </c>
      <c r="S69" s="480"/>
    </row>
    <row r="70" spans="1:20" ht="34.9" customHeight="1">
      <c r="A70" s="625">
        <v>68</v>
      </c>
      <c r="B70" s="464" t="s">
        <v>472</v>
      </c>
      <c r="C70" s="464" t="s">
        <v>473</v>
      </c>
      <c r="D70" s="464" t="s">
        <v>152</v>
      </c>
      <c r="E70" s="464" t="s">
        <v>474</v>
      </c>
      <c r="F70" s="464" t="s">
        <v>154</v>
      </c>
      <c r="G70" s="480">
        <v>800000</v>
      </c>
      <c r="H70" s="464" t="s">
        <v>475</v>
      </c>
      <c r="I70" s="464" t="s">
        <v>476</v>
      </c>
      <c r="J70" s="464" t="str">
        <f t="shared" si="6"/>
        <v>12.4.24</v>
      </c>
      <c r="K70" s="464" t="str">
        <f t="shared" si="7"/>
        <v>2024-11-13</v>
      </c>
      <c r="L70" s="464" t="str">
        <f t="shared" si="8"/>
        <v>2024-04-12</v>
      </c>
      <c r="M70" s="464"/>
      <c r="N70" s="464" t="s">
        <v>73</v>
      </c>
      <c r="O70" s="464" t="s">
        <v>36</v>
      </c>
      <c r="P70" s="464" t="s">
        <v>37</v>
      </c>
      <c r="Q70" s="464" t="s">
        <v>38</v>
      </c>
      <c r="R70" s="464" t="s">
        <v>477</v>
      </c>
      <c r="S70" s="480"/>
    </row>
    <row r="71" spans="1:20" ht="34.9" customHeight="1">
      <c r="A71" s="625">
        <v>69</v>
      </c>
      <c r="B71" s="464" t="s">
        <v>478</v>
      </c>
      <c r="C71" s="464" t="s">
        <v>479</v>
      </c>
      <c r="D71" s="464" t="s">
        <v>480</v>
      </c>
      <c r="E71" s="464" t="s">
        <v>481</v>
      </c>
      <c r="F71" s="464"/>
      <c r="G71" s="480">
        <v>200000</v>
      </c>
      <c r="H71" s="464">
        <v>0</v>
      </c>
      <c r="I71" s="464" t="s">
        <v>482</v>
      </c>
      <c r="J71" s="464" t="str">
        <f t="shared" si="6"/>
        <v>7.12.21 အထိေပးျပီး</v>
      </c>
      <c r="K71" s="464" t="e">
        <f t="shared" si="7"/>
        <v>#VALUE!</v>
      </c>
      <c r="L71" s="464" t="e">
        <f t="shared" si="8"/>
        <v>#VALUE!</v>
      </c>
      <c r="M71" s="464"/>
      <c r="N71" s="464" t="s">
        <v>483</v>
      </c>
      <c r="O71" s="464" t="s">
        <v>114</v>
      </c>
      <c r="P71" s="464" t="s">
        <v>484</v>
      </c>
      <c r="Q71" s="464" t="s">
        <v>55</v>
      </c>
      <c r="R71" s="464" t="s">
        <v>104</v>
      </c>
      <c r="S71" s="480"/>
    </row>
    <row r="72" spans="1:20" ht="34.9" customHeight="1">
      <c r="A72" s="625">
        <v>70</v>
      </c>
      <c r="B72" s="464" t="s">
        <v>485</v>
      </c>
      <c r="C72" s="464" t="s">
        <v>486</v>
      </c>
      <c r="D72" s="464" t="s">
        <v>487</v>
      </c>
      <c r="E72" s="464" t="s">
        <v>488</v>
      </c>
      <c r="F72" s="464"/>
      <c r="G72" s="480">
        <v>500000</v>
      </c>
      <c r="H72" s="464" t="s">
        <v>489</v>
      </c>
      <c r="I72" s="464" t="s">
        <v>490</v>
      </c>
      <c r="J72" s="464" t="str">
        <f t="shared" si="6"/>
        <v>25.7.2019 ထိပေးပြီး</v>
      </c>
      <c r="K72" s="464" t="e">
        <f t="shared" si="7"/>
        <v>#VALUE!</v>
      </c>
      <c r="L72" s="464" t="e">
        <f t="shared" si="8"/>
        <v>#VALUE!</v>
      </c>
      <c r="M72" s="464"/>
      <c r="N72" s="464">
        <v>0</v>
      </c>
      <c r="O72" s="464"/>
      <c r="P72" s="464" t="s">
        <v>37</v>
      </c>
      <c r="Q72" s="464" t="s">
        <v>55</v>
      </c>
      <c r="R72" s="464" t="s">
        <v>491</v>
      </c>
      <c r="S72" s="480"/>
      <c r="T72" t="s">
        <v>149</v>
      </c>
    </row>
    <row r="73" spans="1:20" ht="34.9" customHeight="1">
      <c r="A73" s="625">
        <v>71</v>
      </c>
      <c r="B73" s="464" t="s">
        <v>492</v>
      </c>
      <c r="C73" s="464" t="s">
        <v>493</v>
      </c>
      <c r="D73" s="464" t="s">
        <v>494</v>
      </c>
      <c r="E73" s="464" t="s">
        <v>495</v>
      </c>
      <c r="F73" s="464" t="s">
        <v>139</v>
      </c>
      <c r="G73" s="480">
        <v>700000</v>
      </c>
      <c r="H73" s="464" t="s">
        <v>496</v>
      </c>
      <c r="I73" s="464" t="s">
        <v>497</v>
      </c>
      <c r="J73" s="464" t="str">
        <f t="shared" si="6"/>
        <v>22.1.24</v>
      </c>
      <c r="K73" s="464" t="str">
        <f t="shared" si="7"/>
        <v>2024-12-23</v>
      </c>
      <c r="L73" s="464" t="str">
        <f t="shared" si="8"/>
        <v>2024-01-22</v>
      </c>
      <c r="M73" s="464"/>
      <c r="N73" s="464" t="s">
        <v>35</v>
      </c>
      <c r="O73" s="464" t="s">
        <v>36</v>
      </c>
      <c r="P73" s="464" t="s">
        <v>54</v>
      </c>
      <c r="Q73" s="464" t="s">
        <v>55</v>
      </c>
      <c r="R73" s="464" t="s">
        <v>498</v>
      </c>
      <c r="S73" s="480"/>
    </row>
    <row r="74" spans="1:20" ht="34.9" customHeight="1">
      <c r="A74" s="625">
        <v>72</v>
      </c>
      <c r="B74" s="464" t="s">
        <v>499</v>
      </c>
      <c r="C74" s="464" t="s">
        <v>420</v>
      </c>
      <c r="D74" s="464" t="s">
        <v>500</v>
      </c>
      <c r="E74" s="464" t="s">
        <v>501</v>
      </c>
      <c r="F74" s="464"/>
      <c r="G74" s="480">
        <v>1300000</v>
      </c>
      <c r="H74" s="464" t="s">
        <v>422</v>
      </c>
      <c r="I74" s="464" t="s">
        <v>502</v>
      </c>
      <c r="J74" s="464" t="str">
        <f t="shared" si="6"/>
        <v>10.9.24</v>
      </c>
      <c r="K74" s="464" t="str">
        <f t="shared" si="7"/>
        <v>2024-07-11</v>
      </c>
      <c r="L74" s="464" t="str">
        <f t="shared" si="8"/>
        <v>2024-09-10</v>
      </c>
      <c r="M74" s="464"/>
      <c r="N74" s="464" t="s">
        <v>503</v>
      </c>
      <c r="O74" s="464" t="s">
        <v>36</v>
      </c>
      <c r="P74" s="464" t="s">
        <v>331</v>
      </c>
      <c r="Q74" s="464" t="s">
        <v>55</v>
      </c>
      <c r="R74" s="464" t="s">
        <v>504</v>
      </c>
      <c r="S74" s="480"/>
    </row>
    <row r="75" spans="1:20" ht="34.9" customHeight="1">
      <c r="A75" s="625">
        <v>73</v>
      </c>
      <c r="B75" s="464" t="s">
        <v>505</v>
      </c>
      <c r="C75" s="464" t="s">
        <v>506</v>
      </c>
      <c r="D75" s="464" t="s">
        <v>500</v>
      </c>
      <c r="E75" s="464" t="s">
        <v>507</v>
      </c>
      <c r="F75" s="464"/>
      <c r="G75" s="480">
        <v>800000</v>
      </c>
      <c r="H75" s="464" t="s">
        <v>508</v>
      </c>
      <c r="I75" s="464" t="s">
        <v>509</v>
      </c>
      <c r="J75" s="464" t="str">
        <f t="shared" si="6"/>
        <v>19.11.23</v>
      </c>
      <c r="K75" s="464" t="str">
        <f t="shared" si="7"/>
        <v>2023-05-20</v>
      </c>
      <c r="L75" s="464" t="str">
        <f t="shared" si="8"/>
        <v>2023-11-19</v>
      </c>
      <c r="M75" s="464"/>
      <c r="N75" s="464" t="s">
        <v>67</v>
      </c>
      <c r="O75" s="464" t="s">
        <v>36</v>
      </c>
      <c r="P75" s="464" t="s">
        <v>510</v>
      </c>
      <c r="Q75" s="464" t="s">
        <v>55</v>
      </c>
      <c r="R75" s="464" t="s">
        <v>511</v>
      </c>
      <c r="S75" s="480"/>
    </row>
    <row r="76" spans="1:20" ht="34.9" customHeight="1">
      <c r="A76" s="625">
        <v>74</v>
      </c>
      <c r="B76" s="464" t="s">
        <v>512</v>
      </c>
      <c r="C76" s="464" t="s">
        <v>513</v>
      </c>
      <c r="D76" s="464" t="s">
        <v>500</v>
      </c>
      <c r="E76" s="464" t="s">
        <v>514</v>
      </c>
      <c r="F76" s="464"/>
      <c r="G76" s="480">
        <v>1300000</v>
      </c>
      <c r="H76" s="464" t="s">
        <v>515</v>
      </c>
      <c r="I76" s="464" t="s">
        <v>516</v>
      </c>
      <c r="J76" s="464" t="str">
        <f t="shared" si="6"/>
        <v>8.8.24</v>
      </c>
      <c r="K76" s="464" t="str">
        <f t="shared" si="7"/>
        <v>2024-07-09</v>
      </c>
      <c r="L76" s="464" t="str">
        <f t="shared" si="8"/>
        <v>2024-08-08</v>
      </c>
      <c r="M76" s="464"/>
      <c r="N76" s="464" t="s">
        <v>517</v>
      </c>
      <c r="O76" s="464" t="s">
        <v>90</v>
      </c>
      <c r="P76" s="464" t="s">
        <v>366</v>
      </c>
      <c r="Q76" s="464" t="s">
        <v>38</v>
      </c>
      <c r="R76" s="464" t="s">
        <v>518</v>
      </c>
      <c r="S76" s="480"/>
    </row>
    <row r="77" spans="1:20" ht="34.9" customHeight="1">
      <c r="A77" s="625">
        <v>75</v>
      </c>
      <c r="B77" s="464" t="s">
        <v>519</v>
      </c>
      <c r="C77" s="464" t="s">
        <v>520</v>
      </c>
      <c r="D77" s="464" t="s">
        <v>521</v>
      </c>
      <c r="E77" s="464" t="s">
        <v>522</v>
      </c>
      <c r="F77" s="464" t="s">
        <v>50</v>
      </c>
      <c r="G77" s="480">
        <v>300000</v>
      </c>
      <c r="H77" s="464" t="s">
        <v>523</v>
      </c>
      <c r="I77" s="464" t="s">
        <v>524</v>
      </c>
      <c r="J77" s="464" t="str">
        <f t="shared" si="6"/>
        <v>23.6.24</v>
      </c>
      <c r="K77" s="464" t="str">
        <f t="shared" si="7"/>
        <v>2024-05-24</v>
      </c>
      <c r="L77" s="464" t="str">
        <f t="shared" si="8"/>
        <v>2024-06-23</v>
      </c>
      <c r="M77" s="464"/>
      <c r="N77" s="464" t="s">
        <v>53</v>
      </c>
      <c r="O77" s="464" t="s">
        <v>36</v>
      </c>
      <c r="P77" s="464" t="s">
        <v>60</v>
      </c>
      <c r="Q77" s="464" t="s">
        <v>55</v>
      </c>
      <c r="R77" s="464" t="s">
        <v>525</v>
      </c>
      <c r="S77" s="480"/>
    </row>
    <row r="78" spans="1:20" ht="34.9" customHeight="1">
      <c r="A78" s="625">
        <v>76</v>
      </c>
      <c r="B78" s="464" t="s">
        <v>526</v>
      </c>
      <c r="C78" s="464" t="s">
        <v>527</v>
      </c>
      <c r="D78" s="464" t="s">
        <v>528</v>
      </c>
      <c r="E78" s="464" t="s">
        <v>529</v>
      </c>
      <c r="F78" s="464" t="s">
        <v>530</v>
      </c>
      <c r="G78" s="480">
        <v>210000</v>
      </c>
      <c r="H78" s="464" t="s">
        <v>531</v>
      </c>
      <c r="I78" s="464" t="s">
        <v>532</v>
      </c>
      <c r="J78" s="464" t="str">
        <f t="shared" si="6"/>
        <v>27.7.24</v>
      </c>
      <c r="K78" s="464" t="str">
        <f t="shared" si="7"/>
        <v>2024-06-28</v>
      </c>
      <c r="L78" s="464" t="str">
        <f t="shared" si="8"/>
        <v>2024-07-27</v>
      </c>
      <c r="M78" s="464"/>
      <c r="N78" s="464" t="s">
        <v>73</v>
      </c>
      <c r="O78" s="464" t="s">
        <v>36</v>
      </c>
      <c r="P78" s="464" t="s">
        <v>252</v>
      </c>
      <c r="Q78" s="464" t="s">
        <v>55</v>
      </c>
      <c r="R78" s="464" t="s">
        <v>104</v>
      </c>
      <c r="S78" s="480"/>
    </row>
    <row r="79" spans="1:20" ht="34.9" customHeight="1">
      <c r="A79" s="625">
        <v>77</v>
      </c>
      <c r="B79" s="464" t="s">
        <v>533</v>
      </c>
      <c r="C79" s="464" t="s">
        <v>534</v>
      </c>
      <c r="D79" s="464" t="s">
        <v>130</v>
      </c>
      <c r="E79" s="464" t="s">
        <v>535</v>
      </c>
      <c r="F79" s="464" t="s">
        <v>139</v>
      </c>
      <c r="G79" s="480">
        <v>800000</v>
      </c>
      <c r="H79" s="464" t="s">
        <v>536</v>
      </c>
      <c r="I79" s="464" t="s">
        <v>537</v>
      </c>
      <c r="J79" s="464" t="str">
        <f t="shared" si="6"/>
        <v>21.3.24</v>
      </c>
      <c r="K79" s="464" t="str">
        <f t="shared" si="7"/>
        <v>2024-08-22</v>
      </c>
      <c r="L79" s="464" t="str">
        <f t="shared" si="8"/>
        <v>2024-03-21</v>
      </c>
      <c r="M79" s="464"/>
      <c r="N79" s="464" t="s">
        <v>67</v>
      </c>
      <c r="O79" s="464" t="s">
        <v>36</v>
      </c>
      <c r="P79" s="464" t="s">
        <v>538</v>
      </c>
      <c r="Q79" s="464" t="s">
        <v>55</v>
      </c>
      <c r="R79" s="464" t="s">
        <v>539</v>
      </c>
      <c r="S79" s="480"/>
      <c r="T79" s="605" t="s">
        <v>540</v>
      </c>
    </row>
    <row r="80" spans="1:20" ht="34.9" customHeight="1">
      <c r="A80" s="625">
        <v>78</v>
      </c>
      <c r="B80" s="464" t="s">
        <v>541</v>
      </c>
      <c r="C80" s="464" t="s">
        <v>542</v>
      </c>
      <c r="D80" s="464" t="s">
        <v>152</v>
      </c>
      <c r="E80" s="464" t="s">
        <v>543</v>
      </c>
      <c r="F80" s="464" t="s">
        <v>274</v>
      </c>
      <c r="G80" s="480">
        <v>600000</v>
      </c>
      <c r="H80" s="464" t="s">
        <v>544</v>
      </c>
      <c r="I80" s="464" t="s">
        <v>545</v>
      </c>
      <c r="J80" s="464" t="str">
        <f t="shared" si="6"/>
        <v>29.2.24</v>
      </c>
      <c r="K80" s="464" t="str">
        <f t="shared" si="7"/>
        <v>2024-12-01</v>
      </c>
      <c r="L80" s="464" t="str">
        <f t="shared" si="8"/>
        <v>2024-02-29</v>
      </c>
      <c r="M80" s="464"/>
      <c r="N80" s="464" t="s">
        <v>67</v>
      </c>
      <c r="O80" s="464" t="s">
        <v>36</v>
      </c>
      <c r="P80" s="464" t="s">
        <v>223</v>
      </c>
      <c r="Q80" s="464" t="s">
        <v>55</v>
      </c>
      <c r="R80" s="464" t="s">
        <v>546</v>
      </c>
      <c r="S80" s="480"/>
    </row>
    <row r="81" spans="1:20" ht="34.9" customHeight="1">
      <c r="A81" s="625">
        <v>79</v>
      </c>
      <c r="B81" s="464" t="s">
        <v>547</v>
      </c>
      <c r="C81" s="464" t="s">
        <v>548</v>
      </c>
      <c r="D81" s="464" t="s">
        <v>152</v>
      </c>
      <c r="E81" s="464" t="s">
        <v>549</v>
      </c>
      <c r="F81" s="464" t="s">
        <v>161</v>
      </c>
      <c r="G81" s="480">
        <v>800000</v>
      </c>
      <c r="H81" s="464" t="s">
        <v>550</v>
      </c>
      <c r="I81" s="464" t="s">
        <v>551</v>
      </c>
      <c r="J81" s="464" t="str">
        <f t="shared" si="6"/>
        <v>23.8.24</v>
      </c>
      <c r="K81" s="464" t="str">
        <f t="shared" si="7"/>
        <v>2024-07-24</v>
      </c>
      <c r="L81" s="464" t="str">
        <f t="shared" si="8"/>
        <v>2024-08-23</v>
      </c>
      <c r="M81" s="464"/>
      <c r="N81" s="464" t="s">
        <v>35</v>
      </c>
      <c r="O81" s="464" t="s">
        <v>36</v>
      </c>
      <c r="P81" s="464" t="s">
        <v>209</v>
      </c>
      <c r="Q81" s="464" t="s">
        <v>55</v>
      </c>
      <c r="R81" s="464" t="s">
        <v>552</v>
      </c>
      <c r="S81" s="480"/>
    </row>
    <row r="82" spans="1:20" ht="34.9" customHeight="1">
      <c r="A82" s="625">
        <v>80</v>
      </c>
      <c r="B82" s="464" t="s">
        <v>553</v>
      </c>
      <c r="C82" s="464" t="s">
        <v>554</v>
      </c>
      <c r="D82" s="464" t="s">
        <v>152</v>
      </c>
      <c r="E82" s="464" t="s">
        <v>555</v>
      </c>
      <c r="F82" s="464" t="s">
        <v>132</v>
      </c>
      <c r="G82" s="480">
        <v>500000</v>
      </c>
      <c r="H82" s="464">
        <v>0</v>
      </c>
      <c r="I82" s="464" t="s">
        <v>556</v>
      </c>
      <c r="J82" s="464" t="str">
        <f t="shared" si="6"/>
        <v>21.8.24</v>
      </c>
      <c r="K82" s="464" t="str">
        <f t="shared" si="7"/>
        <v>2024-07-22</v>
      </c>
      <c r="L82" s="464" t="str">
        <f t="shared" si="8"/>
        <v>2024-08-21</v>
      </c>
      <c r="M82" s="464"/>
      <c r="N82" s="464" t="s">
        <v>53</v>
      </c>
      <c r="O82" s="464" t="s">
        <v>36</v>
      </c>
      <c r="P82" s="464" t="s">
        <v>74</v>
      </c>
      <c r="Q82" s="464" t="s">
        <v>55</v>
      </c>
      <c r="R82" s="464" t="s">
        <v>557</v>
      </c>
      <c r="S82" s="480"/>
    </row>
    <row r="83" spans="1:20" ht="36.6" customHeight="1">
      <c r="A83" s="625">
        <v>81</v>
      </c>
      <c r="B83" s="464" t="s">
        <v>558</v>
      </c>
      <c r="C83" s="464" t="s">
        <v>559</v>
      </c>
      <c r="D83" s="464" t="s">
        <v>130</v>
      </c>
      <c r="E83" s="464" t="s">
        <v>560</v>
      </c>
      <c r="F83" s="464"/>
      <c r="G83" s="480">
        <v>800000</v>
      </c>
      <c r="H83" s="464" t="s">
        <v>561</v>
      </c>
      <c r="I83" s="464" t="s">
        <v>562</v>
      </c>
      <c r="J83" s="464" t="str">
        <f t="shared" si="6"/>
        <v>4.8.24</v>
      </c>
      <c r="K83" s="464" t="str">
        <f t="shared" si="7"/>
        <v>2024-04-05</v>
      </c>
      <c r="L83" s="464" t="str">
        <f t="shared" si="8"/>
        <v>2024-08-04</v>
      </c>
      <c r="M83" s="464"/>
      <c r="N83" s="464" t="s">
        <v>563</v>
      </c>
      <c r="O83" s="464"/>
      <c r="P83" s="464" t="s">
        <v>209</v>
      </c>
      <c r="Q83" s="464" t="s">
        <v>55</v>
      </c>
      <c r="R83" s="464" t="s">
        <v>564</v>
      </c>
      <c r="S83" s="480"/>
    </row>
    <row r="84" spans="1:20" ht="34.9" customHeight="1">
      <c r="A84" s="625">
        <v>82</v>
      </c>
      <c r="B84" s="464" t="s">
        <v>565</v>
      </c>
      <c r="C84" s="464" t="s">
        <v>566</v>
      </c>
      <c r="D84" s="464" t="s">
        <v>130</v>
      </c>
      <c r="E84" s="464" t="s">
        <v>567</v>
      </c>
      <c r="F84" s="464"/>
      <c r="G84" s="480">
        <v>800000</v>
      </c>
      <c r="H84" s="464" t="s">
        <v>111</v>
      </c>
      <c r="I84" s="464" t="s">
        <v>568</v>
      </c>
      <c r="J84" s="464" t="str">
        <f t="shared" si="6"/>
        <v>31.7.24</v>
      </c>
      <c r="K84" s="464" t="str">
        <f t="shared" si="7"/>
        <v>2024-06-20</v>
      </c>
      <c r="L84" s="464" t="str">
        <f t="shared" si="8"/>
        <v>2024-07-31</v>
      </c>
      <c r="M84" s="464"/>
      <c r="N84" s="464" t="s">
        <v>569</v>
      </c>
      <c r="O84" s="464" t="s">
        <v>36</v>
      </c>
      <c r="P84" s="464"/>
      <c r="Q84" s="464" t="s">
        <v>38</v>
      </c>
      <c r="R84" s="464" t="s">
        <v>570</v>
      </c>
      <c r="S84" s="480"/>
    </row>
    <row r="85" spans="1:20" ht="34.9" customHeight="1">
      <c r="A85" s="625">
        <v>83</v>
      </c>
      <c r="B85" s="464" t="s">
        <v>571</v>
      </c>
      <c r="C85" s="464" t="s">
        <v>572</v>
      </c>
      <c r="D85" s="464" t="s">
        <v>130</v>
      </c>
      <c r="E85" s="464" t="s">
        <v>573</v>
      </c>
      <c r="F85" s="464" t="s">
        <v>188</v>
      </c>
      <c r="G85" s="480">
        <v>800000</v>
      </c>
      <c r="H85" s="464" t="s">
        <v>574</v>
      </c>
      <c r="I85" s="464" t="s">
        <v>575</v>
      </c>
      <c r="J85" s="464" t="str">
        <f t="shared" si="6"/>
        <v>7.8.24</v>
      </c>
      <c r="K85" s="464" t="str">
        <f t="shared" si="7"/>
        <v>2024-07-08</v>
      </c>
      <c r="L85" s="464" t="str">
        <f t="shared" si="8"/>
        <v>2024-08-07</v>
      </c>
      <c r="M85" s="464"/>
      <c r="N85" s="464" t="s">
        <v>576</v>
      </c>
      <c r="O85" s="464" t="s">
        <v>36</v>
      </c>
      <c r="P85" s="464" t="s">
        <v>54</v>
      </c>
      <c r="Q85" s="464" t="s">
        <v>38</v>
      </c>
      <c r="R85" s="515" t="s">
        <v>104</v>
      </c>
      <c r="S85" s="480">
        <v>52500000</v>
      </c>
    </row>
    <row r="86" spans="1:20" ht="34.9" customHeight="1">
      <c r="A86" s="625">
        <v>84</v>
      </c>
      <c r="B86" s="464" t="s">
        <v>577</v>
      </c>
      <c r="C86" s="464" t="s">
        <v>578</v>
      </c>
      <c r="D86" s="464" t="s">
        <v>130</v>
      </c>
      <c r="E86" s="464" t="s">
        <v>579</v>
      </c>
      <c r="F86" s="464" t="s">
        <v>580</v>
      </c>
      <c r="G86" s="480">
        <v>800000</v>
      </c>
      <c r="H86" s="464" t="s">
        <v>581</v>
      </c>
      <c r="I86" s="464" t="s">
        <v>575</v>
      </c>
      <c r="J86" s="464" t="str">
        <f t="shared" si="6"/>
        <v>7.8.24</v>
      </c>
      <c r="K86" s="464" t="str">
        <f t="shared" si="7"/>
        <v>2024-07-08</v>
      </c>
      <c r="L86" s="464" t="str">
        <f t="shared" si="8"/>
        <v>2024-08-07</v>
      </c>
      <c r="M86" s="464"/>
      <c r="N86" s="464" t="s">
        <v>576</v>
      </c>
      <c r="O86" s="464" t="s">
        <v>36</v>
      </c>
      <c r="P86" s="464" t="s">
        <v>582</v>
      </c>
      <c r="Q86" s="464" t="s">
        <v>38</v>
      </c>
      <c r="R86" s="464" t="s">
        <v>583</v>
      </c>
      <c r="S86" s="480">
        <v>51500000</v>
      </c>
      <c r="T86" s="44"/>
    </row>
    <row r="87" spans="1:20" ht="34.9" customHeight="1">
      <c r="A87" s="625">
        <v>85</v>
      </c>
      <c r="B87" s="464" t="s">
        <v>584</v>
      </c>
      <c r="C87" s="464" t="s">
        <v>585</v>
      </c>
      <c r="D87" s="464" t="s">
        <v>130</v>
      </c>
      <c r="E87" s="464" t="s">
        <v>586</v>
      </c>
      <c r="F87" s="480" t="s">
        <v>154</v>
      </c>
      <c r="G87" s="480">
        <v>800000</v>
      </c>
      <c r="H87" s="464" t="s">
        <v>587</v>
      </c>
      <c r="I87" s="464" t="s">
        <v>588</v>
      </c>
      <c r="J87" s="464" t="str">
        <f t="shared" si="6"/>
        <v>5.8.24</v>
      </c>
      <c r="K87" s="464" t="str">
        <f t="shared" si="7"/>
        <v>2024-07-06</v>
      </c>
      <c r="L87" s="464" t="str">
        <f t="shared" si="8"/>
        <v>2024-08-05</v>
      </c>
      <c r="M87" s="464"/>
      <c r="N87" s="464" t="s">
        <v>589</v>
      </c>
      <c r="O87" s="464" t="s">
        <v>36</v>
      </c>
      <c r="P87" s="464" t="s">
        <v>538</v>
      </c>
      <c r="Q87" s="480" t="s">
        <v>38</v>
      </c>
      <c r="R87" s="480" t="s">
        <v>590</v>
      </c>
      <c r="S87" s="480">
        <v>55500000</v>
      </c>
    </row>
    <row r="88" spans="1:20" ht="34.9" customHeight="1">
      <c r="A88" s="625">
        <v>86</v>
      </c>
      <c r="B88" s="464" t="s">
        <v>591</v>
      </c>
      <c r="C88" s="464" t="s">
        <v>173</v>
      </c>
      <c r="D88" s="464" t="s">
        <v>130</v>
      </c>
      <c r="E88" s="464" t="s">
        <v>592</v>
      </c>
      <c r="F88" s="480" t="s">
        <v>50</v>
      </c>
      <c r="G88" s="480">
        <v>800000</v>
      </c>
      <c r="H88" s="464" t="s">
        <v>593</v>
      </c>
      <c r="I88" s="464" t="s">
        <v>575</v>
      </c>
      <c r="J88" s="464" t="str">
        <f t="shared" si="6"/>
        <v>7.8.24</v>
      </c>
      <c r="K88" s="464" t="str">
        <f t="shared" si="7"/>
        <v>2024-07-08</v>
      </c>
      <c r="L88" s="464" t="str">
        <f t="shared" si="8"/>
        <v>2024-08-07</v>
      </c>
      <c r="M88" s="464"/>
      <c r="N88" s="464" t="s">
        <v>594</v>
      </c>
      <c r="O88" s="464" t="s">
        <v>36</v>
      </c>
      <c r="P88" s="464" t="s">
        <v>68</v>
      </c>
      <c r="Q88" s="480" t="s">
        <v>38</v>
      </c>
      <c r="R88" s="480" t="s">
        <v>595</v>
      </c>
      <c r="S88" s="480">
        <v>56200000</v>
      </c>
      <c r="T88" s="44"/>
    </row>
    <row r="89" spans="1:20" ht="34.9" customHeight="1">
      <c r="A89" s="625">
        <v>87</v>
      </c>
      <c r="B89" s="464" t="s">
        <v>596</v>
      </c>
      <c r="C89" s="464" t="s">
        <v>572</v>
      </c>
      <c r="D89" s="464" t="s">
        <v>130</v>
      </c>
      <c r="E89" s="464" t="s">
        <v>597</v>
      </c>
      <c r="F89" s="480" t="s">
        <v>154</v>
      </c>
      <c r="G89" s="480">
        <v>800000</v>
      </c>
      <c r="H89" s="464" t="s">
        <v>574</v>
      </c>
      <c r="I89" s="464" t="s">
        <v>588</v>
      </c>
      <c r="J89" s="464" t="str">
        <f t="shared" si="6"/>
        <v>5.8.24</v>
      </c>
      <c r="K89" s="464" t="str">
        <f t="shared" si="7"/>
        <v>2024-07-06</v>
      </c>
      <c r="L89" s="464" t="str">
        <f t="shared" si="8"/>
        <v>2024-08-05</v>
      </c>
      <c r="M89" s="464"/>
      <c r="N89" s="464" t="s">
        <v>598</v>
      </c>
      <c r="O89" s="464" t="s">
        <v>36</v>
      </c>
      <c r="P89" s="464" t="s">
        <v>510</v>
      </c>
      <c r="Q89" s="480" t="s">
        <v>38</v>
      </c>
      <c r="R89" s="480" t="s">
        <v>599</v>
      </c>
      <c r="S89" s="480">
        <v>55500000</v>
      </c>
    </row>
    <row r="90" spans="1:20" ht="34.9" customHeight="1">
      <c r="A90" s="625">
        <v>88</v>
      </c>
      <c r="B90" s="464" t="s">
        <v>600</v>
      </c>
      <c r="C90" s="464" t="s">
        <v>601</v>
      </c>
      <c r="D90" s="464" t="s">
        <v>130</v>
      </c>
      <c r="E90" s="464" t="s">
        <v>602</v>
      </c>
      <c r="F90" s="480" t="s">
        <v>530</v>
      </c>
      <c r="G90" s="480">
        <v>800000</v>
      </c>
      <c r="H90" s="464" t="s">
        <v>574</v>
      </c>
      <c r="I90" s="464" t="s">
        <v>603</v>
      </c>
      <c r="J90" s="464" t="str">
        <f t="shared" si="6"/>
        <v>6.8.24</v>
      </c>
      <c r="K90" s="464" t="str">
        <f t="shared" si="7"/>
        <v>2024-07-07</v>
      </c>
      <c r="L90" s="464" t="str">
        <f t="shared" si="8"/>
        <v>2024-08-06</v>
      </c>
      <c r="M90" s="464"/>
      <c r="N90" s="464" t="s">
        <v>604</v>
      </c>
      <c r="O90" s="464" t="s">
        <v>36</v>
      </c>
      <c r="P90" s="464" t="s">
        <v>198</v>
      </c>
      <c r="Q90" s="480" t="s">
        <v>55</v>
      </c>
      <c r="R90" s="480" t="s">
        <v>605</v>
      </c>
      <c r="S90" s="480"/>
    </row>
    <row r="91" spans="1:20" ht="34.9" customHeight="1">
      <c r="A91" s="625">
        <v>89</v>
      </c>
      <c r="B91" s="464" t="s">
        <v>606</v>
      </c>
      <c r="C91" s="464" t="s">
        <v>607</v>
      </c>
      <c r="D91" s="464" t="s">
        <v>130</v>
      </c>
      <c r="E91" s="464" t="s">
        <v>608</v>
      </c>
      <c r="F91" s="480" t="s">
        <v>188</v>
      </c>
      <c r="G91" s="480">
        <v>800000</v>
      </c>
      <c r="H91" s="464" t="s">
        <v>111</v>
      </c>
      <c r="I91" s="464" t="s">
        <v>609</v>
      </c>
      <c r="J91" s="464" t="str">
        <f t="shared" si="6"/>
        <v>31.7.24</v>
      </c>
      <c r="K91" s="464" t="str">
        <f t="shared" si="7"/>
        <v>2024-07-23</v>
      </c>
      <c r="L91" s="464" t="str">
        <f t="shared" si="8"/>
        <v>2024-07-31</v>
      </c>
      <c r="M91" s="464"/>
      <c r="N91" s="464" t="s">
        <v>610</v>
      </c>
      <c r="O91" s="464" t="s">
        <v>36</v>
      </c>
      <c r="P91" s="464" t="s">
        <v>37</v>
      </c>
      <c r="Q91" s="480" t="s">
        <v>38</v>
      </c>
      <c r="R91" s="480" t="s">
        <v>611</v>
      </c>
      <c r="S91" s="480">
        <v>54100000</v>
      </c>
    </row>
    <row r="92" spans="1:20" ht="34.9" customHeight="1">
      <c r="A92" s="625">
        <v>90</v>
      </c>
      <c r="B92" s="464" t="s">
        <v>612</v>
      </c>
      <c r="C92" s="464" t="s">
        <v>613</v>
      </c>
      <c r="D92" s="464" t="s">
        <v>130</v>
      </c>
      <c r="E92" s="464" t="s">
        <v>614</v>
      </c>
      <c r="F92" s="480" t="s">
        <v>154</v>
      </c>
      <c r="G92" s="480">
        <v>800000</v>
      </c>
      <c r="H92" s="464" t="s">
        <v>615</v>
      </c>
      <c r="I92" s="515" t="s">
        <v>616</v>
      </c>
      <c r="J92" s="515" t="e">
        <f t="shared" si="6"/>
        <v>#VALUE!</v>
      </c>
      <c r="K92" s="515" t="e">
        <f t="shared" si="7"/>
        <v>#VALUE!</v>
      </c>
      <c r="L92" s="515" t="e">
        <f t="shared" si="8"/>
        <v>#VALUE!</v>
      </c>
      <c r="M92" s="464"/>
      <c r="N92" s="464" t="s">
        <v>617</v>
      </c>
      <c r="O92" s="464" t="s">
        <v>36</v>
      </c>
      <c r="P92" s="464" t="s">
        <v>538</v>
      </c>
      <c r="Q92" s="480" t="s">
        <v>38</v>
      </c>
      <c r="R92" s="480" t="s">
        <v>618</v>
      </c>
      <c r="S92" s="480">
        <v>59200000</v>
      </c>
      <c r="T92" s="44" t="s">
        <v>619</v>
      </c>
    </row>
    <row r="93" spans="1:20" ht="34.9" customHeight="1">
      <c r="A93" s="625">
        <v>91</v>
      </c>
      <c r="B93" s="464" t="s">
        <v>620</v>
      </c>
      <c r="C93" s="464" t="s">
        <v>621</v>
      </c>
      <c r="D93" s="464" t="s">
        <v>130</v>
      </c>
      <c r="E93" s="464" t="s">
        <v>622</v>
      </c>
      <c r="F93" s="480" t="s">
        <v>188</v>
      </c>
      <c r="G93" s="480">
        <v>800000</v>
      </c>
      <c r="H93" s="464" t="s">
        <v>623</v>
      </c>
      <c r="I93" s="464" t="s">
        <v>624</v>
      </c>
      <c r="J93" s="464" t="str">
        <f t="shared" si="6"/>
        <v>2.9.24</v>
      </c>
      <c r="K93" s="464" t="str">
        <f t="shared" si="7"/>
        <v>2024-06-03</v>
      </c>
      <c r="L93" s="464" t="str">
        <f t="shared" si="8"/>
        <v>2024-09-02</v>
      </c>
      <c r="M93" s="464"/>
      <c r="N93" s="464" t="s">
        <v>625</v>
      </c>
      <c r="O93" s="464" t="s">
        <v>36</v>
      </c>
      <c r="P93" s="464" t="s">
        <v>44</v>
      </c>
      <c r="Q93" s="480" t="s">
        <v>38</v>
      </c>
      <c r="R93" s="480" t="s">
        <v>626</v>
      </c>
      <c r="S93" s="480">
        <v>52300000</v>
      </c>
    </row>
    <row r="94" spans="1:20" ht="34.9" customHeight="1">
      <c r="A94" s="625">
        <v>92</v>
      </c>
      <c r="B94" s="464" t="s">
        <v>627</v>
      </c>
      <c r="C94" s="464" t="s">
        <v>628</v>
      </c>
      <c r="D94" s="464" t="s">
        <v>130</v>
      </c>
      <c r="E94" s="464" t="s">
        <v>629</v>
      </c>
      <c r="F94" s="480" t="s">
        <v>154</v>
      </c>
      <c r="G94" s="480">
        <v>800000</v>
      </c>
      <c r="H94" s="464">
        <v>0</v>
      </c>
      <c r="I94" s="464" t="s">
        <v>630</v>
      </c>
      <c r="J94" s="464" t="str">
        <f t="shared" si="6"/>
        <v>12.9.24</v>
      </c>
      <c r="K94" s="464" t="str">
        <f t="shared" si="7"/>
        <v>2024-06-13</v>
      </c>
      <c r="L94" s="464" t="str">
        <f t="shared" si="8"/>
        <v>2024-09-12</v>
      </c>
      <c r="M94" s="464"/>
      <c r="N94" s="464" t="s">
        <v>126</v>
      </c>
      <c r="O94" s="464" t="s">
        <v>36</v>
      </c>
      <c r="P94" s="464" t="s">
        <v>198</v>
      </c>
      <c r="Q94" s="480" t="s">
        <v>38</v>
      </c>
      <c r="R94" s="480" t="s">
        <v>631</v>
      </c>
      <c r="S94" s="480">
        <v>53500000</v>
      </c>
    </row>
    <row r="95" spans="1:20" ht="34.9" customHeight="1">
      <c r="A95" s="625">
        <v>93</v>
      </c>
      <c r="B95" s="464" t="s">
        <v>632</v>
      </c>
      <c r="C95" s="464" t="s">
        <v>633</v>
      </c>
      <c r="D95" s="464" t="s">
        <v>130</v>
      </c>
      <c r="E95" s="464" t="s">
        <v>634</v>
      </c>
      <c r="F95" s="480" t="s">
        <v>188</v>
      </c>
      <c r="G95" s="480">
        <v>800000</v>
      </c>
      <c r="H95" s="464" t="s">
        <v>635</v>
      </c>
      <c r="I95" s="464" t="s">
        <v>630</v>
      </c>
      <c r="J95" s="464" t="str">
        <f t="shared" si="6"/>
        <v>12.9.24</v>
      </c>
      <c r="K95" s="464" t="str">
        <f t="shared" si="7"/>
        <v>2024-06-13</v>
      </c>
      <c r="L95" s="464" t="str">
        <f t="shared" si="8"/>
        <v>2024-09-12</v>
      </c>
      <c r="M95" s="464"/>
      <c r="N95" s="464" t="s">
        <v>636</v>
      </c>
      <c r="O95" s="464" t="s">
        <v>36</v>
      </c>
      <c r="P95" s="464" t="s">
        <v>198</v>
      </c>
      <c r="Q95" s="480" t="s">
        <v>38</v>
      </c>
      <c r="R95" s="480" t="s">
        <v>637</v>
      </c>
      <c r="S95" s="480">
        <v>53000000</v>
      </c>
    </row>
    <row r="96" spans="1:20" ht="34.9" customHeight="1">
      <c r="A96" s="625">
        <v>94</v>
      </c>
      <c r="B96" s="464" t="s">
        <v>638</v>
      </c>
      <c r="C96" s="464" t="s">
        <v>639</v>
      </c>
      <c r="D96" s="464" t="s">
        <v>130</v>
      </c>
      <c r="E96" s="464" t="s">
        <v>640</v>
      </c>
      <c r="F96" s="480" t="s">
        <v>188</v>
      </c>
      <c r="G96" s="480">
        <v>800000</v>
      </c>
      <c r="H96" s="464" t="s">
        <v>641</v>
      </c>
      <c r="I96" s="464" t="s">
        <v>294</v>
      </c>
      <c r="J96" s="464" t="str">
        <f t="shared" si="6"/>
        <v>24.9.24</v>
      </c>
      <c r="K96" s="464" t="str">
        <f t="shared" si="7"/>
        <v>2024-06-25</v>
      </c>
      <c r="L96" s="464" t="str">
        <f t="shared" si="8"/>
        <v>2024-09-24</v>
      </c>
      <c r="M96" s="464"/>
      <c r="N96" s="464" t="s">
        <v>642</v>
      </c>
      <c r="O96" s="464" t="s">
        <v>36</v>
      </c>
      <c r="P96" s="464" t="s">
        <v>60</v>
      </c>
      <c r="Q96" s="480" t="s">
        <v>38</v>
      </c>
      <c r="R96" s="480" t="s">
        <v>643</v>
      </c>
      <c r="S96" s="480">
        <v>53000000</v>
      </c>
      <c r="T96" t="s">
        <v>644</v>
      </c>
    </row>
    <row r="97" spans="1:20" ht="34.9" hidden="1" customHeight="1">
      <c r="A97" s="625">
        <v>95</v>
      </c>
      <c r="B97" s="464" t="s">
        <v>645</v>
      </c>
      <c r="C97" s="464">
        <v>0</v>
      </c>
      <c r="D97" s="464" t="s">
        <v>130</v>
      </c>
      <c r="E97" s="464" t="s">
        <v>646</v>
      </c>
      <c r="F97" s="480" t="s">
        <v>580</v>
      </c>
      <c r="G97" s="480"/>
      <c r="H97" s="464"/>
      <c r="I97" s="464"/>
      <c r="J97" s="464" t="e">
        <f t="shared" si="6"/>
        <v>#VALUE!</v>
      </c>
      <c r="K97" s="464" t="e">
        <f t="shared" si="7"/>
        <v>#VALUE!</v>
      </c>
      <c r="L97" s="464" t="e">
        <f t="shared" si="8"/>
        <v>#VALUE!</v>
      </c>
      <c r="M97" s="464"/>
      <c r="N97" s="464"/>
      <c r="O97" s="464"/>
      <c r="P97" s="464" t="s">
        <v>538</v>
      </c>
      <c r="Q97" s="480" t="s">
        <v>38</v>
      </c>
      <c r="R97" s="480"/>
      <c r="S97" s="480">
        <v>64800000</v>
      </c>
      <c r="T97" t="s">
        <v>647</v>
      </c>
    </row>
    <row r="98" spans="1:20" ht="34.9" customHeight="1">
      <c r="G98" s="481"/>
    </row>
    <row r="99" spans="1:20" ht="34.9" customHeight="1">
      <c r="G99" s="615"/>
    </row>
    <row r="100" spans="1:20" ht="34.9" customHeight="1">
      <c r="G100" s="615"/>
    </row>
  </sheetData>
  <mergeCells count="1">
    <mergeCell ref="A1:Q1"/>
  </mergeCells>
  <phoneticPr fontId="5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2E7C-AF67-44E8-ACCD-B3140A95F75E}">
  <dimension ref="A1:M13"/>
  <sheetViews>
    <sheetView workbookViewId="0">
      <selection activeCell="A7" sqref="A7"/>
    </sheetView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639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130</v>
      </c>
      <c r="C5" s="7" t="s">
        <v>640</v>
      </c>
      <c r="D5" s="409" t="s">
        <v>638</v>
      </c>
      <c r="E5" s="9" t="s">
        <v>661</v>
      </c>
      <c r="F5" s="10" t="s">
        <v>662</v>
      </c>
      <c r="G5" s="9" t="s">
        <v>663</v>
      </c>
      <c r="H5" s="9">
        <v>800000</v>
      </c>
      <c r="I5" s="146" t="s">
        <v>664</v>
      </c>
    </row>
    <row r="6" spans="1:13" ht="29.45" customHeight="1">
      <c r="A6" s="7"/>
      <c r="B6" s="7"/>
      <c r="C6" s="7"/>
      <c r="D6" s="7"/>
      <c r="E6" s="9" t="s">
        <v>630</v>
      </c>
      <c r="F6" s="10" t="s">
        <v>662</v>
      </c>
      <c r="G6" s="9" t="s">
        <v>663</v>
      </c>
      <c r="H6" s="9">
        <v>2400000</v>
      </c>
      <c r="I6" s="146" t="s">
        <v>664</v>
      </c>
    </row>
    <row r="7" spans="1:13" ht="29.45" customHeight="1">
      <c r="A7" s="7"/>
      <c r="B7" s="7"/>
      <c r="C7" s="7"/>
      <c r="D7" s="7"/>
      <c r="E7" s="9"/>
      <c r="F7" s="10"/>
      <c r="G7" s="9"/>
      <c r="H7" s="9"/>
      <c r="I7" s="146"/>
    </row>
    <row r="8" spans="1:13" ht="29.45" customHeight="1">
      <c r="A8" s="7"/>
      <c r="B8" s="7"/>
      <c r="C8" s="7"/>
      <c r="D8" s="7"/>
      <c r="E8" s="9"/>
      <c r="F8" s="10"/>
      <c r="G8" s="9"/>
      <c r="H8" s="9"/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8EE8C125-7008-450A-9F82-EB78E702B078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C614-805C-4922-A0DF-BFC10A325B5B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628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130</v>
      </c>
      <c r="C5" s="7" t="s">
        <v>629</v>
      </c>
      <c r="D5" s="409" t="s">
        <v>627</v>
      </c>
      <c r="E5" s="9" t="s">
        <v>661</v>
      </c>
      <c r="F5" s="10" t="s">
        <v>666</v>
      </c>
      <c r="G5" s="9" t="s">
        <v>663</v>
      </c>
      <c r="H5" s="9">
        <v>800000</v>
      </c>
      <c r="I5" s="146" t="s">
        <v>667</v>
      </c>
    </row>
    <row r="6" spans="1:13" ht="29.45" customHeight="1">
      <c r="A6" s="7"/>
      <c r="B6" s="7"/>
      <c r="C6" s="7"/>
      <c r="D6" s="7"/>
      <c r="E6" s="9" t="s">
        <v>630</v>
      </c>
      <c r="F6" s="10" t="s">
        <v>666</v>
      </c>
      <c r="G6" s="9" t="s">
        <v>663</v>
      </c>
      <c r="H6" s="9">
        <v>2400000</v>
      </c>
      <c r="I6" s="146"/>
    </row>
    <row r="7" spans="1:13" ht="29.45" customHeight="1">
      <c r="A7" s="7"/>
      <c r="B7" s="7"/>
      <c r="C7" s="7"/>
      <c r="D7" s="7"/>
      <c r="E7" s="9"/>
      <c r="F7" s="10"/>
      <c r="G7" s="9"/>
      <c r="H7" s="9"/>
      <c r="I7" s="146"/>
    </row>
    <row r="8" spans="1:13" ht="29.45" customHeight="1">
      <c r="A8" s="7"/>
      <c r="B8" s="7"/>
      <c r="C8" s="7"/>
      <c r="D8" s="7"/>
      <c r="E8" s="9"/>
      <c r="F8" s="10"/>
      <c r="G8" s="9"/>
      <c r="H8" s="9"/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F91ABFD3-1E44-4170-8C13-287584B89FAB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613D-147A-48AE-953C-E59B97782836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668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130</v>
      </c>
      <c r="C5" s="7" t="s">
        <v>634</v>
      </c>
      <c r="D5" s="409" t="s">
        <v>632</v>
      </c>
      <c r="E5" s="9" t="s">
        <v>661</v>
      </c>
      <c r="F5" s="10" t="s">
        <v>669</v>
      </c>
      <c r="G5" s="9" t="s">
        <v>663</v>
      </c>
      <c r="H5" s="9">
        <v>800000</v>
      </c>
      <c r="I5" s="146" t="s">
        <v>670</v>
      </c>
    </row>
    <row r="6" spans="1:13" ht="29.45" customHeight="1">
      <c r="A6" s="7"/>
      <c r="B6" s="7"/>
      <c r="C6" s="7"/>
      <c r="D6" s="7"/>
      <c r="E6" s="9" t="s">
        <v>630</v>
      </c>
      <c r="F6" s="10" t="s">
        <v>669</v>
      </c>
      <c r="G6" s="9" t="s">
        <v>663</v>
      </c>
      <c r="H6" s="9">
        <v>2400000</v>
      </c>
      <c r="I6" s="146"/>
    </row>
    <row r="7" spans="1:13" ht="29.45" customHeight="1">
      <c r="A7" s="7"/>
      <c r="B7" s="7"/>
      <c r="C7" s="7"/>
      <c r="D7" s="7"/>
      <c r="E7" s="9"/>
      <c r="F7" s="10"/>
      <c r="G7" s="9"/>
      <c r="H7" s="9"/>
      <c r="I7" s="146"/>
    </row>
    <row r="8" spans="1:13" ht="29.45" customHeight="1">
      <c r="A8" s="7"/>
      <c r="B8" s="7"/>
      <c r="C8" s="7"/>
      <c r="D8" s="7"/>
      <c r="E8" s="9"/>
      <c r="F8" s="10"/>
      <c r="G8" s="9"/>
      <c r="H8" s="9"/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F0EEFD47-6785-4140-8EDA-E17B57CF131C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071E-511A-4824-A69D-260CE6A4E4B5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621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130</v>
      </c>
      <c r="C5" s="7" t="s">
        <v>622</v>
      </c>
      <c r="D5" s="409" t="s">
        <v>671</v>
      </c>
      <c r="E5" s="9" t="s">
        <v>661</v>
      </c>
      <c r="F5" s="10"/>
      <c r="G5" s="9" t="s">
        <v>672</v>
      </c>
      <c r="H5" s="9">
        <v>800000</v>
      </c>
      <c r="I5" s="146" t="s">
        <v>664</v>
      </c>
    </row>
    <row r="6" spans="1:13" ht="29.45" customHeight="1">
      <c r="A6" s="7"/>
      <c r="B6" s="7"/>
      <c r="C6" s="7"/>
      <c r="D6" s="7"/>
      <c r="E6" s="9" t="s">
        <v>624</v>
      </c>
      <c r="F6" s="10"/>
      <c r="G6" s="9" t="s">
        <v>672</v>
      </c>
      <c r="H6" s="9">
        <v>2400000</v>
      </c>
      <c r="I6" s="146" t="s">
        <v>664</v>
      </c>
    </row>
    <row r="7" spans="1:13" ht="29.45" customHeight="1">
      <c r="A7" s="7"/>
      <c r="B7" s="7"/>
      <c r="C7" s="7"/>
      <c r="D7" s="7"/>
      <c r="E7" s="9"/>
      <c r="F7" s="10"/>
      <c r="G7" s="9"/>
      <c r="H7" s="9"/>
      <c r="I7" s="146"/>
    </row>
    <row r="8" spans="1:13" ht="29.45" customHeight="1">
      <c r="A8" s="7"/>
      <c r="B8" s="7"/>
      <c r="C8" s="7"/>
      <c r="D8" s="7"/>
      <c r="E8" s="9"/>
      <c r="F8" s="10"/>
      <c r="G8" s="9"/>
      <c r="H8" s="9"/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BAABF9F9-42F0-4449-939B-11D39DED5D42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6C42-9D5A-4BF7-A4B1-586CBE8F40B4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613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21" t="s">
        <v>660</v>
      </c>
    </row>
    <row r="5" spans="1:13" ht="29.45" customHeight="1">
      <c r="A5" s="7">
        <v>1</v>
      </c>
      <c r="B5" s="7" t="s">
        <v>130</v>
      </c>
      <c r="C5" s="7" t="s">
        <v>614</v>
      </c>
      <c r="D5" s="409" t="s">
        <v>612</v>
      </c>
      <c r="E5" s="624" t="s">
        <v>673</v>
      </c>
      <c r="F5" s="10"/>
      <c r="G5" s="9"/>
      <c r="H5" s="622"/>
      <c r="I5" s="623" t="s">
        <v>674</v>
      </c>
    </row>
    <row r="6" spans="1:13" ht="29.45" customHeight="1">
      <c r="A6" s="7"/>
      <c r="B6" s="7"/>
      <c r="C6" s="7"/>
      <c r="D6" s="7"/>
      <c r="E6" s="9"/>
      <c r="F6" s="10"/>
      <c r="G6" s="9"/>
      <c r="H6" s="622"/>
      <c r="I6" s="176"/>
    </row>
    <row r="7" spans="1:13" ht="29.45" customHeight="1">
      <c r="A7" s="7"/>
      <c r="B7" s="7"/>
      <c r="C7" s="7"/>
      <c r="D7" s="7"/>
      <c r="E7" s="9"/>
      <c r="F7" s="10"/>
      <c r="G7" s="9"/>
      <c r="H7" s="622"/>
      <c r="I7" s="176"/>
    </row>
    <row r="8" spans="1:13" ht="29.45" customHeight="1">
      <c r="A8" s="7"/>
      <c r="B8" s="7"/>
      <c r="C8" s="7"/>
      <c r="D8" s="7"/>
      <c r="E8" s="9"/>
      <c r="F8" s="10"/>
      <c r="G8" s="9"/>
      <c r="H8" s="622"/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5F095059-2B52-41CC-ABDD-B1DA2E1213E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672B-178B-415F-AA3A-9FB4D3A78AD4}">
  <dimension ref="A1:M27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675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676</v>
      </c>
      <c r="C5" s="7" t="s">
        <v>58</v>
      </c>
      <c r="D5" s="409" t="s">
        <v>57</v>
      </c>
      <c r="E5" s="9" t="s">
        <v>661</v>
      </c>
      <c r="F5" s="10" t="s">
        <v>677</v>
      </c>
      <c r="G5" s="9" t="s">
        <v>678</v>
      </c>
      <c r="H5" s="9">
        <v>200000</v>
      </c>
      <c r="I5" s="146" t="s">
        <v>664</v>
      </c>
    </row>
    <row r="6" spans="1:13" ht="29.45" customHeight="1">
      <c r="A6" s="7"/>
      <c r="B6" s="7"/>
      <c r="C6" s="7" t="s">
        <v>679</v>
      </c>
      <c r="D6" s="7"/>
      <c r="E6" s="9" t="s">
        <v>680</v>
      </c>
      <c r="F6" s="10" t="s">
        <v>681</v>
      </c>
      <c r="G6" s="9" t="s">
        <v>682</v>
      </c>
      <c r="H6" s="9">
        <v>120000</v>
      </c>
      <c r="I6" s="146"/>
    </row>
    <row r="7" spans="1:13" ht="29.45" customHeight="1">
      <c r="A7" s="7"/>
      <c r="B7" s="7"/>
      <c r="C7" s="7"/>
      <c r="D7" s="7"/>
      <c r="E7" s="9" t="s">
        <v>683</v>
      </c>
      <c r="F7" s="10"/>
      <c r="G7" s="9"/>
      <c r="H7" s="9"/>
      <c r="I7" s="146"/>
    </row>
    <row r="8" spans="1:13" ht="29.45" customHeight="1">
      <c r="A8" s="7"/>
      <c r="B8" s="7"/>
      <c r="C8" s="7"/>
      <c r="D8" s="7"/>
      <c r="E8" s="9" t="s">
        <v>684</v>
      </c>
      <c r="F8" s="10"/>
      <c r="G8" s="9" t="s">
        <v>685</v>
      </c>
      <c r="H8" s="9">
        <v>-200000</v>
      </c>
    </row>
    <row r="9" spans="1:13" ht="29.45" customHeight="1">
      <c r="A9" s="7"/>
      <c r="B9" s="7"/>
      <c r="C9" s="7"/>
      <c r="D9" s="7"/>
      <c r="E9" s="9" t="s">
        <v>686</v>
      </c>
      <c r="F9" s="10" t="s">
        <v>687</v>
      </c>
      <c r="G9" s="9" t="s">
        <v>682</v>
      </c>
      <c r="H9" s="9">
        <v>80000</v>
      </c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200000</v>
      </c>
      <c r="K13" s="560"/>
      <c r="L13" s="549" t="s">
        <v>665</v>
      </c>
      <c r="M13" s="549">
        <f>SUM(M4:M11)</f>
        <v>0</v>
      </c>
    </row>
    <row r="16" spans="1:13" ht="21.75">
      <c r="A16" s="644" t="s">
        <v>688</v>
      </c>
      <c r="B16" s="644"/>
      <c r="C16" s="644"/>
      <c r="D16" s="644"/>
      <c r="E16" s="644"/>
      <c r="F16" s="644"/>
      <c r="G16" s="644"/>
      <c r="H16" s="644"/>
    </row>
    <row r="17" spans="1:9" ht="21.75">
      <c r="A17" s="645" t="s">
        <v>653</v>
      </c>
      <c r="B17" s="647" t="s">
        <v>654</v>
      </c>
      <c r="C17" s="645" t="s">
        <v>655</v>
      </c>
      <c r="D17" s="645" t="s">
        <v>12</v>
      </c>
      <c r="E17" s="647" t="s">
        <v>656</v>
      </c>
      <c r="F17" s="645" t="s">
        <v>657</v>
      </c>
      <c r="G17" s="647" t="s">
        <v>658</v>
      </c>
      <c r="H17" s="3" t="s">
        <v>659</v>
      </c>
    </row>
    <row r="18" spans="1:9" ht="21.75">
      <c r="A18" s="646"/>
      <c r="B18" s="646"/>
      <c r="C18" s="646"/>
      <c r="D18" s="646"/>
      <c r="E18" s="648"/>
      <c r="F18" s="646"/>
      <c r="G18" s="646"/>
      <c r="H18" s="6" t="s">
        <v>660</v>
      </c>
    </row>
    <row r="19" spans="1:9" ht="21.75">
      <c r="A19" s="7">
        <v>1</v>
      </c>
      <c r="B19" s="7" t="s">
        <v>676</v>
      </c>
      <c r="C19" s="7" t="s">
        <v>58</v>
      </c>
      <c r="D19" s="409" t="s">
        <v>57</v>
      </c>
      <c r="E19" s="9" t="s">
        <v>661</v>
      </c>
      <c r="F19" s="10" t="s">
        <v>689</v>
      </c>
      <c r="G19" s="9" t="s">
        <v>690</v>
      </c>
      <c r="H19" s="9">
        <v>200000</v>
      </c>
      <c r="I19" s="146" t="s">
        <v>664</v>
      </c>
    </row>
    <row r="20" spans="1:9" ht="21.75">
      <c r="A20" s="7"/>
      <c r="B20" s="7"/>
      <c r="C20" s="7" t="s">
        <v>679</v>
      </c>
      <c r="D20" s="7"/>
      <c r="E20" s="9"/>
      <c r="F20" s="10"/>
      <c r="G20" s="9"/>
      <c r="H20" s="9"/>
    </row>
    <row r="21" spans="1:9" ht="21.75">
      <c r="A21" s="7"/>
      <c r="B21" s="7"/>
      <c r="C21" s="7"/>
      <c r="D21" s="7"/>
      <c r="E21" s="9"/>
      <c r="F21" s="10"/>
      <c r="G21" s="9"/>
      <c r="H21" s="9"/>
    </row>
    <row r="22" spans="1:9" ht="21.75">
      <c r="A22" s="7"/>
      <c r="B22" s="7"/>
      <c r="C22" s="7"/>
      <c r="D22" s="7"/>
      <c r="E22" s="9"/>
      <c r="F22" s="10"/>
      <c r="G22" s="9"/>
      <c r="H22" s="9"/>
    </row>
    <row r="23" spans="1:9" ht="21.75">
      <c r="A23" s="7"/>
      <c r="B23" s="7"/>
      <c r="C23" s="7"/>
      <c r="D23" s="7"/>
      <c r="E23" s="9"/>
      <c r="F23" s="10"/>
      <c r="G23" s="9"/>
      <c r="H23" s="9"/>
    </row>
    <row r="24" spans="1:9" ht="21.75">
      <c r="A24" s="7"/>
      <c r="B24" s="7"/>
      <c r="C24" s="7"/>
      <c r="D24" s="7"/>
      <c r="E24" s="9"/>
      <c r="F24" s="10"/>
      <c r="G24" s="9"/>
      <c r="H24" s="9"/>
    </row>
    <row r="25" spans="1:9" ht="21.75">
      <c r="A25" s="7"/>
      <c r="B25" s="7"/>
      <c r="C25" s="7"/>
      <c r="D25" s="7"/>
      <c r="E25" s="9"/>
      <c r="F25" s="10"/>
      <c r="G25" s="9"/>
      <c r="H25" s="9"/>
    </row>
    <row r="26" spans="1:9" ht="21.75">
      <c r="A26" s="7"/>
      <c r="B26" s="7"/>
      <c r="C26" s="7"/>
      <c r="D26" s="7"/>
      <c r="E26" s="9"/>
      <c r="F26" s="10"/>
      <c r="G26" s="9"/>
      <c r="H26" s="9"/>
    </row>
    <row r="27" spans="1:9" ht="21.75">
      <c r="A27" s="12"/>
      <c r="B27" s="12"/>
      <c r="C27" s="12"/>
      <c r="D27" s="12"/>
      <c r="E27" s="13"/>
      <c r="F27" s="14"/>
      <c r="G27" s="13"/>
      <c r="H27" s="13">
        <f>SUM(H19:H23)</f>
        <v>200000</v>
      </c>
    </row>
  </sheetData>
  <mergeCells count="16">
    <mergeCell ref="A2:H2"/>
    <mergeCell ref="A3:A4"/>
    <mergeCell ref="B3:B4"/>
    <mergeCell ref="C3:C4"/>
    <mergeCell ref="D3:D4"/>
    <mergeCell ref="E3:E4"/>
    <mergeCell ref="F3:F4"/>
    <mergeCell ref="G3:G4"/>
    <mergeCell ref="A16:H16"/>
    <mergeCell ref="A17:A18"/>
    <mergeCell ref="B17:B18"/>
    <mergeCell ref="C17:C18"/>
    <mergeCell ref="D17:D18"/>
    <mergeCell ref="E17:E18"/>
    <mergeCell ref="F17:F18"/>
    <mergeCell ref="G17:G18"/>
  </mergeCells>
  <hyperlinks>
    <hyperlink ref="A1" location="Name!A1" display="Name!A1" xr:uid="{C40991B0-207B-4BD8-A6B7-F126F4B7BA98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9D6B-B590-44C8-9FD5-B13AC5091114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607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130</v>
      </c>
      <c r="C5" s="7" t="s">
        <v>608</v>
      </c>
      <c r="D5" s="409" t="s">
        <v>606</v>
      </c>
      <c r="E5" s="9" t="s">
        <v>661</v>
      </c>
      <c r="F5" s="10" t="s">
        <v>691</v>
      </c>
      <c r="G5" s="9" t="s">
        <v>692</v>
      </c>
      <c r="H5" s="9">
        <v>800000</v>
      </c>
      <c r="I5" s="146" t="s">
        <v>664</v>
      </c>
    </row>
    <row r="6" spans="1:13" ht="29.45" customHeight="1">
      <c r="A6" s="7"/>
      <c r="B6" s="7"/>
      <c r="C6" s="7" t="s">
        <v>679</v>
      </c>
      <c r="D6" s="7"/>
      <c r="E6" s="9" t="s">
        <v>429</v>
      </c>
      <c r="F6" s="10" t="s">
        <v>691</v>
      </c>
      <c r="G6" s="9" t="s">
        <v>692</v>
      </c>
      <c r="H6" s="9">
        <v>1600000</v>
      </c>
      <c r="I6" s="146" t="s">
        <v>664</v>
      </c>
    </row>
    <row r="7" spans="1:13" ht="29.45" customHeight="1">
      <c r="A7" s="7"/>
      <c r="B7" s="7"/>
      <c r="C7" s="7"/>
      <c r="D7" s="7"/>
      <c r="E7" s="9" t="s">
        <v>609</v>
      </c>
      <c r="F7" s="10" t="s">
        <v>693</v>
      </c>
      <c r="G7" s="9" t="s">
        <v>694</v>
      </c>
      <c r="H7" s="9">
        <v>232200</v>
      </c>
      <c r="I7" s="146" t="s">
        <v>664</v>
      </c>
    </row>
    <row r="8" spans="1:13" ht="29.45" customHeight="1">
      <c r="A8" s="7"/>
      <c r="B8" s="7"/>
      <c r="C8" s="7"/>
      <c r="D8" s="7"/>
      <c r="E8" s="9"/>
      <c r="F8" s="10"/>
      <c r="G8" s="9"/>
      <c r="H8" s="9"/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2632200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EDA7FFA0-466B-4EE8-BC7E-E3EE28232407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7047-953A-4680-9C39-8672DBDD3387}">
  <dimension ref="A1:J54"/>
  <sheetViews>
    <sheetView workbookViewId="0"/>
  </sheetViews>
  <sheetFormatPr defaultRowHeight="15"/>
  <cols>
    <col min="2" max="2" width="15.5703125" customWidth="1"/>
    <col min="3" max="3" width="21.85546875" customWidth="1"/>
    <col min="5" max="5" width="22.7109375" customWidth="1"/>
    <col min="7" max="7" width="25.140625" customWidth="1"/>
    <col min="8" max="8" width="15.5703125" customWidth="1"/>
    <col min="10" max="10" width="19.85546875" customWidth="1"/>
  </cols>
  <sheetData>
    <row r="1" spans="1:10">
      <c r="A1" s="410" t="s">
        <v>695</v>
      </c>
    </row>
    <row r="2" spans="1:10" ht="31.5" customHeight="1">
      <c r="A2" s="651" t="s">
        <v>696</v>
      </c>
      <c r="B2" s="651"/>
      <c r="C2" s="651"/>
      <c r="D2" s="651"/>
      <c r="E2" s="651"/>
      <c r="F2" s="651"/>
      <c r="G2" s="651"/>
      <c r="H2" s="651"/>
      <c r="I2" s="651"/>
    </row>
    <row r="3" spans="1:10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0" ht="25.5" customHeight="1">
      <c r="A4" s="18">
        <v>1</v>
      </c>
      <c r="B4" s="18" t="s">
        <v>701</v>
      </c>
      <c r="C4" s="18" t="s">
        <v>318</v>
      </c>
      <c r="D4" s="18" t="s">
        <v>702</v>
      </c>
      <c r="E4" s="19" t="s">
        <v>703</v>
      </c>
      <c r="F4" s="20" t="s">
        <v>704</v>
      </c>
      <c r="G4" s="18" t="s">
        <v>705</v>
      </c>
      <c r="H4" s="21">
        <v>500000</v>
      </c>
      <c r="I4" s="21"/>
    </row>
    <row r="5" spans="1:10" ht="25.5" customHeight="1">
      <c r="A5" s="18"/>
      <c r="B5" s="18"/>
      <c r="C5" s="18"/>
      <c r="D5" s="18"/>
      <c r="E5" s="22"/>
      <c r="F5" s="20" t="s">
        <v>704</v>
      </c>
      <c r="G5" s="18" t="s">
        <v>706</v>
      </c>
      <c r="H5" s="21">
        <v>500000</v>
      </c>
      <c r="I5" s="21"/>
    </row>
    <row r="6" spans="1:10" ht="25.5" customHeight="1">
      <c r="A6" s="18"/>
      <c r="B6" s="18"/>
      <c r="C6" s="18"/>
      <c r="D6" s="18"/>
      <c r="E6" s="23" t="s">
        <v>707</v>
      </c>
      <c r="F6" s="20" t="s">
        <v>708</v>
      </c>
      <c r="G6" s="18" t="s">
        <v>709</v>
      </c>
      <c r="H6" s="21">
        <v>1000000</v>
      </c>
      <c r="I6" s="21"/>
      <c r="J6" t="s">
        <v>710</v>
      </c>
    </row>
    <row r="7" spans="1:10" ht="25.5" customHeight="1">
      <c r="A7" s="18"/>
      <c r="B7" s="18"/>
      <c r="C7" s="18"/>
      <c r="D7" s="18"/>
      <c r="E7" s="18" t="s">
        <v>711</v>
      </c>
      <c r="F7" s="20" t="s">
        <v>712</v>
      </c>
      <c r="G7" s="18" t="s">
        <v>713</v>
      </c>
      <c r="H7" s="21">
        <v>1000000</v>
      </c>
      <c r="I7" s="21"/>
      <c r="J7" t="s">
        <v>710</v>
      </c>
    </row>
    <row r="8" spans="1:10" ht="25.5" customHeight="1">
      <c r="A8" s="18"/>
      <c r="B8" s="18"/>
      <c r="C8" s="18"/>
      <c r="D8" s="18"/>
      <c r="E8" s="18" t="s">
        <v>714</v>
      </c>
      <c r="F8" s="20" t="s">
        <v>715</v>
      </c>
      <c r="G8" s="18" t="s">
        <v>716</v>
      </c>
      <c r="H8" s="21">
        <v>1000000</v>
      </c>
      <c r="I8" s="21"/>
      <c r="J8" t="s">
        <v>710</v>
      </c>
    </row>
    <row r="9" spans="1:10" ht="25.5" customHeight="1">
      <c r="A9" s="18"/>
      <c r="B9" s="18"/>
      <c r="C9" s="18"/>
      <c r="D9" s="18"/>
      <c r="E9" s="18" t="s">
        <v>717</v>
      </c>
      <c r="F9" s="20" t="s">
        <v>718</v>
      </c>
      <c r="G9" s="18" t="s">
        <v>719</v>
      </c>
      <c r="H9" s="21">
        <v>1000000</v>
      </c>
      <c r="I9" s="21"/>
      <c r="J9" t="s">
        <v>720</v>
      </c>
    </row>
    <row r="10" spans="1:10" ht="25.5" customHeight="1">
      <c r="A10" s="18"/>
      <c r="B10" s="18"/>
      <c r="C10" s="18"/>
      <c r="D10" s="18"/>
      <c r="E10" s="649" t="s">
        <v>721</v>
      </c>
      <c r="F10" s="20" t="s">
        <v>722</v>
      </c>
      <c r="G10" s="18" t="s">
        <v>723</v>
      </c>
      <c r="H10" s="21">
        <v>200000</v>
      </c>
      <c r="I10" s="21"/>
    </row>
    <row r="11" spans="1:10" ht="25.5" customHeight="1">
      <c r="A11" s="18"/>
      <c r="B11" s="18"/>
      <c r="C11" s="18"/>
      <c r="D11" s="18"/>
      <c r="E11" s="650"/>
      <c r="F11" s="20" t="s">
        <v>722</v>
      </c>
      <c r="G11" s="18" t="s">
        <v>724</v>
      </c>
      <c r="H11" s="21">
        <v>1200000</v>
      </c>
      <c r="I11" s="21"/>
      <c r="J11" t="s">
        <v>725</v>
      </c>
    </row>
    <row r="12" spans="1:10" ht="25.5" customHeight="1">
      <c r="A12" s="18"/>
      <c r="B12" s="18"/>
      <c r="C12" s="18"/>
      <c r="D12" s="18"/>
      <c r="E12" s="18"/>
      <c r="F12" s="20"/>
      <c r="G12" s="18"/>
      <c r="H12" s="21"/>
      <c r="I12" s="21"/>
    </row>
    <row r="13" spans="1:10" ht="25.5" customHeight="1">
      <c r="A13" s="18"/>
      <c r="B13" s="18"/>
      <c r="C13" s="18"/>
      <c r="D13" s="18"/>
      <c r="E13" s="18"/>
      <c r="F13" s="21"/>
      <c r="G13" s="18"/>
      <c r="H13" s="21"/>
      <c r="I13" s="21"/>
    </row>
    <row r="14" spans="1:10" ht="25.5" customHeight="1">
      <c r="A14" s="18"/>
      <c r="B14" s="18"/>
      <c r="C14" s="18"/>
      <c r="D14" s="18"/>
      <c r="E14" s="18"/>
      <c r="F14" s="21"/>
      <c r="G14" s="18"/>
      <c r="H14" s="21"/>
      <c r="I14" s="21"/>
    </row>
    <row r="15" spans="1:10" ht="25.5" customHeight="1">
      <c r="A15" s="18"/>
      <c r="B15" s="18"/>
      <c r="C15" s="18"/>
      <c r="D15" s="18"/>
      <c r="E15" s="18"/>
      <c r="F15" s="21"/>
      <c r="G15" s="18"/>
      <c r="H15" s="21"/>
      <c r="I15" s="21"/>
    </row>
    <row r="16" spans="1:10" ht="25.5" customHeight="1">
      <c r="A16" s="18"/>
      <c r="B16" s="18"/>
      <c r="C16" s="18"/>
      <c r="D16" s="18"/>
      <c r="E16" s="18"/>
      <c r="F16" s="21"/>
      <c r="G16" s="18"/>
      <c r="H16" s="21">
        <f>SUM(H4:H15)</f>
        <v>6400000</v>
      </c>
      <c r="I16" s="21"/>
    </row>
    <row r="21" spans="1:10" ht="18.75">
      <c r="A21" s="651" t="s">
        <v>696</v>
      </c>
      <c r="B21" s="651"/>
      <c r="C21" s="651"/>
      <c r="D21" s="651"/>
      <c r="E21" s="651"/>
      <c r="F21" s="651"/>
      <c r="G21" s="651"/>
      <c r="H21" s="651"/>
      <c r="I21" s="651"/>
    </row>
    <row r="22" spans="1:10" ht="28.5">
      <c r="A22" s="16" t="s">
        <v>11</v>
      </c>
      <c r="B22" s="17" t="s">
        <v>697</v>
      </c>
      <c r="C22" s="17" t="s">
        <v>698</v>
      </c>
      <c r="D22" s="17" t="s">
        <v>12</v>
      </c>
      <c r="E22" s="16" t="s">
        <v>699</v>
      </c>
      <c r="F22" s="16" t="s">
        <v>657</v>
      </c>
      <c r="G22" s="17" t="s">
        <v>700</v>
      </c>
      <c r="H22" s="16" t="s">
        <v>660</v>
      </c>
      <c r="I22" s="16" t="s">
        <v>27</v>
      </c>
    </row>
    <row r="23" spans="1:10">
      <c r="A23" s="18">
        <v>1</v>
      </c>
      <c r="B23" s="18" t="s">
        <v>701</v>
      </c>
      <c r="C23" s="18" t="s">
        <v>318</v>
      </c>
      <c r="D23" s="18" t="s">
        <v>702</v>
      </c>
      <c r="E23" s="19" t="s">
        <v>703</v>
      </c>
      <c r="F23" s="20" t="s">
        <v>726</v>
      </c>
      <c r="G23" s="18" t="s">
        <v>727</v>
      </c>
      <c r="H23" s="21">
        <v>600000</v>
      </c>
      <c r="I23" s="21"/>
    </row>
    <row r="24" spans="1:10">
      <c r="A24" s="18"/>
      <c r="B24" s="18"/>
      <c r="C24" s="18"/>
      <c r="D24" s="18"/>
      <c r="E24" s="22" t="s">
        <v>728</v>
      </c>
      <c r="F24" s="20" t="s">
        <v>726</v>
      </c>
      <c r="G24" s="18" t="s">
        <v>727</v>
      </c>
      <c r="H24" s="21">
        <v>600000</v>
      </c>
      <c r="I24" s="21"/>
    </row>
    <row r="25" spans="1:10">
      <c r="A25" s="18"/>
      <c r="B25" s="18"/>
      <c r="C25" s="18"/>
      <c r="D25" s="18"/>
      <c r="E25" s="23" t="s">
        <v>729</v>
      </c>
      <c r="F25" s="20" t="s">
        <v>730</v>
      </c>
      <c r="G25" s="18" t="s">
        <v>731</v>
      </c>
      <c r="H25" s="21">
        <v>600000</v>
      </c>
      <c r="I25" s="21"/>
      <c r="J25" t="s">
        <v>732</v>
      </c>
    </row>
    <row r="26" spans="1:10">
      <c r="A26" s="18"/>
      <c r="B26" s="18"/>
      <c r="C26" s="18"/>
      <c r="D26" s="18"/>
      <c r="E26" s="18"/>
      <c r="F26" s="20"/>
      <c r="G26" s="18"/>
      <c r="H26" s="21"/>
      <c r="I26" s="21"/>
    </row>
    <row r="27" spans="1:10">
      <c r="A27" s="18"/>
      <c r="B27" s="18"/>
      <c r="C27" s="18"/>
      <c r="D27" s="18"/>
      <c r="E27" s="18"/>
      <c r="F27" s="20"/>
      <c r="G27" s="18"/>
      <c r="H27" s="21"/>
      <c r="I27" s="21"/>
    </row>
    <row r="28" spans="1:10">
      <c r="A28" s="18"/>
      <c r="B28" s="18"/>
      <c r="C28" s="18"/>
      <c r="D28" s="18"/>
      <c r="E28" s="18"/>
      <c r="F28" s="20"/>
      <c r="G28" s="18"/>
      <c r="H28" s="21"/>
      <c r="I28" s="21"/>
    </row>
    <row r="29" spans="1:10">
      <c r="A29" s="18"/>
      <c r="B29" s="18"/>
      <c r="C29" s="18"/>
      <c r="D29" s="18"/>
      <c r="E29" s="649"/>
      <c r="F29" s="20"/>
      <c r="G29" s="18"/>
      <c r="H29" s="21"/>
      <c r="I29" s="21"/>
    </row>
    <row r="30" spans="1:10">
      <c r="A30" s="18"/>
      <c r="B30" s="18"/>
      <c r="C30" s="18"/>
      <c r="D30" s="18"/>
      <c r="E30" s="650"/>
      <c r="F30" s="20"/>
      <c r="G30" s="18"/>
      <c r="H30" s="21"/>
      <c r="I30" s="21"/>
    </row>
    <row r="31" spans="1:10">
      <c r="A31" s="18"/>
      <c r="B31" s="18"/>
      <c r="C31" s="18"/>
      <c r="D31" s="18"/>
      <c r="E31" s="18"/>
      <c r="F31" s="20"/>
      <c r="G31" s="18"/>
      <c r="H31" s="21"/>
      <c r="I31" s="21"/>
    </row>
    <row r="32" spans="1:10">
      <c r="A32" s="18"/>
      <c r="B32" s="18"/>
      <c r="C32" s="18"/>
      <c r="D32" s="18"/>
      <c r="E32" s="18"/>
      <c r="F32" s="21"/>
      <c r="G32" s="18"/>
      <c r="H32" s="21"/>
      <c r="I32" s="21"/>
    </row>
    <row r="33" spans="1:10">
      <c r="A33" s="18"/>
      <c r="B33" s="18"/>
      <c r="C33" s="18"/>
      <c r="D33" s="18"/>
      <c r="E33" s="18"/>
      <c r="F33" s="21"/>
      <c r="G33" s="18"/>
      <c r="H33" s="21"/>
      <c r="I33" s="21"/>
    </row>
    <row r="34" spans="1:10">
      <c r="A34" s="18"/>
      <c r="B34" s="18"/>
      <c r="C34" s="18"/>
      <c r="D34" s="18"/>
      <c r="E34" s="18"/>
      <c r="F34" s="21"/>
      <c r="G34" s="18"/>
      <c r="H34" s="21"/>
      <c r="I34" s="21"/>
    </row>
    <row r="35" spans="1:10">
      <c r="A35" s="18"/>
      <c r="B35" s="18"/>
      <c r="C35" s="18"/>
      <c r="D35" s="18"/>
      <c r="E35" s="18"/>
      <c r="F35" s="21"/>
      <c r="G35" s="18"/>
      <c r="H35" s="21">
        <f>SUM(H23:H34)</f>
        <v>1800000</v>
      </c>
      <c r="I35" s="21"/>
    </row>
    <row r="40" spans="1:10" ht="18.75">
      <c r="A40" s="651" t="s">
        <v>733</v>
      </c>
      <c r="B40" s="651"/>
      <c r="C40" s="651"/>
      <c r="D40" s="651"/>
      <c r="E40" s="651"/>
      <c r="F40" s="651"/>
      <c r="G40" s="651"/>
      <c r="H40" s="651"/>
      <c r="I40" s="651"/>
    </row>
    <row r="41" spans="1:10" ht="28.5">
      <c r="A41" s="16" t="s">
        <v>11</v>
      </c>
      <c r="B41" s="17" t="s">
        <v>697</v>
      </c>
      <c r="C41" s="17" t="s">
        <v>698</v>
      </c>
      <c r="D41" s="17" t="s">
        <v>12</v>
      </c>
      <c r="E41" s="16" t="s">
        <v>699</v>
      </c>
      <c r="F41" s="16" t="s">
        <v>657</v>
      </c>
      <c r="G41" s="17" t="s">
        <v>700</v>
      </c>
      <c r="H41" s="16" t="s">
        <v>660</v>
      </c>
      <c r="I41" s="16" t="s">
        <v>27</v>
      </c>
    </row>
    <row r="42" spans="1:10">
      <c r="A42" s="18">
        <v>1</v>
      </c>
      <c r="B42" s="18" t="s">
        <v>701</v>
      </c>
      <c r="C42" s="18" t="s">
        <v>318</v>
      </c>
      <c r="D42" s="18" t="s">
        <v>702</v>
      </c>
      <c r="E42" s="318" t="s">
        <v>703</v>
      </c>
      <c r="F42" s="20" t="s">
        <v>734</v>
      </c>
      <c r="G42" s="18" t="s">
        <v>735</v>
      </c>
      <c r="H42" s="21">
        <v>800000</v>
      </c>
      <c r="I42" s="21"/>
      <c r="J42" t="s">
        <v>736</v>
      </c>
    </row>
    <row r="43" spans="1:10">
      <c r="A43" s="18"/>
      <c r="B43" s="18"/>
      <c r="C43" s="18"/>
      <c r="D43" s="18"/>
      <c r="E43" s="610" t="s">
        <v>737</v>
      </c>
      <c r="F43" s="20" t="s">
        <v>734</v>
      </c>
      <c r="G43" s="18" t="s">
        <v>735</v>
      </c>
      <c r="H43" s="21">
        <v>800000</v>
      </c>
      <c r="I43" s="21"/>
      <c r="J43" t="s">
        <v>738</v>
      </c>
    </row>
    <row r="44" spans="1:10">
      <c r="A44" s="18"/>
      <c r="B44" s="18"/>
      <c r="C44" s="18"/>
      <c r="D44" s="18"/>
      <c r="E44" s="614" t="s">
        <v>739</v>
      </c>
      <c r="F44" s="20" t="s">
        <v>740</v>
      </c>
      <c r="G44" s="18" t="s">
        <v>741</v>
      </c>
      <c r="H44" s="21">
        <v>800000</v>
      </c>
      <c r="I44" s="21"/>
      <c r="J44" t="s">
        <v>738</v>
      </c>
    </row>
    <row r="45" spans="1:10">
      <c r="A45" s="18"/>
      <c r="B45" s="18"/>
      <c r="C45" s="18"/>
      <c r="D45" s="18"/>
      <c r="E45" s="18" t="s">
        <v>742</v>
      </c>
      <c r="F45" s="20" t="s">
        <v>743</v>
      </c>
      <c r="G45" s="18" t="s">
        <v>744</v>
      </c>
      <c r="H45" s="21">
        <v>800000</v>
      </c>
      <c r="I45" s="21"/>
      <c r="J45" s="44" t="s">
        <v>664</v>
      </c>
    </row>
    <row r="46" spans="1:10">
      <c r="A46" s="18"/>
      <c r="B46" s="18"/>
      <c r="C46" s="18"/>
      <c r="D46" s="18"/>
      <c r="E46" s="18" t="s">
        <v>320</v>
      </c>
      <c r="F46" s="20" t="s">
        <v>745</v>
      </c>
      <c r="G46" s="18" t="s">
        <v>746</v>
      </c>
      <c r="H46" s="21">
        <v>800000</v>
      </c>
      <c r="I46" s="21"/>
      <c r="J46" t="s">
        <v>738</v>
      </c>
    </row>
    <row r="47" spans="1:10">
      <c r="A47" s="18"/>
      <c r="B47" s="18"/>
      <c r="C47" s="18"/>
      <c r="D47" s="18"/>
      <c r="E47" s="18"/>
      <c r="F47" s="20"/>
      <c r="G47" s="18"/>
      <c r="H47" s="21"/>
      <c r="I47" s="21"/>
    </row>
    <row r="48" spans="1:10">
      <c r="A48" s="18"/>
      <c r="B48" s="18"/>
      <c r="C48" s="18"/>
      <c r="D48" s="18"/>
      <c r="E48" s="649"/>
      <c r="F48" s="20"/>
      <c r="G48" s="18"/>
      <c r="H48" s="21"/>
      <c r="I48" s="21"/>
    </row>
    <row r="49" spans="1:9">
      <c r="A49" s="18"/>
      <c r="B49" s="18"/>
      <c r="C49" s="18"/>
      <c r="D49" s="18"/>
      <c r="E49" s="650"/>
      <c r="F49" s="20"/>
      <c r="G49" s="18"/>
      <c r="H49" s="21"/>
      <c r="I49" s="21"/>
    </row>
    <row r="50" spans="1:9">
      <c r="A50" s="18"/>
      <c r="B50" s="18"/>
      <c r="C50" s="18"/>
      <c r="D50" s="18"/>
      <c r="E50" s="18"/>
      <c r="F50" s="20"/>
      <c r="G50" s="18"/>
      <c r="H50" s="21"/>
      <c r="I50" s="21"/>
    </row>
    <row r="51" spans="1:9">
      <c r="A51" s="18"/>
      <c r="B51" s="18"/>
      <c r="C51" s="18"/>
      <c r="D51" s="18"/>
      <c r="E51" s="18"/>
      <c r="F51" s="21"/>
      <c r="G51" s="18"/>
      <c r="H51" s="21"/>
      <c r="I51" s="21"/>
    </row>
    <row r="52" spans="1:9">
      <c r="A52" s="18"/>
      <c r="B52" s="18"/>
      <c r="C52" s="18"/>
      <c r="D52" s="18"/>
      <c r="E52" s="18"/>
      <c r="F52" s="21"/>
      <c r="G52" s="18"/>
      <c r="H52" s="21"/>
      <c r="I52" s="21"/>
    </row>
    <row r="53" spans="1:9">
      <c r="A53" s="18"/>
      <c r="B53" s="18"/>
      <c r="C53" s="18"/>
      <c r="D53" s="18"/>
      <c r="E53" s="18"/>
      <c r="F53" s="21"/>
      <c r="G53" s="18"/>
      <c r="H53" s="21"/>
      <c r="I53" s="21"/>
    </row>
    <row r="54" spans="1:9">
      <c r="A54" s="18"/>
      <c r="B54" s="18"/>
      <c r="C54" s="18"/>
      <c r="D54" s="18"/>
      <c r="E54" s="18"/>
      <c r="F54" s="21"/>
      <c r="G54" s="18"/>
      <c r="H54" s="21">
        <f>SUM(H42:H53)</f>
        <v>4000000</v>
      </c>
      <c r="I54" s="21"/>
    </row>
  </sheetData>
  <mergeCells count="6">
    <mergeCell ref="E48:E49"/>
    <mergeCell ref="A2:I2"/>
    <mergeCell ref="E10:E11"/>
    <mergeCell ref="A21:I21"/>
    <mergeCell ref="E29:E30"/>
    <mergeCell ref="A40:I40"/>
  </mergeCells>
  <hyperlinks>
    <hyperlink ref="A1" location="Name!A1" display="Name!A1" xr:uid="{E83E4A4F-D914-4A06-84C0-C920BDD8467A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1B06-A9B3-40AF-B594-EA0D2C8CDB5C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1.140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173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  <c r="I4" s="626"/>
    </row>
    <row r="5" spans="1:13" ht="29.45" customHeight="1">
      <c r="A5" s="7">
        <v>1</v>
      </c>
      <c r="B5" s="7" t="s">
        <v>130</v>
      </c>
      <c r="C5" s="7" t="s">
        <v>592</v>
      </c>
      <c r="D5" s="409" t="s">
        <v>591</v>
      </c>
      <c r="E5" s="9" t="s">
        <v>661</v>
      </c>
      <c r="F5" s="10" t="s">
        <v>747</v>
      </c>
      <c r="G5" s="9" t="s">
        <v>748</v>
      </c>
      <c r="H5" s="9">
        <v>800000</v>
      </c>
      <c r="I5" s="146" t="s">
        <v>749</v>
      </c>
    </row>
    <row r="6" spans="1:13" ht="29.45" customHeight="1">
      <c r="A6" s="7"/>
      <c r="B6" s="7"/>
      <c r="C6" s="7" t="s">
        <v>679</v>
      </c>
      <c r="D6" s="7"/>
      <c r="E6" s="9" t="s">
        <v>750</v>
      </c>
      <c r="F6" s="10" t="s">
        <v>747</v>
      </c>
      <c r="G6" s="9" t="s">
        <v>748</v>
      </c>
      <c r="H6" s="9">
        <v>800000</v>
      </c>
      <c r="I6" s="146" t="s">
        <v>749</v>
      </c>
    </row>
    <row r="7" spans="1:13" ht="29.45" customHeight="1">
      <c r="A7" s="7"/>
      <c r="B7" s="7"/>
      <c r="C7" s="7"/>
      <c r="D7" s="7"/>
      <c r="E7" s="9" t="s">
        <v>751</v>
      </c>
      <c r="F7" s="10" t="s">
        <v>752</v>
      </c>
      <c r="G7" s="9" t="s">
        <v>753</v>
      </c>
      <c r="H7" s="9">
        <v>800000</v>
      </c>
      <c r="I7" s="146" t="s">
        <v>754</v>
      </c>
    </row>
    <row r="8" spans="1:13" ht="29.45" customHeight="1">
      <c r="A8" s="7"/>
      <c r="B8" s="7"/>
      <c r="C8" s="7"/>
      <c r="D8" s="7"/>
      <c r="E8" s="9" t="s">
        <v>575</v>
      </c>
      <c r="F8" s="10">
        <v>515</v>
      </c>
      <c r="G8" s="9" t="s">
        <v>755</v>
      </c>
      <c r="H8" s="9">
        <v>800000</v>
      </c>
      <c r="I8" s="642" t="s">
        <v>736</v>
      </c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D020969F-D81D-4CC3-AC0B-D964E7522F67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284D-F3E7-43D6-854B-04F1C7D3EFA9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16.28515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756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130</v>
      </c>
      <c r="C5" s="7" t="s">
        <v>597</v>
      </c>
      <c r="D5" s="409" t="s">
        <v>596</v>
      </c>
      <c r="E5" s="9" t="s">
        <v>661</v>
      </c>
      <c r="F5" s="10" t="s">
        <v>757</v>
      </c>
      <c r="G5" s="9" t="s">
        <v>758</v>
      </c>
      <c r="H5" s="9">
        <v>800000</v>
      </c>
      <c r="I5" s="146" t="s">
        <v>667</v>
      </c>
    </row>
    <row r="6" spans="1:13" ht="29.45" customHeight="1">
      <c r="A6" s="7"/>
      <c r="B6" s="7"/>
      <c r="C6" s="7" t="s">
        <v>679</v>
      </c>
      <c r="D6" s="7"/>
      <c r="E6" s="9" t="s">
        <v>759</v>
      </c>
      <c r="F6" s="10" t="s">
        <v>757</v>
      </c>
      <c r="G6" s="9" t="s">
        <v>758</v>
      </c>
      <c r="H6" s="9">
        <v>800000</v>
      </c>
      <c r="I6" s="146" t="s">
        <v>667</v>
      </c>
    </row>
    <row r="7" spans="1:13" ht="29.45" customHeight="1">
      <c r="A7" s="7"/>
      <c r="B7" s="7"/>
      <c r="C7" s="7"/>
      <c r="D7" s="7"/>
      <c r="E7" s="9" t="s">
        <v>760</v>
      </c>
      <c r="F7" s="10" t="s">
        <v>761</v>
      </c>
      <c r="G7" s="9" t="s">
        <v>762</v>
      </c>
      <c r="H7" s="9">
        <v>800000</v>
      </c>
      <c r="I7" s="146" t="s">
        <v>667</v>
      </c>
    </row>
    <row r="8" spans="1:13" ht="29.45" customHeight="1">
      <c r="A8" s="7"/>
      <c r="B8" s="7"/>
      <c r="C8" s="7"/>
      <c r="D8" s="7"/>
      <c r="E8" s="9" t="s">
        <v>588</v>
      </c>
      <c r="F8" s="10" t="s">
        <v>763</v>
      </c>
      <c r="G8" s="9" t="s">
        <v>764</v>
      </c>
      <c r="H8" s="9">
        <v>800000</v>
      </c>
      <c r="I8" s="146" t="s">
        <v>667</v>
      </c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19B18AC7-68D8-4581-ADE1-78AEFEAC41D8}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753B-E637-4C1A-A457-841169F3A327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16.28515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585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130</v>
      </c>
      <c r="C5" s="7" t="s">
        <v>586</v>
      </c>
      <c r="D5" s="409" t="s">
        <v>584</v>
      </c>
      <c r="E5" s="9" t="s">
        <v>661</v>
      </c>
      <c r="F5" s="10" t="s">
        <v>765</v>
      </c>
      <c r="G5" s="9" t="s">
        <v>758</v>
      </c>
      <c r="H5" s="9">
        <v>800000</v>
      </c>
      <c r="I5" s="146" t="s">
        <v>766</v>
      </c>
    </row>
    <row r="6" spans="1:13" ht="29.45" customHeight="1">
      <c r="A6" s="7"/>
      <c r="B6" s="7"/>
      <c r="C6" s="7" t="s">
        <v>679</v>
      </c>
      <c r="D6" s="7"/>
      <c r="E6" s="9" t="s">
        <v>759</v>
      </c>
      <c r="F6" s="10" t="s">
        <v>765</v>
      </c>
      <c r="G6" s="9" t="s">
        <v>758</v>
      </c>
      <c r="H6" s="9">
        <v>800000</v>
      </c>
      <c r="I6" s="146"/>
    </row>
    <row r="7" spans="1:13" ht="29.45" customHeight="1">
      <c r="A7" s="7"/>
      <c r="B7" s="7"/>
      <c r="C7" s="7"/>
      <c r="D7" s="7"/>
      <c r="E7" s="9" t="s">
        <v>760</v>
      </c>
      <c r="F7" s="10" t="s">
        <v>767</v>
      </c>
      <c r="G7" s="9" t="s">
        <v>663</v>
      </c>
      <c r="H7" s="9">
        <v>800000</v>
      </c>
      <c r="I7" s="146" t="s">
        <v>768</v>
      </c>
    </row>
    <row r="8" spans="1:13" ht="29.45" customHeight="1">
      <c r="A8" s="7"/>
      <c r="B8" s="7"/>
      <c r="C8" s="7"/>
      <c r="D8" s="7"/>
      <c r="E8" s="9" t="s">
        <v>588</v>
      </c>
      <c r="F8" s="10" t="s">
        <v>769</v>
      </c>
      <c r="G8" s="9" t="s">
        <v>694</v>
      </c>
      <c r="H8" s="9">
        <v>800000</v>
      </c>
      <c r="I8" t="s">
        <v>770</v>
      </c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  <c r="K13" s="560"/>
      <c r="L13" s="549" t="s">
        <v>665</v>
      </c>
      <c r="M13" s="549">
        <f>SUM(M4:M11)</f>
        <v>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7B466A5A-AB7E-4571-8411-5C2D1189782D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284E-009E-4C0C-AB3B-C4D5D2B75F23}">
  <dimension ref="A1:M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16.28515625" customWidth="1"/>
    <col min="11" max="11" width="13.85546875" style="444" customWidth="1"/>
    <col min="12" max="12" width="29.42578125" style="444" customWidth="1"/>
    <col min="13" max="13" width="23.140625" style="444" customWidth="1"/>
  </cols>
  <sheetData>
    <row r="1" spans="1:13" ht="29.45" customHeight="1">
      <c r="A1" s="410" t="s">
        <v>648</v>
      </c>
      <c r="L1" s="561" t="s">
        <v>649</v>
      </c>
    </row>
    <row r="2" spans="1:13" ht="29.45" customHeight="1">
      <c r="A2" s="644" t="s">
        <v>578</v>
      </c>
      <c r="B2" s="644"/>
      <c r="C2" s="644"/>
      <c r="D2" s="644"/>
      <c r="E2" s="644"/>
      <c r="F2" s="644"/>
      <c r="G2" s="644"/>
      <c r="H2" s="644"/>
      <c r="K2" s="543" t="s">
        <v>650</v>
      </c>
      <c r="L2" s="543" t="s">
        <v>651</v>
      </c>
      <c r="M2" s="543" t="s">
        <v>652</v>
      </c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  <c r="K4" s="444" t="s">
        <v>771</v>
      </c>
      <c r="L4" s="444" t="s">
        <v>772</v>
      </c>
      <c r="M4" s="444">
        <v>65000</v>
      </c>
    </row>
    <row r="5" spans="1:13" ht="29.45" customHeight="1">
      <c r="A5" s="7">
        <v>1</v>
      </c>
      <c r="B5" s="7" t="s">
        <v>130</v>
      </c>
      <c r="C5" s="7" t="s">
        <v>773</v>
      </c>
      <c r="D5" s="409" t="s">
        <v>577</v>
      </c>
      <c r="E5" s="9" t="s">
        <v>661</v>
      </c>
      <c r="F5" s="10" t="s">
        <v>774</v>
      </c>
      <c r="G5" s="9" t="s">
        <v>775</v>
      </c>
      <c r="H5" s="9">
        <v>800000</v>
      </c>
      <c r="I5" s="146" t="s">
        <v>776</v>
      </c>
    </row>
    <row r="6" spans="1:13" ht="29.45" customHeight="1">
      <c r="A6" s="7"/>
      <c r="B6" s="7"/>
      <c r="C6" s="7" t="s">
        <v>679</v>
      </c>
      <c r="D6" s="7"/>
      <c r="E6" s="9" t="s">
        <v>777</v>
      </c>
      <c r="F6" s="10" t="s">
        <v>774</v>
      </c>
      <c r="G6" s="9" t="s">
        <v>775</v>
      </c>
      <c r="H6" s="9">
        <v>800000</v>
      </c>
      <c r="I6" s="146" t="s">
        <v>776</v>
      </c>
    </row>
    <row r="7" spans="1:13" ht="29.45" customHeight="1">
      <c r="A7" s="7"/>
      <c r="B7" s="7"/>
      <c r="C7" s="7"/>
      <c r="D7" s="7"/>
      <c r="E7" s="9" t="s">
        <v>778</v>
      </c>
      <c r="F7" s="10" t="s">
        <v>779</v>
      </c>
      <c r="G7" s="9" t="s">
        <v>780</v>
      </c>
      <c r="H7" s="9">
        <v>1600000</v>
      </c>
      <c r="I7" s="146" t="s">
        <v>776</v>
      </c>
    </row>
    <row r="8" spans="1:13" ht="29.45" customHeight="1">
      <c r="A8" s="7"/>
      <c r="B8" s="7"/>
      <c r="C8" s="7"/>
      <c r="D8" s="7"/>
      <c r="E8" s="9" t="s">
        <v>575</v>
      </c>
      <c r="F8" s="10" t="s">
        <v>781</v>
      </c>
      <c r="G8" s="9" t="s">
        <v>780</v>
      </c>
      <c r="H8" s="9">
        <v>800000</v>
      </c>
      <c r="I8" s="146" t="s">
        <v>782</v>
      </c>
    </row>
    <row r="9" spans="1:13" ht="29.45" customHeight="1">
      <c r="A9" s="7"/>
      <c r="B9" s="7"/>
      <c r="C9" s="7"/>
      <c r="D9" s="7"/>
      <c r="E9" s="9"/>
      <c r="F9" s="10"/>
      <c r="G9" s="9"/>
      <c r="H9" s="9"/>
    </row>
    <row r="10" spans="1:13" ht="29.45" customHeight="1">
      <c r="A10" s="7"/>
      <c r="B10" s="7"/>
      <c r="C10" s="7"/>
      <c r="D10" s="7"/>
      <c r="E10" s="9"/>
      <c r="F10" s="10"/>
      <c r="G10" s="9"/>
      <c r="H10" s="9"/>
    </row>
    <row r="11" spans="1:13" ht="29.45" customHeight="1">
      <c r="A11" s="7"/>
      <c r="B11" s="7"/>
      <c r="C11" s="7"/>
      <c r="D11" s="7"/>
      <c r="E11" s="9"/>
      <c r="F11" s="10"/>
      <c r="G11" s="9"/>
      <c r="H11" s="9"/>
    </row>
    <row r="12" spans="1:13" ht="29.45" customHeight="1">
      <c r="A12" s="7"/>
      <c r="B12" s="7"/>
      <c r="C12" s="7"/>
      <c r="D12" s="7"/>
      <c r="E12" s="9"/>
      <c r="F12" s="10"/>
      <c r="G12" s="9"/>
      <c r="H12" s="9"/>
    </row>
    <row r="13" spans="1:13" ht="29.45" customHeight="1">
      <c r="A13" s="12"/>
      <c r="B13" s="12"/>
      <c r="C13" s="12"/>
      <c r="D13" s="12"/>
      <c r="E13" s="13"/>
      <c r="F13" s="14"/>
      <c r="G13" s="13"/>
      <c r="H13" s="13">
        <f>SUM(H5:H9)</f>
        <v>4000000</v>
      </c>
      <c r="K13" s="560"/>
      <c r="L13" s="549" t="s">
        <v>665</v>
      </c>
      <c r="M13" s="549">
        <f>SUM(M4:M11)</f>
        <v>65000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phoneticPr fontId="51" type="noConversion"/>
  <hyperlinks>
    <hyperlink ref="A1" location="Name!A1" display="Name!A1" xr:uid="{77D8EB4C-73C7-44A8-89C6-F94538F89508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28DB-B98B-4499-8EA9-495A9A450C46}">
  <dimension ref="A1:I30"/>
  <sheetViews>
    <sheetView topLeftCell="A16" workbookViewId="0">
      <selection activeCell="A18" sqref="A18"/>
    </sheetView>
  </sheetViews>
  <sheetFormatPr defaultRowHeight="1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16.28515625" customWidth="1"/>
  </cols>
  <sheetData>
    <row r="1" spans="1:9" ht="19.149999999999999" customHeight="1">
      <c r="A1" s="644" t="s">
        <v>783</v>
      </c>
      <c r="B1" s="644"/>
      <c r="C1" s="644"/>
      <c r="D1" s="644"/>
      <c r="E1" s="644"/>
      <c r="F1" s="644"/>
      <c r="G1" s="644"/>
      <c r="H1" s="644"/>
    </row>
    <row r="2" spans="1:9" ht="19.149999999999999" customHeight="1">
      <c r="A2" s="645" t="s">
        <v>653</v>
      </c>
      <c r="B2" s="647" t="s">
        <v>654</v>
      </c>
      <c r="C2" s="645" t="s">
        <v>655</v>
      </c>
      <c r="D2" s="645" t="s">
        <v>12</v>
      </c>
      <c r="E2" s="647" t="s">
        <v>656</v>
      </c>
      <c r="F2" s="645" t="s">
        <v>657</v>
      </c>
      <c r="G2" s="647" t="s">
        <v>658</v>
      </c>
      <c r="H2" s="3" t="s">
        <v>659</v>
      </c>
    </row>
    <row r="3" spans="1:9" ht="19.149999999999999" customHeight="1">
      <c r="A3" s="646"/>
      <c r="B3" s="646"/>
      <c r="C3" s="646"/>
      <c r="D3" s="646"/>
      <c r="E3" s="648"/>
      <c r="F3" s="646"/>
      <c r="G3" s="646"/>
      <c r="H3" s="6" t="s">
        <v>660</v>
      </c>
    </row>
    <row r="4" spans="1:9" ht="19.149999999999999" customHeight="1">
      <c r="A4" s="7">
        <v>1</v>
      </c>
      <c r="B4" s="7" t="s">
        <v>130</v>
      </c>
      <c r="C4" s="7" t="s">
        <v>773</v>
      </c>
      <c r="D4" s="409" t="s">
        <v>784</v>
      </c>
      <c r="E4" s="9" t="s">
        <v>785</v>
      </c>
      <c r="F4" s="10"/>
      <c r="G4" s="9"/>
      <c r="H4" s="9"/>
    </row>
    <row r="5" spans="1:9" ht="19.149999999999999" customHeight="1">
      <c r="A5" s="7"/>
      <c r="B5" s="7"/>
      <c r="C5" s="7" t="s">
        <v>679</v>
      </c>
      <c r="D5" s="7"/>
      <c r="E5" s="9" t="s">
        <v>786</v>
      </c>
      <c r="F5" s="10" t="s">
        <v>787</v>
      </c>
      <c r="G5" s="9" t="s">
        <v>788</v>
      </c>
      <c r="H5" s="9"/>
      <c r="I5" s="146" t="s">
        <v>776</v>
      </c>
    </row>
    <row r="6" spans="1:9" ht="19.149999999999999" customHeight="1">
      <c r="A6" s="7"/>
      <c r="B6" s="7"/>
      <c r="C6" s="7"/>
      <c r="D6" s="7"/>
      <c r="E6" s="9" t="s">
        <v>789</v>
      </c>
      <c r="F6" s="10"/>
      <c r="G6" s="9"/>
      <c r="H6" s="9">
        <v>65000</v>
      </c>
    </row>
    <row r="7" spans="1:9" ht="19.149999999999999" customHeight="1">
      <c r="A7" s="7"/>
      <c r="B7" s="7"/>
      <c r="C7" s="7"/>
      <c r="D7" s="7"/>
      <c r="E7" s="9" t="s">
        <v>790</v>
      </c>
      <c r="F7" s="10"/>
      <c r="G7" s="9"/>
      <c r="H7" s="9">
        <v>65000</v>
      </c>
    </row>
    <row r="8" spans="1:9" ht="19.149999999999999" customHeight="1">
      <c r="A8" s="7"/>
      <c r="B8" s="7"/>
      <c r="C8" s="7"/>
      <c r="D8" s="7"/>
      <c r="E8" s="9" t="s">
        <v>791</v>
      </c>
      <c r="F8" s="10"/>
      <c r="G8" s="9"/>
      <c r="H8" s="9">
        <v>65000</v>
      </c>
    </row>
    <row r="9" spans="1:9" ht="19.149999999999999" customHeight="1">
      <c r="A9" s="7"/>
      <c r="B9" s="7"/>
      <c r="C9" s="7"/>
      <c r="D9" s="7"/>
      <c r="E9" s="9" t="s">
        <v>792</v>
      </c>
      <c r="F9" s="10"/>
      <c r="G9" s="9"/>
      <c r="H9" s="9">
        <v>65000</v>
      </c>
    </row>
    <row r="10" spans="1:9" ht="19.149999999999999" customHeight="1">
      <c r="A10" s="7"/>
      <c r="B10" s="7"/>
      <c r="C10" s="7"/>
      <c r="D10" s="7"/>
      <c r="E10" s="9" t="s">
        <v>793</v>
      </c>
      <c r="F10" s="10"/>
      <c r="G10" s="9"/>
      <c r="H10" s="9">
        <v>65000</v>
      </c>
    </row>
    <row r="11" spans="1:9" ht="19.149999999999999" customHeight="1">
      <c r="A11" s="7"/>
      <c r="B11" s="7"/>
      <c r="C11" s="7"/>
      <c r="D11" s="7"/>
      <c r="E11" s="9" t="s">
        <v>794</v>
      </c>
      <c r="F11" s="10"/>
      <c r="G11" s="9"/>
      <c r="H11" s="9">
        <v>65000</v>
      </c>
    </row>
    <row r="12" spans="1:9" ht="19.149999999999999" customHeight="1">
      <c r="A12" s="7"/>
      <c r="B12" s="7"/>
      <c r="C12" s="7"/>
      <c r="D12" s="7"/>
      <c r="E12" s="9" t="s">
        <v>795</v>
      </c>
      <c r="F12" s="10"/>
      <c r="G12" s="9"/>
      <c r="H12" s="9">
        <v>65000</v>
      </c>
    </row>
    <row r="13" spans="1:9" ht="19.149999999999999" customHeight="1">
      <c r="A13" s="7"/>
      <c r="B13" s="7"/>
      <c r="C13" s="7"/>
      <c r="D13" s="7"/>
      <c r="E13" s="9" t="s">
        <v>796</v>
      </c>
      <c r="F13" s="10"/>
      <c r="G13" s="9"/>
      <c r="H13" s="9">
        <v>65000</v>
      </c>
    </row>
    <row r="14" spans="1:9" ht="19.149999999999999" customHeight="1">
      <c r="A14" s="7"/>
      <c r="B14" s="7"/>
      <c r="C14" s="7"/>
      <c r="D14" s="7"/>
      <c r="E14" s="9"/>
      <c r="F14" s="10"/>
      <c r="G14" s="9"/>
      <c r="H14" s="9"/>
    </row>
    <row r="15" spans="1:9" ht="19.149999999999999" customHeight="1">
      <c r="A15" s="7"/>
      <c r="B15" s="7"/>
      <c r="C15" s="7"/>
      <c r="D15" s="7"/>
      <c r="E15" s="9"/>
      <c r="F15" s="10"/>
      <c r="G15" s="9"/>
      <c r="H15" s="9"/>
    </row>
    <row r="16" spans="1:9" ht="19.149999999999999" customHeight="1">
      <c r="A16" s="12"/>
      <c r="B16" s="12"/>
      <c r="C16" s="12"/>
      <c r="D16" s="12"/>
      <c r="E16" s="13"/>
      <c r="F16" s="14"/>
      <c r="G16" s="13"/>
      <c r="H16" s="13">
        <f>SUM(H6:H13)</f>
        <v>520000</v>
      </c>
    </row>
    <row r="18" spans="1:9" ht="29.45" customHeight="1">
      <c r="A18" s="410" t="s">
        <v>648</v>
      </c>
    </row>
    <row r="19" spans="1:9" ht="29.45" customHeight="1">
      <c r="A19" s="644" t="s">
        <v>797</v>
      </c>
      <c r="B19" s="644"/>
      <c r="C19" s="644"/>
      <c r="D19" s="644"/>
      <c r="E19" s="644"/>
      <c r="F19" s="644"/>
      <c r="G19" s="644"/>
      <c r="H19" s="644"/>
    </row>
    <row r="20" spans="1:9" ht="29.45" customHeight="1">
      <c r="A20" s="645" t="s">
        <v>653</v>
      </c>
      <c r="B20" s="647" t="s">
        <v>654</v>
      </c>
      <c r="C20" s="645" t="s">
        <v>655</v>
      </c>
      <c r="D20" s="645" t="s">
        <v>12</v>
      </c>
      <c r="E20" s="647" t="s">
        <v>656</v>
      </c>
      <c r="F20" s="645" t="s">
        <v>657</v>
      </c>
      <c r="G20" s="647" t="s">
        <v>658</v>
      </c>
      <c r="H20" s="3" t="s">
        <v>659</v>
      </c>
    </row>
    <row r="21" spans="1:9" ht="29.45" customHeight="1">
      <c r="A21" s="646"/>
      <c r="B21" s="646"/>
      <c r="C21" s="646"/>
      <c r="D21" s="646"/>
      <c r="E21" s="648"/>
      <c r="F21" s="646"/>
      <c r="G21" s="646"/>
      <c r="H21" s="6" t="s">
        <v>660</v>
      </c>
    </row>
    <row r="22" spans="1:9" ht="29.45" customHeight="1">
      <c r="A22" s="7">
        <v>1</v>
      </c>
      <c r="B22" s="7" t="s">
        <v>130</v>
      </c>
      <c r="C22" s="7" t="s">
        <v>773</v>
      </c>
      <c r="D22" s="409" t="s">
        <v>784</v>
      </c>
      <c r="E22" s="9" t="s">
        <v>661</v>
      </c>
      <c r="F22" s="10" t="s">
        <v>798</v>
      </c>
      <c r="G22" s="9" t="s">
        <v>775</v>
      </c>
      <c r="H22" s="9">
        <v>800000</v>
      </c>
      <c r="I22" s="146" t="s">
        <v>799</v>
      </c>
    </row>
    <row r="23" spans="1:9" ht="29.45" customHeight="1">
      <c r="A23" s="7"/>
      <c r="B23" s="7"/>
      <c r="C23" s="7" t="s">
        <v>679</v>
      </c>
      <c r="D23" s="7"/>
      <c r="E23" s="9" t="s">
        <v>800</v>
      </c>
      <c r="F23" s="10" t="s">
        <v>798</v>
      </c>
      <c r="G23" s="9" t="s">
        <v>775</v>
      </c>
      <c r="H23" s="9">
        <v>2400000</v>
      </c>
      <c r="I23" s="146" t="s">
        <v>799</v>
      </c>
    </row>
    <row r="24" spans="1:9" ht="29.45" customHeight="1">
      <c r="A24" s="7"/>
      <c r="B24" s="7"/>
      <c r="C24" s="7"/>
      <c r="D24" s="7"/>
      <c r="E24" s="9" t="s">
        <v>575</v>
      </c>
      <c r="F24" s="10" t="s">
        <v>801</v>
      </c>
      <c r="G24" s="9" t="s">
        <v>802</v>
      </c>
      <c r="H24" s="9">
        <v>800000</v>
      </c>
      <c r="I24" s="146" t="s">
        <v>799</v>
      </c>
    </row>
    <row r="25" spans="1:9" ht="29.45" customHeight="1">
      <c r="A25" s="7"/>
      <c r="B25" s="7"/>
      <c r="C25" s="7"/>
      <c r="D25" s="7"/>
      <c r="E25" s="9" t="s">
        <v>684</v>
      </c>
      <c r="F25" s="10"/>
      <c r="G25" s="9" t="s">
        <v>803</v>
      </c>
      <c r="H25" s="9">
        <v>-800000</v>
      </c>
      <c r="I25" s="437" t="s">
        <v>804</v>
      </c>
    </row>
    <row r="26" spans="1:9" ht="29.45" customHeight="1">
      <c r="A26" s="7"/>
      <c r="B26" s="7"/>
      <c r="C26" s="7"/>
      <c r="D26" s="7"/>
      <c r="E26" s="9" t="s">
        <v>805</v>
      </c>
      <c r="F26" s="10"/>
      <c r="G26" s="9" t="s">
        <v>803</v>
      </c>
      <c r="H26" s="9">
        <v>-361200</v>
      </c>
    </row>
    <row r="27" spans="1:9" ht="29.45" customHeight="1">
      <c r="A27" s="7"/>
      <c r="B27" s="7"/>
      <c r="C27" s="7"/>
      <c r="D27" s="7"/>
      <c r="E27" s="9" t="s">
        <v>806</v>
      </c>
      <c r="F27" s="10"/>
      <c r="G27" s="9" t="s">
        <v>803</v>
      </c>
      <c r="H27" s="9">
        <v>-190000</v>
      </c>
    </row>
    <row r="28" spans="1:9" ht="29.45" customHeight="1">
      <c r="A28" s="7"/>
      <c r="B28" s="7"/>
      <c r="C28" s="7"/>
      <c r="D28" s="7"/>
      <c r="E28" s="9"/>
      <c r="F28" s="10"/>
      <c r="G28" s="9"/>
      <c r="H28" s="9"/>
    </row>
    <row r="29" spans="1:9" ht="29.45" customHeight="1">
      <c r="A29" s="7"/>
      <c r="B29" s="7"/>
      <c r="C29" s="7"/>
      <c r="D29" s="7"/>
      <c r="E29" s="9"/>
      <c r="F29" s="10"/>
      <c r="G29" s="9"/>
      <c r="H29" s="9"/>
    </row>
    <row r="30" spans="1:9" ht="29.45" customHeight="1">
      <c r="A30" s="12"/>
      <c r="B30" s="12"/>
      <c r="C30" s="12"/>
      <c r="D30" s="12"/>
      <c r="E30" s="13"/>
      <c r="F30" s="14"/>
      <c r="G30" s="13"/>
      <c r="H30" s="13">
        <f>SUM(H22:H27)</f>
        <v>2648800</v>
      </c>
    </row>
  </sheetData>
  <mergeCells count="16">
    <mergeCell ref="A19:H19"/>
    <mergeCell ref="A20:A21"/>
    <mergeCell ref="B20:B21"/>
    <mergeCell ref="C20:C21"/>
    <mergeCell ref="D20:D21"/>
    <mergeCell ref="E20:E21"/>
    <mergeCell ref="F20:F21"/>
    <mergeCell ref="G20:G21"/>
    <mergeCell ref="A1:H1"/>
    <mergeCell ref="A2:A3"/>
    <mergeCell ref="B2:B3"/>
    <mergeCell ref="C2:C3"/>
    <mergeCell ref="D2:D3"/>
    <mergeCell ref="E2:E3"/>
    <mergeCell ref="F2:F3"/>
    <mergeCell ref="G2:G3"/>
  </mergeCells>
  <hyperlinks>
    <hyperlink ref="A18" location="Name!A1" display="Name!A1" xr:uid="{F06CB61C-B272-4ED4-AD6C-7EF1532C9C4A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1A1A-9326-4E8D-AA87-2B3647053A70}">
  <dimension ref="A1:L13"/>
  <sheetViews>
    <sheetView workbookViewId="0"/>
  </sheetViews>
  <sheetFormatPr defaultRowHeight="15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16.28515625" customWidth="1"/>
    <col min="10" max="10" width="12.5703125" style="444" customWidth="1"/>
    <col min="11" max="11" width="36.140625" style="444" customWidth="1"/>
    <col min="12" max="12" width="17" style="447" customWidth="1"/>
  </cols>
  <sheetData>
    <row r="1" spans="1:12" ht="29.45" customHeight="1">
      <c r="A1" s="410" t="s">
        <v>648</v>
      </c>
      <c r="K1" s="561" t="s">
        <v>649</v>
      </c>
    </row>
    <row r="2" spans="1:12" ht="29.45" customHeight="1">
      <c r="A2" s="644" t="s">
        <v>572</v>
      </c>
      <c r="B2" s="644"/>
      <c r="C2" s="644"/>
      <c r="D2" s="644"/>
      <c r="E2" s="644"/>
      <c r="F2" s="644"/>
      <c r="G2" s="644"/>
      <c r="H2" s="644"/>
      <c r="J2" s="543" t="s">
        <v>807</v>
      </c>
      <c r="K2" s="543" t="s">
        <v>651</v>
      </c>
      <c r="L2" s="544" t="s">
        <v>652</v>
      </c>
    </row>
    <row r="3" spans="1:12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2" ht="29.45" customHeight="1">
      <c r="A4" s="646"/>
      <c r="B4" s="646"/>
      <c r="C4" s="646"/>
      <c r="D4" s="646"/>
      <c r="E4" s="648"/>
      <c r="F4" s="646"/>
      <c r="G4" s="646"/>
      <c r="H4" s="6" t="s">
        <v>660</v>
      </c>
      <c r="J4" s="444" t="s">
        <v>771</v>
      </c>
      <c r="K4" s="444" t="s">
        <v>808</v>
      </c>
      <c r="L4" s="447">
        <v>60000</v>
      </c>
    </row>
    <row r="5" spans="1:12" ht="29.45" customHeight="1">
      <c r="A5" s="7">
        <v>1</v>
      </c>
      <c r="B5" s="7" t="s">
        <v>130</v>
      </c>
      <c r="C5" s="7" t="s">
        <v>573</v>
      </c>
      <c r="D5" s="409" t="s">
        <v>571</v>
      </c>
      <c r="E5" s="9" t="s">
        <v>661</v>
      </c>
      <c r="F5" s="10" t="s">
        <v>809</v>
      </c>
      <c r="G5" s="9" t="s">
        <v>771</v>
      </c>
      <c r="H5" s="9">
        <v>800000</v>
      </c>
      <c r="I5" s="146"/>
      <c r="J5" s="444" t="s">
        <v>771</v>
      </c>
      <c r="K5" s="444" t="s">
        <v>772</v>
      </c>
      <c r="L5" s="447">
        <v>65000</v>
      </c>
    </row>
    <row r="6" spans="1:12" ht="29.45" customHeight="1">
      <c r="A6" s="7"/>
      <c r="B6" s="7"/>
      <c r="C6" s="7" t="s">
        <v>679</v>
      </c>
      <c r="D6" s="7"/>
      <c r="E6" s="9" t="s">
        <v>777</v>
      </c>
      <c r="F6" s="10" t="s">
        <v>809</v>
      </c>
      <c r="G6" s="9" t="s">
        <v>771</v>
      </c>
      <c r="H6" s="9">
        <v>800000</v>
      </c>
      <c r="I6" s="146"/>
      <c r="J6" s="444" t="s">
        <v>771</v>
      </c>
      <c r="K6" s="444" t="s">
        <v>810</v>
      </c>
      <c r="L6" s="447">
        <v>40000</v>
      </c>
    </row>
    <row r="7" spans="1:12" ht="29.45" customHeight="1">
      <c r="A7" s="7"/>
      <c r="B7" s="7"/>
      <c r="C7" s="7"/>
      <c r="D7" s="7"/>
      <c r="E7" s="9" t="s">
        <v>750</v>
      </c>
      <c r="F7" s="10" t="s">
        <v>811</v>
      </c>
      <c r="G7" s="9" t="s">
        <v>748</v>
      </c>
      <c r="H7" s="9">
        <v>800000</v>
      </c>
      <c r="I7" s="146" t="s">
        <v>667</v>
      </c>
      <c r="J7" s="444" t="s">
        <v>812</v>
      </c>
      <c r="K7" s="444" t="s">
        <v>813</v>
      </c>
      <c r="L7" s="447">
        <v>7000</v>
      </c>
    </row>
    <row r="8" spans="1:12" ht="29.45" customHeight="1">
      <c r="A8" s="7"/>
      <c r="B8" s="7"/>
      <c r="C8" s="7"/>
      <c r="D8" s="7"/>
      <c r="E8" s="9" t="s">
        <v>751</v>
      </c>
      <c r="F8" s="10" t="s">
        <v>814</v>
      </c>
      <c r="G8" s="9" t="s">
        <v>762</v>
      </c>
      <c r="H8" s="9">
        <v>800000</v>
      </c>
      <c r="I8" s="146" t="s">
        <v>667</v>
      </c>
      <c r="J8" s="444" t="s">
        <v>775</v>
      </c>
      <c r="K8" s="444" t="s">
        <v>815</v>
      </c>
      <c r="L8" s="447">
        <v>160000</v>
      </c>
    </row>
    <row r="9" spans="1:12" ht="29.45" customHeight="1">
      <c r="A9" s="7"/>
      <c r="B9" s="7"/>
      <c r="C9" s="7"/>
      <c r="D9" s="7"/>
      <c r="E9" s="9" t="s">
        <v>575</v>
      </c>
      <c r="F9" s="10" t="s">
        <v>816</v>
      </c>
      <c r="G9" s="9" t="s">
        <v>764</v>
      </c>
      <c r="H9" s="9">
        <v>800000</v>
      </c>
      <c r="I9" s="146" t="s">
        <v>667</v>
      </c>
      <c r="J9" s="444" t="s">
        <v>775</v>
      </c>
      <c r="K9" s="444" t="s">
        <v>817</v>
      </c>
      <c r="L9" s="447">
        <v>50000</v>
      </c>
    </row>
    <row r="10" spans="1:12" ht="29.45" customHeight="1">
      <c r="A10" s="7"/>
      <c r="B10" s="7"/>
      <c r="C10" s="7"/>
      <c r="D10" s="7"/>
      <c r="E10" s="9"/>
      <c r="F10" s="10"/>
      <c r="G10" s="9"/>
      <c r="H10" s="9"/>
    </row>
    <row r="11" spans="1:12" ht="29.45" customHeight="1">
      <c r="A11" s="7"/>
      <c r="B11" s="7"/>
      <c r="C11" s="7"/>
      <c r="D11" s="7"/>
      <c r="E11" s="9"/>
      <c r="F11" s="10"/>
      <c r="G11" s="9"/>
      <c r="H11" s="9"/>
    </row>
    <row r="12" spans="1:12" ht="29.45" customHeight="1">
      <c r="A12" s="7"/>
      <c r="B12" s="7"/>
      <c r="C12" s="7"/>
      <c r="D12" s="7"/>
      <c r="E12" s="9"/>
      <c r="F12" s="10"/>
      <c r="G12" s="9"/>
      <c r="H12" s="9"/>
    </row>
    <row r="13" spans="1:12" ht="29.45" customHeight="1">
      <c r="A13" s="12"/>
      <c r="B13" s="12"/>
      <c r="C13" s="12"/>
      <c r="D13" s="12"/>
      <c r="E13" s="13"/>
      <c r="F13" s="14"/>
      <c r="G13" s="13"/>
      <c r="H13" s="13">
        <f>SUM(H5:H9)</f>
        <v>4000000</v>
      </c>
      <c r="J13" s="560"/>
      <c r="K13" s="549" t="s">
        <v>665</v>
      </c>
      <c r="L13" s="550">
        <f>SUM(L4:L11)</f>
        <v>382000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862CD009-73E9-4D3C-8F9C-9D275484096F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3EC1-51F2-45C1-A5C8-B1DABB52E8B8}">
  <dimension ref="A1:L34"/>
  <sheetViews>
    <sheetView workbookViewId="0"/>
  </sheetViews>
  <sheetFormatPr defaultRowHeight="18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35" customWidth="1"/>
    <col min="10" max="10" width="13.7109375" style="463" customWidth="1"/>
    <col min="11" max="11" width="40.28515625" style="463" customWidth="1"/>
    <col min="12" max="12" width="25.7109375" style="481" customWidth="1"/>
  </cols>
  <sheetData>
    <row r="1" spans="1:10" ht="29.45" customHeight="1">
      <c r="A1" s="410" t="s">
        <v>648</v>
      </c>
    </row>
    <row r="2" spans="1:10" ht="29.45" customHeight="1">
      <c r="A2" s="651" t="s">
        <v>272</v>
      </c>
      <c r="B2" s="651"/>
      <c r="C2" s="651"/>
      <c r="D2" s="651"/>
      <c r="E2" s="651"/>
      <c r="F2" s="651"/>
      <c r="G2" s="651"/>
      <c r="H2" s="651"/>
      <c r="I2" s="651"/>
      <c r="J2" s="51"/>
    </row>
    <row r="3" spans="1:10" ht="29.45" customHeight="1">
      <c r="A3" s="16" t="s">
        <v>818</v>
      </c>
      <c r="B3" s="17" t="s">
        <v>697</v>
      </c>
      <c r="C3" s="17" t="s">
        <v>12</v>
      </c>
      <c r="D3" s="17" t="s">
        <v>819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  <c r="J3" s="51"/>
    </row>
    <row r="4" spans="1:10" ht="29.45" customHeight="1">
      <c r="A4" s="26">
        <v>1</v>
      </c>
      <c r="B4" s="26" t="s">
        <v>152</v>
      </c>
      <c r="C4" s="26" t="s">
        <v>820</v>
      </c>
      <c r="D4" s="26" t="s">
        <v>213</v>
      </c>
      <c r="E4" s="28" t="s">
        <v>821</v>
      </c>
      <c r="F4" s="151" t="s">
        <v>822</v>
      </c>
      <c r="G4" s="28" t="s">
        <v>823</v>
      </c>
      <c r="H4" s="28">
        <v>600000</v>
      </c>
      <c r="I4" s="28"/>
      <c r="J4" s="51"/>
    </row>
    <row r="5" spans="1:10" ht="29.45" customHeight="1">
      <c r="A5" s="26"/>
      <c r="B5" s="26"/>
      <c r="C5" s="26"/>
      <c r="D5" s="26"/>
      <c r="E5" s="28" t="s">
        <v>824</v>
      </c>
      <c r="F5" s="151" t="s">
        <v>825</v>
      </c>
      <c r="G5" s="28" t="s">
        <v>826</v>
      </c>
      <c r="H5" s="28">
        <v>500000</v>
      </c>
      <c r="I5" s="28"/>
      <c r="J5" s="51" t="s">
        <v>710</v>
      </c>
    </row>
    <row r="6" spans="1:10" ht="29.45" customHeight="1">
      <c r="A6" s="26"/>
      <c r="B6" s="26"/>
      <c r="C6" s="26"/>
      <c r="D6" s="26"/>
      <c r="E6" s="28" t="s">
        <v>827</v>
      </c>
      <c r="F6" s="151" t="s">
        <v>828</v>
      </c>
      <c r="G6" s="28" t="s">
        <v>829</v>
      </c>
      <c r="H6" s="28">
        <v>500000</v>
      </c>
      <c r="I6" s="28"/>
      <c r="J6" s="51" t="s">
        <v>710</v>
      </c>
    </row>
    <row r="7" spans="1:10" ht="29.45" customHeight="1">
      <c r="A7" s="26"/>
      <c r="B7" s="26"/>
      <c r="C7" s="26"/>
      <c r="D7" s="26"/>
      <c r="E7" s="152" t="s">
        <v>830</v>
      </c>
      <c r="F7" s="27" t="s">
        <v>831</v>
      </c>
      <c r="G7" s="26" t="s">
        <v>832</v>
      </c>
      <c r="H7" s="28">
        <v>500000</v>
      </c>
      <c r="I7" s="28"/>
      <c r="J7" s="51" t="s">
        <v>710</v>
      </c>
    </row>
    <row r="8" spans="1:10" ht="29.45" customHeight="1">
      <c r="A8" s="26"/>
      <c r="B8" s="26"/>
      <c r="C8" s="26"/>
      <c r="D8" s="26"/>
      <c r="E8" s="153" t="s">
        <v>833</v>
      </c>
      <c r="F8" s="27" t="s">
        <v>834</v>
      </c>
      <c r="G8" s="26" t="s">
        <v>835</v>
      </c>
      <c r="H8" s="28">
        <v>500000</v>
      </c>
      <c r="I8" s="28"/>
      <c r="J8" s="51" t="s">
        <v>710</v>
      </c>
    </row>
    <row r="9" spans="1:10" ht="29.45" customHeight="1">
      <c r="A9" s="26"/>
      <c r="B9" s="26"/>
      <c r="C9" s="26"/>
      <c r="D9" s="26"/>
      <c r="E9" s="153" t="s">
        <v>836</v>
      </c>
      <c r="F9" s="27" t="s">
        <v>837</v>
      </c>
      <c r="G9" s="26" t="s">
        <v>838</v>
      </c>
      <c r="H9" s="28">
        <v>500000</v>
      </c>
      <c r="I9" s="28"/>
      <c r="J9" s="51" t="s">
        <v>710</v>
      </c>
    </row>
    <row r="10" spans="1:10" ht="29.45" customHeight="1">
      <c r="A10" s="26"/>
      <c r="B10" s="26"/>
      <c r="C10" s="26"/>
      <c r="D10" s="26"/>
      <c r="E10" s="153" t="s">
        <v>839</v>
      </c>
      <c r="F10" s="27"/>
      <c r="G10" s="26" t="s">
        <v>840</v>
      </c>
      <c r="H10" s="28">
        <v>500000</v>
      </c>
      <c r="I10" s="28"/>
      <c r="J10" s="51" t="s">
        <v>710</v>
      </c>
    </row>
    <row r="11" spans="1:10" ht="29.45" customHeight="1">
      <c r="A11" s="26"/>
      <c r="B11" s="26"/>
      <c r="C11" s="26"/>
      <c r="D11" s="26"/>
      <c r="E11" s="153" t="s">
        <v>841</v>
      </c>
      <c r="F11" s="27" t="s">
        <v>842</v>
      </c>
      <c r="G11" s="26" t="s">
        <v>843</v>
      </c>
      <c r="H11" s="28">
        <v>500000</v>
      </c>
      <c r="I11" s="28"/>
      <c r="J11" s="51" t="s">
        <v>710</v>
      </c>
    </row>
    <row r="12" spans="1:10" ht="29.45" customHeight="1">
      <c r="A12" s="26"/>
      <c r="B12" s="26"/>
      <c r="C12" s="26"/>
      <c r="D12" s="26"/>
      <c r="E12" s="153" t="s">
        <v>844</v>
      </c>
      <c r="F12" s="27" t="s">
        <v>845</v>
      </c>
      <c r="G12" s="26" t="s">
        <v>846</v>
      </c>
      <c r="H12" s="28">
        <v>600000</v>
      </c>
      <c r="I12" s="28"/>
      <c r="J12" s="51" t="s">
        <v>710</v>
      </c>
    </row>
    <row r="13" spans="1:10" ht="29.45" customHeight="1">
      <c r="A13" s="26"/>
      <c r="B13" s="26"/>
      <c r="C13" s="26"/>
      <c r="D13" s="26"/>
      <c r="E13" s="599" t="s">
        <v>847</v>
      </c>
      <c r="F13" s="600" t="s">
        <v>848</v>
      </c>
      <c r="G13" s="601" t="s">
        <v>849</v>
      </c>
      <c r="H13" s="309">
        <v>600000</v>
      </c>
      <c r="I13" s="28"/>
      <c r="J13" s="51" t="s">
        <v>710</v>
      </c>
    </row>
    <row r="14" spans="1:10" ht="29.45" customHeight="1">
      <c r="A14" s="26"/>
      <c r="B14" s="26"/>
      <c r="C14" s="26"/>
      <c r="D14" s="26"/>
      <c r="E14" s="153" t="s">
        <v>850</v>
      </c>
      <c r="F14" s="27" t="s">
        <v>851</v>
      </c>
      <c r="G14" s="26" t="s">
        <v>852</v>
      </c>
      <c r="H14" s="28">
        <v>600000</v>
      </c>
      <c r="I14" s="28"/>
      <c r="J14" s="51" t="s">
        <v>710</v>
      </c>
    </row>
    <row r="15" spans="1:10" ht="29.45" customHeight="1">
      <c r="A15" s="26"/>
      <c r="B15" s="26"/>
      <c r="C15" s="26"/>
      <c r="D15" s="26"/>
      <c r="E15" s="599" t="s">
        <v>853</v>
      </c>
      <c r="F15" s="600" t="s">
        <v>848</v>
      </c>
      <c r="G15" s="601" t="s">
        <v>854</v>
      </c>
      <c r="H15" s="309">
        <v>600000</v>
      </c>
      <c r="I15" s="28"/>
      <c r="J15" s="51" t="s">
        <v>710</v>
      </c>
    </row>
    <row r="16" spans="1:10" ht="29.45" customHeight="1">
      <c r="A16" s="26"/>
      <c r="B16" s="26"/>
      <c r="C16" s="26"/>
      <c r="D16" s="26"/>
      <c r="E16" s="153" t="s">
        <v>855</v>
      </c>
      <c r="F16" s="27" t="s">
        <v>856</v>
      </c>
      <c r="G16" s="26" t="s">
        <v>857</v>
      </c>
      <c r="H16" s="28">
        <v>1200000</v>
      </c>
      <c r="I16" s="28"/>
      <c r="J16" s="51" t="s">
        <v>732</v>
      </c>
    </row>
    <row r="17" spans="1:12" ht="29.45" customHeight="1">
      <c r="A17" s="26"/>
      <c r="B17" s="26"/>
      <c r="C17" s="26"/>
      <c r="D17" s="26"/>
      <c r="E17" s="599" t="s">
        <v>858</v>
      </c>
      <c r="F17" s="600" t="s">
        <v>848</v>
      </c>
      <c r="G17" s="601" t="s">
        <v>859</v>
      </c>
      <c r="H17" s="309">
        <v>600000</v>
      </c>
      <c r="I17" s="28"/>
      <c r="J17" s="51" t="s">
        <v>732</v>
      </c>
    </row>
    <row r="18" spans="1:12" ht="29.45" customHeight="1">
      <c r="A18" s="26"/>
      <c r="B18" s="26"/>
      <c r="C18" s="26"/>
      <c r="D18" s="26"/>
      <c r="E18" s="153" t="s">
        <v>860</v>
      </c>
      <c r="F18" s="27" t="s">
        <v>848</v>
      </c>
      <c r="G18" s="26" t="s">
        <v>861</v>
      </c>
      <c r="H18" s="28">
        <v>600000</v>
      </c>
      <c r="I18" s="28" t="s">
        <v>862</v>
      </c>
      <c r="J18" s="51" t="s">
        <v>863</v>
      </c>
    </row>
    <row r="19" spans="1:12" ht="29.45" customHeight="1">
      <c r="A19" s="26"/>
      <c r="B19" s="26"/>
      <c r="C19" s="26"/>
      <c r="D19" s="26"/>
      <c r="E19" s="153" t="s">
        <v>864</v>
      </c>
      <c r="F19" s="27" t="s">
        <v>848</v>
      </c>
      <c r="G19" s="26" t="s">
        <v>861</v>
      </c>
      <c r="H19" s="28">
        <v>600000</v>
      </c>
      <c r="I19" s="28"/>
      <c r="J19" s="51" t="s">
        <v>863</v>
      </c>
    </row>
    <row r="20" spans="1:12" ht="29.45" customHeight="1">
      <c r="A20" s="26"/>
      <c r="B20" s="26"/>
      <c r="C20" s="26"/>
      <c r="D20" s="26"/>
      <c r="E20" s="153" t="s">
        <v>865</v>
      </c>
      <c r="F20" s="27" t="s">
        <v>866</v>
      </c>
      <c r="G20" s="26" t="s">
        <v>867</v>
      </c>
      <c r="H20" s="28">
        <v>960000</v>
      </c>
      <c r="I20" s="28" t="s">
        <v>868</v>
      </c>
      <c r="J20" s="51"/>
    </row>
    <row r="21" spans="1:12" ht="29.45" customHeight="1">
      <c r="A21" s="26"/>
      <c r="B21" s="26"/>
      <c r="C21" s="26"/>
      <c r="D21" s="26"/>
      <c r="E21" s="153" t="s">
        <v>869</v>
      </c>
      <c r="F21" s="27"/>
      <c r="G21" s="26"/>
      <c r="H21" s="28">
        <v>400000</v>
      </c>
      <c r="I21" s="28"/>
      <c r="J21" s="51"/>
    </row>
    <row r="22" spans="1:12" ht="27" customHeight="1">
      <c r="A22" s="26"/>
      <c r="B22" s="26"/>
      <c r="C22" s="26"/>
      <c r="D22" s="26"/>
      <c r="E22" s="153"/>
      <c r="F22" s="27"/>
      <c r="G22" s="26"/>
      <c r="H22" s="28">
        <f>SUM(H4:H21)</f>
        <v>10860000</v>
      </c>
      <c r="I22" s="28"/>
      <c r="J22" s="51"/>
    </row>
    <row r="23" spans="1:12" ht="29.45" customHeight="1">
      <c r="A23" s="644" t="s">
        <v>212</v>
      </c>
      <c r="B23" s="644"/>
      <c r="C23" s="644"/>
      <c r="D23" s="644"/>
      <c r="E23" s="644"/>
      <c r="F23" s="644"/>
      <c r="G23" s="644"/>
      <c r="H23" s="644"/>
      <c r="J23" s="520" t="s">
        <v>807</v>
      </c>
      <c r="K23" s="520" t="s">
        <v>651</v>
      </c>
      <c r="L23" s="522" t="s">
        <v>652</v>
      </c>
    </row>
    <row r="24" spans="1:12" ht="29.45" customHeight="1">
      <c r="A24" s="645" t="s">
        <v>653</v>
      </c>
      <c r="B24" s="647" t="s">
        <v>654</v>
      </c>
      <c r="C24" s="645" t="s">
        <v>655</v>
      </c>
      <c r="D24" s="645" t="s">
        <v>12</v>
      </c>
      <c r="E24" s="647" t="s">
        <v>656</v>
      </c>
      <c r="F24" s="645" t="s">
        <v>657</v>
      </c>
      <c r="G24" s="647" t="s">
        <v>658</v>
      </c>
      <c r="H24" s="3" t="s">
        <v>659</v>
      </c>
      <c r="J24" s="463" t="s">
        <v>870</v>
      </c>
      <c r="K24" s="463" t="s">
        <v>813</v>
      </c>
      <c r="L24" s="481">
        <v>7000</v>
      </c>
    </row>
    <row r="25" spans="1:12" ht="29.45" customHeight="1">
      <c r="A25" s="646"/>
      <c r="B25" s="648"/>
      <c r="C25" s="646"/>
      <c r="D25" s="646"/>
      <c r="E25" s="648"/>
      <c r="F25" s="646"/>
      <c r="G25" s="648"/>
      <c r="H25" s="6" t="s">
        <v>660</v>
      </c>
      <c r="J25" s="463" t="s">
        <v>870</v>
      </c>
      <c r="K25" s="463" t="s">
        <v>871</v>
      </c>
      <c r="L25" s="481">
        <v>30000</v>
      </c>
    </row>
    <row r="26" spans="1:12" ht="29.45" customHeight="1">
      <c r="A26" s="7">
        <v>1</v>
      </c>
      <c r="B26" s="7" t="s">
        <v>130</v>
      </c>
      <c r="C26" s="7" t="s">
        <v>213</v>
      </c>
      <c r="D26" s="409" t="s">
        <v>872</v>
      </c>
      <c r="E26" s="9" t="s">
        <v>661</v>
      </c>
      <c r="F26" s="10" t="s">
        <v>873</v>
      </c>
      <c r="G26" s="9" t="s">
        <v>874</v>
      </c>
      <c r="H26" s="9">
        <v>600000</v>
      </c>
      <c r="I26" s="512" t="s">
        <v>875</v>
      </c>
      <c r="K26" s="518" t="s">
        <v>665</v>
      </c>
      <c r="L26" s="527">
        <f>SUM(L24:L25)</f>
        <v>37000</v>
      </c>
    </row>
    <row r="27" spans="1:12" ht="29.45" customHeight="1">
      <c r="A27" s="7"/>
      <c r="B27" s="7"/>
      <c r="C27" s="7" t="s">
        <v>679</v>
      </c>
      <c r="D27" s="7" t="s">
        <v>876</v>
      </c>
      <c r="E27" s="9" t="s">
        <v>877</v>
      </c>
      <c r="F27" s="10" t="s">
        <v>873</v>
      </c>
      <c r="G27" s="9" t="s">
        <v>874</v>
      </c>
      <c r="H27" s="9">
        <v>600000</v>
      </c>
      <c r="I27" s="146"/>
    </row>
    <row r="28" spans="1:12" ht="29.45" customHeight="1">
      <c r="A28" s="7"/>
      <c r="B28" s="7"/>
      <c r="C28" s="7"/>
      <c r="D28" s="7" t="s">
        <v>878</v>
      </c>
      <c r="E28" s="9" t="s">
        <v>879</v>
      </c>
      <c r="F28" s="10" t="s">
        <v>880</v>
      </c>
      <c r="G28" s="9" t="s">
        <v>870</v>
      </c>
      <c r="H28" s="9">
        <v>4200000</v>
      </c>
      <c r="I28" s="146"/>
    </row>
    <row r="29" spans="1:12" ht="29.45" customHeight="1">
      <c r="A29" s="7"/>
      <c r="B29" s="7"/>
      <c r="C29" s="7"/>
      <c r="D29" s="7"/>
      <c r="E29" s="9" t="s">
        <v>881</v>
      </c>
      <c r="F29" s="10" t="s">
        <v>882</v>
      </c>
      <c r="G29" s="9" t="s">
        <v>870</v>
      </c>
      <c r="H29" s="9">
        <v>2400000</v>
      </c>
    </row>
    <row r="30" spans="1:12" ht="29.45" customHeight="1">
      <c r="A30" s="7"/>
      <c r="B30" s="7"/>
      <c r="C30" s="7"/>
      <c r="D30" s="7"/>
      <c r="E30" s="9"/>
      <c r="F30" s="10"/>
      <c r="G30" s="9"/>
      <c r="H30" s="9"/>
      <c r="I30" s="512" t="s">
        <v>883</v>
      </c>
    </row>
    <row r="31" spans="1:12" ht="29.45" customHeight="1">
      <c r="A31" s="7"/>
      <c r="B31" s="7"/>
      <c r="C31" s="7"/>
      <c r="D31" s="7" t="s">
        <v>878</v>
      </c>
      <c r="E31" s="9" t="s">
        <v>215</v>
      </c>
      <c r="F31" s="10" t="s">
        <v>884</v>
      </c>
      <c r="G31" s="9" t="s">
        <v>885</v>
      </c>
      <c r="H31" s="9">
        <v>2400000</v>
      </c>
      <c r="I31" s="146" t="s">
        <v>664</v>
      </c>
    </row>
    <row r="32" spans="1:12" ht="29.45" customHeight="1">
      <c r="A32" s="7"/>
      <c r="B32" s="7"/>
      <c r="C32" s="7"/>
      <c r="D32" s="7"/>
      <c r="E32" s="9"/>
      <c r="F32" s="10"/>
      <c r="G32" s="9"/>
      <c r="H32" s="9"/>
    </row>
    <row r="33" spans="1:8" ht="29.45" customHeight="1">
      <c r="A33" s="7"/>
      <c r="B33" s="7"/>
      <c r="C33" s="7"/>
      <c r="D33" s="7"/>
      <c r="E33" s="9"/>
      <c r="F33" s="10"/>
      <c r="G33" s="9"/>
      <c r="H33" s="9"/>
    </row>
    <row r="34" spans="1:8" ht="29.45" customHeight="1">
      <c r="A34" s="12"/>
      <c r="B34" s="12"/>
      <c r="C34" s="12"/>
      <c r="D34" s="12"/>
      <c r="E34" s="13"/>
      <c r="F34" s="14"/>
      <c r="G34" s="13"/>
      <c r="H34" s="13">
        <f>SUM(H26:H31)</f>
        <v>10200000</v>
      </c>
    </row>
  </sheetData>
  <mergeCells count="9">
    <mergeCell ref="A2:I2"/>
    <mergeCell ref="A23:H23"/>
    <mergeCell ref="A24:A25"/>
    <mergeCell ref="B24:B25"/>
    <mergeCell ref="C24:C25"/>
    <mergeCell ref="D24:D25"/>
    <mergeCell ref="E24:E25"/>
    <mergeCell ref="F24:F25"/>
    <mergeCell ref="G24:G25"/>
  </mergeCells>
  <hyperlinks>
    <hyperlink ref="A1" location="Name!A1" display="Name!A1" xr:uid="{3D8F191C-4D9B-46FC-B495-F9DD6C14FD5F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173C-7D32-4AD3-B011-4D9E7506FD30}">
  <dimension ref="A1:I13"/>
  <sheetViews>
    <sheetView workbookViewId="0"/>
  </sheetViews>
  <sheetFormatPr defaultRowHeight="1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16.28515625" customWidth="1"/>
  </cols>
  <sheetData>
    <row r="1" spans="1:9" ht="29.45" customHeight="1">
      <c r="A1" s="410" t="s">
        <v>648</v>
      </c>
    </row>
    <row r="2" spans="1:9" ht="29.45" customHeight="1">
      <c r="A2" s="644" t="s">
        <v>566</v>
      </c>
      <c r="B2" s="644"/>
      <c r="C2" s="644"/>
      <c r="D2" s="644"/>
      <c r="E2" s="644"/>
      <c r="F2" s="644"/>
      <c r="G2" s="644"/>
      <c r="H2" s="644"/>
    </row>
    <row r="3" spans="1:9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9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9" ht="29.45" customHeight="1">
      <c r="A5" s="7">
        <v>1</v>
      </c>
      <c r="B5" s="7" t="s">
        <v>130</v>
      </c>
      <c r="C5" s="7" t="s">
        <v>567</v>
      </c>
      <c r="D5" s="409" t="s">
        <v>565</v>
      </c>
      <c r="E5" s="9" t="s">
        <v>661</v>
      </c>
      <c r="F5" s="10" t="s">
        <v>886</v>
      </c>
      <c r="G5" s="9" t="s">
        <v>887</v>
      </c>
      <c r="H5" s="9">
        <v>800000</v>
      </c>
      <c r="I5" s="146" t="s">
        <v>664</v>
      </c>
    </row>
    <row r="6" spans="1:9" ht="29.45" customHeight="1">
      <c r="A6" s="7"/>
      <c r="B6" s="7"/>
      <c r="C6" s="7" t="s">
        <v>679</v>
      </c>
      <c r="D6" s="7"/>
      <c r="E6" s="9" t="s">
        <v>888</v>
      </c>
      <c r="F6" s="10" t="s">
        <v>886</v>
      </c>
      <c r="G6" s="9" t="s">
        <v>887</v>
      </c>
      <c r="H6" s="9">
        <v>800000</v>
      </c>
      <c r="I6" s="146" t="s">
        <v>664</v>
      </c>
    </row>
    <row r="7" spans="1:9" ht="29.45" customHeight="1">
      <c r="A7" s="7"/>
      <c r="B7" s="7"/>
      <c r="C7" s="7"/>
      <c r="D7" s="7"/>
      <c r="E7" s="9" t="s">
        <v>889</v>
      </c>
      <c r="F7" s="10" t="s">
        <v>890</v>
      </c>
      <c r="G7" s="9" t="s">
        <v>885</v>
      </c>
      <c r="H7" s="9">
        <v>1600000</v>
      </c>
      <c r="I7" s="146" t="s">
        <v>891</v>
      </c>
    </row>
    <row r="8" spans="1:9" ht="29.45" customHeight="1">
      <c r="A8" s="7"/>
      <c r="B8" s="7"/>
      <c r="C8" s="7"/>
      <c r="D8" s="7"/>
      <c r="E8" s="9" t="s">
        <v>568</v>
      </c>
      <c r="F8" s="10" t="s">
        <v>892</v>
      </c>
      <c r="G8" s="9" t="s">
        <v>694</v>
      </c>
      <c r="H8" s="9">
        <v>1109600</v>
      </c>
      <c r="I8" s="333" t="s">
        <v>664</v>
      </c>
    </row>
    <row r="9" spans="1:9" ht="29.45" customHeight="1">
      <c r="A9" s="7"/>
      <c r="B9" s="7"/>
      <c r="C9" s="7"/>
      <c r="D9" s="7"/>
      <c r="E9" s="9"/>
      <c r="F9" s="10"/>
      <c r="G9" s="9"/>
      <c r="H9" s="9"/>
    </row>
    <row r="10" spans="1:9" ht="29.45" customHeight="1">
      <c r="A10" s="7"/>
      <c r="B10" s="7"/>
      <c r="C10" s="7"/>
      <c r="D10" s="7"/>
      <c r="E10" s="9"/>
      <c r="F10" s="10"/>
      <c r="G10" s="9"/>
      <c r="H10" s="9"/>
    </row>
    <row r="11" spans="1:9" ht="29.45" customHeight="1">
      <c r="A11" s="7"/>
      <c r="B11" s="7"/>
      <c r="C11" s="7"/>
      <c r="D11" s="7"/>
      <c r="E11" s="9"/>
      <c r="F11" s="10"/>
      <c r="G11" s="9"/>
      <c r="H11" s="9"/>
    </row>
    <row r="12" spans="1:9" ht="29.45" customHeight="1">
      <c r="A12" s="7"/>
      <c r="B12" s="7"/>
      <c r="C12" s="7"/>
      <c r="D12" s="7"/>
      <c r="E12" s="9"/>
      <c r="F12" s="10"/>
      <c r="G12" s="9"/>
      <c r="H12" s="9"/>
    </row>
    <row r="13" spans="1:9" ht="29.45" customHeight="1">
      <c r="A13" s="12"/>
      <c r="B13" s="12"/>
      <c r="C13" s="12"/>
      <c r="D13" s="12"/>
      <c r="E13" s="13"/>
      <c r="F13" s="14"/>
      <c r="G13" s="13"/>
      <c r="H13" s="13">
        <f>SUM(H5:H9)</f>
        <v>4309600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C7A9D65F-4FC0-4075-8C12-B17F2D53F377}"/>
  </hyperlink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0A51-36FE-4D6E-9581-0C9B2EF06C9D}">
  <dimension ref="A1:P58"/>
  <sheetViews>
    <sheetView workbookViewId="0">
      <selection sqref="A1:I1"/>
    </sheetView>
  </sheetViews>
  <sheetFormatPr defaultRowHeight="15"/>
  <cols>
    <col min="4" max="4" width="16.42578125" customWidth="1"/>
    <col min="5" max="5" width="20.85546875" customWidth="1"/>
    <col min="8" max="8" width="16.85546875" customWidth="1"/>
    <col min="9" max="9" width="23.85546875" customWidth="1"/>
    <col min="12" max="12" width="11.85546875" customWidth="1"/>
    <col min="13" max="13" width="35.28515625" customWidth="1"/>
    <col min="14" max="14" width="13.7109375" style="328" customWidth="1"/>
  </cols>
  <sheetData>
    <row r="1" spans="1:9" ht="29.25" customHeight="1">
      <c r="A1" s="652" t="s">
        <v>893</v>
      </c>
      <c r="B1" s="652"/>
      <c r="C1" s="652"/>
      <c r="D1" s="652"/>
      <c r="E1" s="652"/>
      <c r="F1" s="652"/>
      <c r="G1" s="652"/>
      <c r="H1" s="652"/>
      <c r="I1" s="652"/>
    </row>
    <row r="2" spans="1:9" ht="57">
      <c r="A2" s="16" t="s">
        <v>11</v>
      </c>
      <c r="B2" s="17" t="s">
        <v>697</v>
      </c>
      <c r="C2" s="17" t="s">
        <v>12</v>
      </c>
      <c r="D2" s="17" t="s">
        <v>894</v>
      </c>
      <c r="E2" s="16" t="s">
        <v>699</v>
      </c>
      <c r="F2" s="16" t="s">
        <v>657</v>
      </c>
      <c r="G2" s="17" t="s">
        <v>700</v>
      </c>
      <c r="H2" s="16" t="s">
        <v>660</v>
      </c>
      <c r="I2" s="16" t="s">
        <v>27</v>
      </c>
    </row>
    <row r="3" spans="1:9" ht="27.75" customHeight="1">
      <c r="A3" s="35">
        <v>1</v>
      </c>
      <c r="B3" s="35" t="s">
        <v>30</v>
      </c>
      <c r="C3" s="35" t="s">
        <v>895</v>
      </c>
      <c r="D3" s="35" t="s">
        <v>896</v>
      </c>
      <c r="E3" s="35" t="s">
        <v>703</v>
      </c>
      <c r="F3" s="36" t="s">
        <v>897</v>
      </c>
      <c r="G3" s="35" t="s">
        <v>898</v>
      </c>
      <c r="H3" s="37">
        <v>1200000</v>
      </c>
      <c r="I3" s="37"/>
    </row>
    <row r="4" spans="1:9" ht="27.75" customHeight="1">
      <c r="A4" s="35"/>
      <c r="B4" s="35"/>
      <c r="C4" s="35"/>
      <c r="D4" s="35"/>
      <c r="E4" s="38" t="s">
        <v>899</v>
      </c>
      <c r="F4" s="36" t="s">
        <v>897</v>
      </c>
      <c r="G4" s="35" t="s">
        <v>898</v>
      </c>
      <c r="H4" s="37">
        <v>1200000</v>
      </c>
      <c r="I4" s="37"/>
    </row>
    <row r="5" spans="1:9" ht="27.75" customHeight="1">
      <c r="A5" s="35"/>
      <c r="B5" s="35"/>
      <c r="C5" s="35"/>
      <c r="D5" s="35"/>
      <c r="E5" s="38" t="s">
        <v>900</v>
      </c>
      <c r="F5" s="36" t="s">
        <v>901</v>
      </c>
      <c r="G5" s="298" t="s">
        <v>902</v>
      </c>
      <c r="H5" s="37">
        <v>1200000</v>
      </c>
      <c r="I5" s="37"/>
    </row>
    <row r="6" spans="1:9" ht="27.75" customHeight="1">
      <c r="A6" s="35"/>
      <c r="B6" s="35"/>
      <c r="C6" s="35"/>
      <c r="D6" s="35"/>
      <c r="E6" s="38" t="s">
        <v>903</v>
      </c>
      <c r="F6" s="36" t="s">
        <v>904</v>
      </c>
      <c r="G6" s="35" t="s">
        <v>905</v>
      </c>
      <c r="H6" s="37">
        <v>2400000</v>
      </c>
      <c r="I6" s="37"/>
    </row>
    <row r="7" spans="1:9" ht="27.75" customHeight="1">
      <c r="A7" s="35"/>
      <c r="B7" s="35"/>
      <c r="C7" s="35"/>
      <c r="D7" s="35"/>
      <c r="E7" s="38" t="s">
        <v>906</v>
      </c>
      <c r="F7" s="36" t="s">
        <v>907</v>
      </c>
      <c r="G7" s="35" t="s">
        <v>908</v>
      </c>
      <c r="H7" s="37">
        <v>3600000</v>
      </c>
      <c r="I7" s="37"/>
    </row>
    <row r="8" spans="1:9" ht="27.75" customHeight="1">
      <c r="A8" s="35"/>
      <c r="B8" s="35"/>
      <c r="C8" s="35"/>
      <c r="D8" s="35"/>
      <c r="E8" s="38" t="s">
        <v>909</v>
      </c>
      <c r="F8" s="36" t="s">
        <v>910</v>
      </c>
      <c r="G8" s="35" t="s">
        <v>911</v>
      </c>
      <c r="H8" s="37">
        <v>1200000</v>
      </c>
      <c r="I8" s="37"/>
    </row>
    <row r="9" spans="1:9" ht="27.75" customHeight="1">
      <c r="A9" s="35"/>
      <c r="B9" s="35"/>
      <c r="C9" s="35"/>
      <c r="D9" s="35"/>
      <c r="E9" s="38" t="s">
        <v>912</v>
      </c>
      <c r="F9" s="36" t="s">
        <v>913</v>
      </c>
      <c r="G9" s="35" t="s">
        <v>914</v>
      </c>
      <c r="H9" s="37">
        <v>2400000</v>
      </c>
      <c r="I9" s="37"/>
    </row>
    <row r="10" spans="1:9" ht="27.75" customHeight="1">
      <c r="A10" s="35"/>
      <c r="B10" s="35"/>
      <c r="C10" s="35"/>
      <c r="D10" s="35"/>
      <c r="E10" s="38" t="s">
        <v>915</v>
      </c>
      <c r="F10" s="36" t="s">
        <v>916</v>
      </c>
      <c r="G10" s="35" t="s">
        <v>917</v>
      </c>
      <c r="H10" s="37">
        <v>2400000</v>
      </c>
      <c r="I10" s="37"/>
    </row>
    <row r="11" spans="1:9" ht="27.75" customHeight="1">
      <c r="A11" s="35"/>
      <c r="B11" s="35"/>
      <c r="C11" s="35"/>
      <c r="D11" s="35"/>
      <c r="E11" s="38"/>
      <c r="F11" s="36"/>
      <c r="G11" s="35"/>
      <c r="H11" s="37"/>
      <c r="I11" s="37"/>
    </row>
    <row r="12" spans="1:9" ht="27.75" customHeight="1">
      <c r="A12" s="35"/>
      <c r="B12" s="35"/>
      <c r="C12" s="35"/>
      <c r="D12" s="35"/>
      <c r="E12" s="35"/>
      <c r="F12" s="37"/>
      <c r="G12" s="35"/>
      <c r="H12" s="48">
        <f>SUM(H3:H11)</f>
        <v>15600000</v>
      </c>
      <c r="I12" s="37"/>
    </row>
    <row r="13" spans="1:9" ht="27.75" customHeight="1"/>
    <row r="15" spans="1:9" ht="18">
      <c r="A15" s="652" t="s">
        <v>918</v>
      </c>
      <c r="B15" s="652"/>
      <c r="C15" s="652"/>
      <c r="D15" s="652"/>
      <c r="E15" s="652"/>
      <c r="F15" s="652"/>
      <c r="G15" s="652"/>
      <c r="H15" s="652"/>
      <c r="I15" s="652"/>
    </row>
    <row r="16" spans="1:9" ht="57">
      <c r="A16" s="16" t="s">
        <v>11</v>
      </c>
      <c r="B16" s="17" t="s">
        <v>697</v>
      </c>
      <c r="C16" s="17" t="s">
        <v>12</v>
      </c>
      <c r="D16" s="17" t="s">
        <v>894</v>
      </c>
      <c r="E16" s="16" t="s">
        <v>699</v>
      </c>
      <c r="F16" s="16" t="s">
        <v>657</v>
      </c>
      <c r="G16" s="17" t="s">
        <v>700</v>
      </c>
      <c r="H16" s="16" t="s">
        <v>660</v>
      </c>
      <c r="I16" s="16" t="s">
        <v>27</v>
      </c>
    </row>
    <row r="17" spans="1:10">
      <c r="A17" s="35">
        <v>1</v>
      </c>
      <c r="B17" s="35" t="s">
        <v>30</v>
      </c>
      <c r="C17" s="35" t="s">
        <v>895</v>
      </c>
      <c r="D17" s="35" t="s">
        <v>896</v>
      </c>
      <c r="E17" s="35" t="s">
        <v>919</v>
      </c>
      <c r="F17" s="36" t="s">
        <v>920</v>
      </c>
      <c r="G17" s="35" t="s">
        <v>921</v>
      </c>
      <c r="H17" s="37">
        <v>186000</v>
      </c>
      <c r="I17" s="37"/>
      <c r="J17" t="s">
        <v>922</v>
      </c>
    </row>
    <row r="18" spans="1:10">
      <c r="A18" s="35"/>
      <c r="B18" s="35"/>
      <c r="C18" s="35"/>
      <c r="D18" s="35"/>
      <c r="E18" s="38"/>
      <c r="F18" s="36"/>
      <c r="G18" s="35"/>
      <c r="H18" s="37"/>
      <c r="I18" s="37"/>
    </row>
    <row r="19" spans="1:10">
      <c r="A19" s="35"/>
      <c r="B19" s="35"/>
      <c r="C19" s="35"/>
      <c r="D19" s="35"/>
      <c r="E19" s="38"/>
      <c r="F19" s="36"/>
      <c r="G19" s="298"/>
      <c r="H19" s="37"/>
      <c r="I19" s="37"/>
    </row>
    <row r="20" spans="1:10">
      <c r="A20" s="35"/>
      <c r="B20" s="35"/>
      <c r="C20" s="35"/>
      <c r="D20" s="35"/>
      <c r="E20" s="38"/>
      <c r="F20" s="36"/>
      <c r="G20" s="35"/>
      <c r="H20" s="37"/>
      <c r="I20" s="37"/>
    </row>
    <row r="21" spans="1:10">
      <c r="A21" s="35"/>
      <c r="B21" s="35"/>
      <c r="C21" s="35"/>
      <c r="D21" s="35"/>
      <c r="E21" s="38"/>
      <c r="F21" s="36"/>
      <c r="G21" s="35"/>
      <c r="H21" s="37"/>
      <c r="I21" s="37"/>
    </row>
    <row r="22" spans="1:10">
      <c r="A22" s="35"/>
      <c r="B22" s="35"/>
      <c r="C22" s="35"/>
      <c r="D22" s="35"/>
      <c r="E22" s="38"/>
      <c r="F22" s="36"/>
      <c r="G22" s="35"/>
      <c r="H22" s="37"/>
      <c r="I22" s="37"/>
    </row>
    <row r="23" spans="1:10">
      <c r="A23" s="35"/>
      <c r="B23" s="35"/>
      <c r="C23" s="35"/>
      <c r="D23" s="35"/>
      <c r="E23" s="38"/>
      <c r="F23" s="36"/>
      <c r="G23" s="35"/>
      <c r="H23" s="37"/>
      <c r="I23" s="37"/>
    </row>
    <row r="24" spans="1:10">
      <c r="A24" s="35"/>
      <c r="B24" s="35"/>
      <c r="C24" s="35"/>
      <c r="D24" s="35"/>
      <c r="E24" s="38"/>
      <c r="F24" s="36"/>
      <c r="G24" s="35"/>
      <c r="H24" s="37"/>
      <c r="I24" s="37"/>
    </row>
    <row r="25" spans="1:10">
      <c r="A25" s="35"/>
      <c r="B25" s="35"/>
      <c r="C25" s="35"/>
      <c r="D25" s="35"/>
      <c r="E25" s="38"/>
      <c r="F25" s="36"/>
      <c r="G25" s="35"/>
      <c r="H25" s="37"/>
      <c r="I25" s="37"/>
    </row>
    <row r="26" spans="1:10">
      <c r="A26" s="35"/>
      <c r="B26" s="35"/>
      <c r="C26" s="35"/>
      <c r="D26" s="35"/>
      <c r="E26" s="35"/>
      <c r="F26" s="37"/>
      <c r="G26" s="35"/>
      <c r="H26" s="48">
        <f>SUM(H17:H25)</f>
        <v>186000</v>
      </c>
      <c r="I26" s="37"/>
    </row>
    <row r="30" spans="1:10">
      <c r="A30" s="410" t="s">
        <v>648</v>
      </c>
    </row>
    <row r="31" spans="1:10" ht="18">
      <c r="A31" s="652" t="s">
        <v>923</v>
      </c>
      <c r="B31" s="652"/>
      <c r="C31" s="652"/>
      <c r="D31" s="652"/>
      <c r="E31" s="652"/>
      <c r="F31" s="652"/>
      <c r="G31" s="652"/>
      <c r="H31" s="652"/>
      <c r="I31" s="652"/>
    </row>
    <row r="32" spans="1:10" ht="57">
      <c r="A32" s="16" t="s">
        <v>11</v>
      </c>
      <c r="B32" s="17" t="s">
        <v>697</v>
      </c>
      <c r="C32" s="17" t="s">
        <v>12</v>
      </c>
      <c r="D32" s="17" t="s">
        <v>894</v>
      </c>
      <c r="E32" s="16" t="s">
        <v>699</v>
      </c>
      <c r="F32" s="16" t="s">
        <v>657</v>
      </c>
      <c r="G32" s="17" t="s">
        <v>700</v>
      </c>
      <c r="H32" s="16" t="s">
        <v>660</v>
      </c>
      <c r="I32" s="16" t="s">
        <v>27</v>
      </c>
    </row>
    <row r="33" spans="1:16">
      <c r="A33" s="35">
        <v>1</v>
      </c>
      <c r="B33" s="35" t="s">
        <v>30</v>
      </c>
      <c r="C33" s="35" t="s">
        <v>895</v>
      </c>
      <c r="D33" s="35" t="s">
        <v>896</v>
      </c>
      <c r="E33" s="35" t="s">
        <v>924</v>
      </c>
      <c r="F33" s="36" t="s">
        <v>925</v>
      </c>
      <c r="G33" s="35" t="s">
        <v>926</v>
      </c>
      <c r="H33" s="37">
        <v>1600000</v>
      </c>
      <c r="I33" s="37"/>
    </row>
    <row r="34" spans="1:16">
      <c r="A34" s="35"/>
      <c r="B34" s="35"/>
      <c r="C34" s="35"/>
      <c r="D34" s="35"/>
      <c r="E34" s="38" t="s">
        <v>927</v>
      </c>
      <c r="F34" s="36"/>
      <c r="G34" s="35" t="s">
        <v>928</v>
      </c>
      <c r="H34" s="37"/>
      <c r="I34" s="37"/>
      <c r="J34" s="44" t="s">
        <v>929</v>
      </c>
      <c r="K34" s="44"/>
    </row>
    <row r="35" spans="1:16">
      <c r="A35" s="35"/>
      <c r="B35" s="35"/>
      <c r="C35" s="35"/>
      <c r="D35" s="35"/>
      <c r="E35" s="38"/>
      <c r="F35" s="36"/>
      <c r="G35" s="298"/>
      <c r="H35" s="37"/>
      <c r="I35" s="37"/>
    </row>
    <row r="36" spans="1:16">
      <c r="A36" s="35"/>
      <c r="B36" s="35"/>
      <c r="C36" s="35"/>
      <c r="D36" s="35"/>
      <c r="E36" s="38"/>
      <c r="F36" s="36"/>
      <c r="G36" s="35"/>
      <c r="H36" s="37"/>
      <c r="I36" s="37"/>
    </row>
    <row r="37" spans="1:16">
      <c r="A37" s="35"/>
      <c r="B37" s="35"/>
      <c r="C37" s="35"/>
      <c r="D37" s="35"/>
      <c r="E37" s="38"/>
      <c r="F37" s="36"/>
      <c r="G37" s="35"/>
      <c r="H37" s="37"/>
      <c r="I37" s="37"/>
    </row>
    <row r="38" spans="1:16">
      <c r="A38" s="35"/>
      <c r="B38" s="35"/>
      <c r="C38" s="35"/>
      <c r="D38" s="35"/>
      <c r="E38" s="38"/>
      <c r="F38" s="36"/>
      <c r="G38" s="35"/>
      <c r="H38" s="37"/>
      <c r="I38" s="37"/>
    </row>
    <row r="39" spans="1:16">
      <c r="A39" s="35"/>
      <c r="B39" s="35"/>
      <c r="C39" s="35"/>
      <c r="D39" s="35"/>
      <c r="E39" s="38"/>
      <c r="F39" s="36"/>
      <c r="G39" s="35"/>
      <c r="H39" s="37"/>
      <c r="I39" s="37"/>
    </row>
    <row r="40" spans="1:16">
      <c r="A40" s="35"/>
      <c r="B40" s="35"/>
      <c r="C40" s="35"/>
      <c r="D40" s="35"/>
      <c r="E40" s="38"/>
      <c r="F40" s="36"/>
      <c r="G40" s="35"/>
      <c r="H40" s="37"/>
      <c r="I40" s="37"/>
    </row>
    <row r="41" spans="1:16">
      <c r="A41" s="35"/>
      <c r="B41" s="35"/>
      <c r="C41" s="35"/>
      <c r="D41" s="35"/>
      <c r="E41" s="38"/>
      <c r="F41" s="36"/>
      <c r="G41" s="35"/>
      <c r="H41" s="37"/>
      <c r="I41" s="37"/>
    </row>
    <row r="42" spans="1:16">
      <c r="A42" s="35"/>
      <c r="B42" s="35"/>
      <c r="C42" s="35"/>
      <c r="D42" s="35"/>
      <c r="E42" s="35"/>
      <c r="F42" s="37"/>
      <c r="G42" s="35"/>
      <c r="H42" s="48">
        <f>SUM(H33:H41)</f>
        <v>1600000</v>
      </c>
      <c r="I42" s="37"/>
    </row>
    <row r="45" spans="1:16" ht="18">
      <c r="A45" s="652" t="s">
        <v>930</v>
      </c>
      <c r="B45" s="652"/>
      <c r="C45" s="652"/>
      <c r="D45" s="652"/>
      <c r="E45" s="652"/>
      <c r="F45" s="652"/>
      <c r="G45" s="652"/>
      <c r="H45" s="652"/>
      <c r="I45" s="652"/>
    </row>
    <row r="46" spans="1:16" ht="57">
      <c r="A46" s="16" t="s">
        <v>11</v>
      </c>
      <c r="B46" s="17" t="s">
        <v>697</v>
      </c>
      <c r="C46" s="17" t="s">
        <v>12</v>
      </c>
      <c r="D46" s="17" t="s">
        <v>894</v>
      </c>
      <c r="E46" s="16" t="s">
        <v>699</v>
      </c>
      <c r="F46" s="16" t="s">
        <v>657</v>
      </c>
      <c r="G46" s="17" t="s">
        <v>700</v>
      </c>
      <c r="H46" s="16" t="s">
        <v>660</v>
      </c>
      <c r="I46" s="16" t="s">
        <v>27</v>
      </c>
      <c r="L46" s="543" t="s">
        <v>807</v>
      </c>
      <c r="M46" s="543" t="s">
        <v>651</v>
      </c>
      <c r="N46" s="544" t="s">
        <v>652</v>
      </c>
      <c r="O46" s="444"/>
      <c r="P46" s="444"/>
    </row>
    <row r="47" spans="1:16" ht="15.75">
      <c r="A47" s="35">
        <v>1</v>
      </c>
      <c r="B47" s="35" t="s">
        <v>30</v>
      </c>
      <c r="C47" s="35" t="s">
        <v>895</v>
      </c>
      <c r="D47" s="35" t="s">
        <v>896</v>
      </c>
      <c r="E47" s="35" t="s">
        <v>661</v>
      </c>
      <c r="F47" s="36" t="s">
        <v>931</v>
      </c>
      <c r="G47" s="35" t="s">
        <v>932</v>
      </c>
      <c r="H47" s="37">
        <v>1000000</v>
      </c>
      <c r="I47" s="37"/>
      <c r="L47" s="444" t="s">
        <v>928</v>
      </c>
      <c r="M47" s="444" t="s">
        <v>933</v>
      </c>
      <c r="N47" s="447">
        <v>100000</v>
      </c>
      <c r="O47" s="444"/>
      <c r="P47" s="444"/>
    </row>
    <row r="48" spans="1:16" ht="15.75">
      <c r="A48" s="35"/>
      <c r="B48" s="35"/>
      <c r="C48" s="35"/>
      <c r="D48" s="35"/>
      <c r="E48" s="38" t="s">
        <v>934</v>
      </c>
      <c r="F48" s="36" t="s">
        <v>931</v>
      </c>
      <c r="G48" s="35" t="s">
        <v>932</v>
      </c>
      <c r="H48" s="37">
        <v>1000000</v>
      </c>
      <c r="I48" s="37"/>
      <c r="L48" s="444" t="s">
        <v>928</v>
      </c>
      <c r="M48" s="444" t="s">
        <v>935</v>
      </c>
      <c r="N48" s="447">
        <v>30000</v>
      </c>
      <c r="O48" s="444"/>
      <c r="P48" s="444"/>
    </row>
    <row r="49" spans="1:16" ht="15.75">
      <c r="A49" s="35"/>
      <c r="B49" s="35"/>
      <c r="C49" s="35"/>
      <c r="D49" s="35"/>
      <c r="E49" s="38" t="s">
        <v>684</v>
      </c>
      <c r="F49" s="36"/>
      <c r="G49" s="298"/>
      <c r="H49" s="37">
        <v>-1000000</v>
      </c>
      <c r="I49" s="351" t="s">
        <v>936</v>
      </c>
      <c r="L49" s="444" t="s">
        <v>928</v>
      </c>
      <c r="M49" s="444" t="s">
        <v>937</v>
      </c>
      <c r="N49" s="447">
        <v>30000</v>
      </c>
      <c r="O49" s="444"/>
      <c r="P49" s="444"/>
    </row>
    <row r="50" spans="1:16" ht="15.75">
      <c r="A50" s="35"/>
      <c r="B50" s="35"/>
      <c r="C50" s="35"/>
      <c r="D50" s="35"/>
      <c r="E50" s="38" t="s">
        <v>649</v>
      </c>
      <c r="F50" s="36"/>
      <c r="G50" s="35"/>
      <c r="H50" s="37">
        <v>450000</v>
      </c>
      <c r="I50" s="37"/>
      <c r="L50" s="444" t="s">
        <v>928</v>
      </c>
      <c r="M50" s="444" t="s">
        <v>813</v>
      </c>
      <c r="N50" s="447">
        <v>7000</v>
      </c>
      <c r="O50" s="444"/>
      <c r="P50" s="444"/>
    </row>
    <row r="51" spans="1:16" ht="15.75">
      <c r="A51" s="35"/>
      <c r="B51" s="35"/>
      <c r="C51" s="35"/>
      <c r="D51" s="35"/>
      <c r="E51" s="38"/>
      <c r="F51" s="36"/>
      <c r="G51" s="35"/>
      <c r="H51" s="37"/>
      <c r="I51" s="37"/>
      <c r="L51" s="444"/>
      <c r="M51" s="444"/>
      <c r="N51" s="447"/>
      <c r="O51" s="444"/>
      <c r="P51" s="444"/>
    </row>
    <row r="52" spans="1:16" ht="15.75">
      <c r="A52" s="35"/>
      <c r="B52" s="35"/>
      <c r="C52" s="35"/>
      <c r="D52" s="35"/>
      <c r="E52" s="38"/>
      <c r="F52" s="36"/>
      <c r="G52" s="35"/>
      <c r="H52" s="37"/>
      <c r="I52" s="37"/>
      <c r="L52" s="444"/>
      <c r="M52" s="444"/>
      <c r="N52" s="447"/>
      <c r="O52" s="444"/>
      <c r="P52" s="444"/>
    </row>
    <row r="53" spans="1:16" ht="15.75">
      <c r="A53" s="35"/>
      <c r="B53" s="35"/>
      <c r="C53" s="35"/>
      <c r="D53" s="35"/>
      <c r="E53" s="38"/>
      <c r="F53" s="36"/>
      <c r="G53" s="35"/>
      <c r="H53" s="37"/>
      <c r="I53" s="37"/>
      <c r="L53" s="444"/>
      <c r="M53" s="542" t="s">
        <v>665</v>
      </c>
      <c r="N53" s="545">
        <f>SUM(N47:N51)</f>
        <v>167000</v>
      </c>
      <c r="O53" s="444"/>
      <c r="P53" s="444"/>
    </row>
    <row r="54" spans="1:16" ht="15.75">
      <c r="A54" s="35"/>
      <c r="B54" s="35"/>
      <c r="C54" s="35"/>
      <c r="D54" s="35"/>
      <c r="E54" s="38"/>
      <c r="F54" s="36"/>
      <c r="G54" s="35"/>
      <c r="H54" s="37"/>
      <c r="I54" s="37"/>
      <c r="L54" s="444"/>
      <c r="M54" s="444"/>
      <c r="N54" s="447"/>
      <c r="O54" s="444"/>
      <c r="P54" s="444"/>
    </row>
    <row r="55" spans="1:16" ht="15.75">
      <c r="A55" s="35"/>
      <c r="B55" s="35"/>
      <c r="C55" s="35"/>
      <c r="D55" s="35"/>
      <c r="E55" s="38"/>
      <c r="F55" s="36"/>
      <c r="G55" s="35"/>
      <c r="H55" s="37"/>
      <c r="I55" s="37"/>
      <c r="L55" s="444"/>
      <c r="M55" s="444"/>
      <c r="N55" s="447"/>
      <c r="O55" s="444"/>
      <c r="P55" s="444"/>
    </row>
    <row r="56" spans="1:16" ht="15.75">
      <c r="A56" s="35"/>
      <c r="B56" s="35"/>
      <c r="C56" s="35"/>
      <c r="D56" s="35"/>
      <c r="E56" s="35"/>
      <c r="F56" s="37"/>
      <c r="G56" s="35"/>
      <c r="H56" s="48">
        <f>SUM(H47:H55)</f>
        <v>1450000</v>
      </c>
      <c r="I56" s="37"/>
      <c r="L56" s="444"/>
      <c r="M56" s="444"/>
      <c r="N56" s="447"/>
      <c r="O56" s="444"/>
      <c r="P56" s="444"/>
    </row>
    <row r="57" spans="1:16" ht="15.75">
      <c r="L57" s="444"/>
      <c r="M57" s="444"/>
      <c r="N57" s="447"/>
      <c r="O57" s="444"/>
      <c r="P57" s="444"/>
    </row>
    <row r="58" spans="1:16" ht="15.75">
      <c r="L58" s="444"/>
      <c r="M58" s="444"/>
      <c r="N58" s="447"/>
      <c r="O58" s="444"/>
      <c r="P58" s="444"/>
    </row>
  </sheetData>
  <mergeCells count="4">
    <mergeCell ref="A1:I1"/>
    <mergeCell ref="A15:I15"/>
    <mergeCell ref="A31:I31"/>
    <mergeCell ref="A45:I45"/>
  </mergeCells>
  <hyperlinks>
    <hyperlink ref="A30" location="Name!A1" display="Name!A1" xr:uid="{A3690FB9-77BC-4CB1-A8EF-94FCB0325E5C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3970-505C-4471-B44F-58C4D0D315E2}">
  <dimension ref="A1:L13"/>
  <sheetViews>
    <sheetView workbookViewId="0"/>
  </sheetViews>
  <sheetFormatPr defaultRowHeight="18.75"/>
  <cols>
    <col min="3" max="3" width="21.7109375" customWidth="1"/>
    <col min="4" max="4" width="11.71093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16.28515625" customWidth="1"/>
    <col min="10" max="10" width="15.28515625" style="463" customWidth="1"/>
    <col min="11" max="11" width="23.140625" style="463" customWidth="1"/>
    <col min="12" max="12" width="21.140625" style="463" customWidth="1"/>
  </cols>
  <sheetData>
    <row r="1" spans="1:12" ht="29.45" customHeight="1">
      <c r="A1" s="410" t="s">
        <v>648</v>
      </c>
    </row>
    <row r="2" spans="1:12" ht="29.45" customHeight="1">
      <c r="A2" s="644" t="s">
        <v>559</v>
      </c>
      <c r="B2" s="644"/>
      <c r="C2" s="644"/>
      <c r="D2" s="644"/>
      <c r="E2" s="644"/>
      <c r="F2" s="644"/>
      <c r="G2" s="644"/>
      <c r="H2" s="644"/>
      <c r="J2" s="520" t="s">
        <v>807</v>
      </c>
      <c r="K2" s="520" t="s">
        <v>651</v>
      </c>
      <c r="L2" s="520" t="s">
        <v>652</v>
      </c>
    </row>
    <row r="3" spans="1:12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J3" s="463" t="s">
        <v>938</v>
      </c>
      <c r="K3" s="463" t="s">
        <v>939</v>
      </c>
      <c r="L3" s="463">
        <v>20000</v>
      </c>
    </row>
    <row r="4" spans="1:12" ht="29.45" customHeight="1">
      <c r="A4" s="646"/>
      <c r="B4" s="646"/>
      <c r="C4" s="646"/>
      <c r="D4" s="646"/>
      <c r="E4" s="648"/>
      <c r="F4" s="646"/>
      <c r="G4" s="646"/>
      <c r="H4" s="6" t="s">
        <v>660</v>
      </c>
      <c r="J4" s="463" t="s">
        <v>938</v>
      </c>
      <c r="K4" s="463" t="s">
        <v>940</v>
      </c>
      <c r="L4" s="463">
        <v>30000</v>
      </c>
    </row>
    <row r="5" spans="1:12" ht="29.45" customHeight="1">
      <c r="A5" s="7">
        <v>1</v>
      </c>
      <c r="B5" s="7" t="s">
        <v>130</v>
      </c>
      <c r="C5" s="7" t="s">
        <v>560</v>
      </c>
      <c r="D5" s="409" t="s">
        <v>558</v>
      </c>
      <c r="E5" s="9" t="s">
        <v>661</v>
      </c>
      <c r="F5" s="10" t="s">
        <v>941</v>
      </c>
      <c r="G5" s="9" t="s">
        <v>938</v>
      </c>
      <c r="H5" s="9">
        <v>800000</v>
      </c>
      <c r="I5" s="146" t="s">
        <v>664</v>
      </c>
      <c r="J5" s="463" t="s">
        <v>938</v>
      </c>
      <c r="K5" s="463" t="s">
        <v>942</v>
      </c>
      <c r="L5" s="463">
        <v>15000</v>
      </c>
    </row>
    <row r="6" spans="1:12" ht="29.45" customHeight="1">
      <c r="A6" s="7"/>
      <c r="B6" s="7"/>
      <c r="C6" s="7" t="s">
        <v>679</v>
      </c>
      <c r="D6" s="7"/>
      <c r="E6" s="9" t="s">
        <v>943</v>
      </c>
      <c r="F6" s="10" t="s">
        <v>941</v>
      </c>
      <c r="G6" s="9" t="s">
        <v>938</v>
      </c>
      <c r="H6" s="9">
        <v>800000</v>
      </c>
      <c r="I6" s="146" t="s">
        <v>664</v>
      </c>
    </row>
    <row r="7" spans="1:12" ht="29.45" customHeight="1">
      <c r="A7" s="7"/>
      <c r="B7" s="7"/>
      <c r="C7" s="7"/>
      <c r="D7" s="7"/>
      <c r="E7" s="9" t="s">
        <v>562</v>
      </c>
      <c r="F7" s="10" t="s">
        <v>944</v>
      </c>
      <c r="G7" s="9" t="s">
        <v>755</v>
      </c>
      <c r="H7" s="9">
        <v>2400000</v>
      </c>
      <c r="I7" s="641" t="s">
        <v>945</v>
      </c>
      <c r="K7" s="518" t="s">
        <v>665</v>
      </c>
      <c r="L7" s="518">
        <f>SUM(L3:L5)</f>
        <v>65000</v>
      </c>
    </row>
    <row r="8" spans="1:12" ht="29.45" customHeight="1">
      <c r="A8" s="7"/>
      <c r="B8" s="7"/>
      <c r="C8" s="7"/>
      <c r="D8" s="7"/>
      <c r="E8" s="9"/>
      <c r="F8" s="10"/>
      <c r="G8" s="9"/>
      <c r="H8" s="9"/>
    </row>
    <row r="9" spans="1:12" ht="29.45" customHeight="1">
      <c r="A9" s="7"/>
      <c r="B9" s="7"/>
      <c r="C9" s="7"/>
      <c r="D9" s="7"/>
      <c r="E9" s="9"/>
      <c r="F9" s="10"/>
      <c r="G9" s="9"/>
      <c r="H9" s="9"/>
    </row>
    <row r="10" spans="1:12" ht="29.45" customHeight="1">
      <c r="A10" s="7"/>
      <c r="B10" s="7"/>
      <c r="C10" s="7"/>
      <c r="D10" s="7"/>
      <c r="E10" s="9"/>
      <c r="F10" s="10"/>
      <c r="G10" s="9"/>
      <c r="H10" s="9"/>
    </row>
    <row r="11" spans="1:12" ht="29.45" customHeight="1">
      <c r="A11" s="7"/>
      <c r="B11" s="7"/>
      <c r="C11" s="7"/>
      <c r="D11" s="7"/>
      <c r="E11" s="9"/>
      <c r="F11" s="10"/>
      <c r="G11" s="9"/>
      <c r="H11" s="9"/>
    </row>
    <row r="12" spans="1:12" ht="29.45" customHeight="1">
      <c r="A12" s="7"/>
      <c r="B12" s="7"/>
      <c r="C12" s="7"/>
      <c r="D12" s="7"/>
      <c r="E12" s="9"/>
      <c r="F12" s="10"/>
      <c r="G12" s="9"/>
      <c r="H12" s="9"/>
    </row>
    <row r="13" spans="1:12" ht="29.45" customHeight="1">
      <c r="A13" s="12"/>
      <c r="B13" s="12"/>
      <c r="C13" s="12"/>
      <c r="D13" s="12"/>
      <c r="E13" s="13"/>
      <c r="F13" s="14"/>
      <c r="G13" s="13"/>
      <c r="H13" s="13">
        <f>SUM(H5:H9)</f>
        <v>4000000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ABB61B90-2EAB-4E87-A473-978C31F60BEC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EF27-397B-4810-8587-CCC62FDA53A7}">
  <dimension ref="A1:M32"/>
  <sheetViews>
    <sheetView workbookViewId="0">
      <selection activeCell="A11" sqref="A11"/>
    </sheetView>
  </sheetViews>
  <sheetFormatPr defaultRowHeight="29.45" customHeight="1"/>
  <cols>
    <col min="3" max="3" width="29.85546875" customWidth="1"/>
    <col min="4" max="4" width="11.7109375" customWidth="1"/>
    <col min="5" max="5" width="22.140625" customWidth="1"/>
    <col min="6" max="6" width="12.5703125" customWidth="1"/>
    <col min="8" max="8" width="21.85546875" customWidth="1"/>
    <col min="9" max="9" width="16.28515625" customWidth="1"/>
    <col min="11" max="11" width="14.42578125" style="463" customWidth="1"/>
    <col min="12" max="12" width="28" style="463" customWidth="1"/>
    <col min="13" max="13" width="19.7109375" style="463" customWidth="1"/>
  </cols>
  <sheetData>
    <row r="1" spans="1:13" ht="29.45" customHeight="1">
      <c r="A1" s="410" t="s">
        <v>648</v>
      </c>
    </row>
    <row r="2" spans="1:13" ht="29.45" customHeight="1">
      <c r="A2" s="644" t="s">
        <v>946</v>
      </c>
      <c r="B2" s="644"/>
      <c r="C2" s="644"/>
      <c r="D2" s="644"/>
      <c r="E2" s="644"/>
      <c r="F2" s="644"/>
      <c r="G2" s="644"/>
      <c r="H2" s="644"/>
    </row>
    <row r="3" spans="1:13" ht="29.4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3" ht="29.45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3" ht="29.45" customHeight="1">
      <c r="A5" s="7">
        <v>1</v>
      </c>
      <c r="B5" s="7" t="s">
        <v>947</v>
      </c>
      <c r="C5" s="7" t="s">
        <v>501</v>
      </c>
      <c r="D5" s="409" t="s">
        <v>948</v>
      </c>
      <c r="E5" s="9" t="s">
        <v>661</v>
      </c>
      <c r="F5" s="10" t="s">
        <v>949</v>
      </c>
      <c r="G5" s="9" t="s">
        <v>950</v>
      </c>
      <c r="H5" s="9">
        <v>1300000</v>
      </c>
      <c r="I5" s="146" t="s">
        <v>951</v>
      </c>
    </row>
    <row r="6" spans="1:13" ht="29.45" customHeight="1">
      <c r="A6" s="7"/>
      <c r="B6" s="7"/>
      <c r="C6" s="7" t="s">
        <v>679</v>
      </c>
      <c r="D6" s="7"/>
      <c r="E6" s="9" t="s">
        <v>952</v>
      </c>
      <c r="F6" s="10" t="s">
        <v>949</v>
      </c>
      <c r="G6" s="9" t="s">
        <v>950</v>
      </c>
      <c r="H6" s="9">
        <v>1300000</v>
      </c>
      <c r="I6" s="146" t="s">
        <v>951</v>
      </c>
    </row>
    <row r="7" spans="1:13" ht="29.45" customHeight="1">
      <c r="A7" s="7"/>
      <c r="B7" s="7"/>
      <c r="C7" s="7"/>
      <c r="D7" s="7"/>
      <c r="E7" s="9" t="s">
        <v>953</v>
      </c>
      <c r="F7" s="10" t="s">
        <v>954</v>
      </c>
      <c r="G7" s="9" t="s">
        <v>955</v>
      </c>
      <c r="H7" s="9">
        <v>1300000</v>
      </c>
      <c r="I7" s="146" t="s">
        <v>951</v>
      </c>
    </row>
    <row r="8" spans="1:13" ht="29.45" customHeight="1">
      <c r="A8" s="7"/>
      <c r="B8" s="7"/>
      <c r="C8" s="7"/>
      <c r="D8" s="7"/>
      <c r="E8" s="9"/>
      <c r="F8" s="10"/>
      <c r="G8" s="9"/>
      <c r="H8" s="9"/>
    </row>
    <row r="9" spans="1:13" ht="29.45" customHeight="1">
      <c r="A9" s="12"/>
      <c r="B9" s="12"/>
      <c r="C9" s="12"/>
      <c r="D9" s="12"/>
      <c r="E9" s="13"/>
      <c r="F9" s="14"/>
      <c r="G9" s="13"/>
      <c r="H9" s="13">
        <f>SUM(H5:H8)</f>
        <v>3900000</v>
      </c>
    </row>
    <row r="11" spans="1:13" ht="29.45" customHeight="1">
      <c r="A11" s="410" t="s">
        <v>648</v>
      </c>
    </row>
    <row r="12" spans="1:13" ht="29.45" customHeight="1">
      <c r="A12" s="653" t="s">
        <v>956</v>
      </c>
      <c r="B12" s="653"/>
      <c r="C12" s="653"/>
      <c r="D12" s="653"/>
      <c r="E12" s="653"/>
      <c r="F12" s="653"/>
      <c r="G12" s="653"/>
      <c r="H12" s="653"/>
      <c r="K12" s="520" t="s">
        <v>807</v>
      </c>
      <c r="L12" s="520" t="s">
        <v>651</v>
      </c>
      <c r="M12" s="520" t="s">
        <v>652</v>
      </c>
    </row>
    <row r="13" spans="1:13" ht="29.45" customHeight="1">
      <c r="A13" s="645" t="s">
        <v>653</v>
      </c>
      <c r="B13" s="647" t="s">
        <v>654</v>
      </c>
      <c r="C13" s="645" t="s">
        <v>655</v>
      </c>
      <c r="D13" s="645" t="s">
        <v>12</v>
      </c>
      <c r="E13" s="647" t="s">
        <v>656</v>
      </c>
      <c r="F13" s="645" t="s">
        <v>657</v>
      </c>
      <c r="G13" s="647" t="s">
        <v>658</v>
      </c>
      <c r="H13" s="3" t="s">
        <v>659</v>
      </c>
      <c r="K13" s="463" t="s">
        <v>957</v>
      </c>
      <c r="L13" s="463" t="s">
        <v>958</v>
      </c>
      <c r="M13" s="463">
        <v>85000</v>
      </c>
    </row>
    <row r="14" spans="1:13" ht="29.45" customHeight="1">
      <c r="A14" s="646"/>
      <c r="B14" s="646"/>
      <c r="C14" s="646"/>
      <c r="D14" s="646"/>
      <c r="E14" s="648"/>
      <c r="F14" s="646"/>
      <c r="G14" s="646"/>
      <c r="H14" s="6" t="s">
        <v>660</v>
      </c>
      <c r="L14" s="463" t="s">
        <v>959</v>
      </c>
      <c r="M14" s="463">
        <v>10000</v>
      </c>
    </row>
    <row r="15" spans="1:13" ht="29.45" customHeight="1">
      <c r="A15" s="7">
        <v>1</v>
      </c>
      <c r="B15" s="7" t="s">
        <v>947</v>
      </c>
      <c r="C15" s="7" t="s">
        <v>501</v>
      </c>
      <c r="D15" s="409" t="s">
        <v>948</v>
      </c>
      <c r="E15" s="9" t="s">
        <v>661</v>
      </c>
      <c r="F15" s="10"/>
      <c r="G15" s="9" t="s">
        <v>960</v>
      </c>
      <c r="H15" s="9">
        <v>1200000</v>
      </c>
      <c r="I15" s="146" t="s">
        <v>664</v>
      </c>
      <c r="L15" s="463" t="s">
        <v>937</v>
      </c>
      <c r="M15" s="463">
        <v>5000</v>
      </c>
    </row>
    <row r="16" spans="1:13" ht="29.45" customHeight="1">
      <c r="A16" s="7"/>
      <c r="B16" s="7"/>
      <c r="C16" s="7" t="s">
        <v>679</v>
      </c>
      <c r="D16" s="7"/>
      <c r="E16" s="9" t="s">
        <v>961</v>
      </c>
      <c r="F16" s="10"/>
      <c r="G16" s="9" t="s">
        <v>960</v>
      </c>
      <c r="H16" s="9">
        <v>1200000</v>
      </c>
      <c r="I16" s="607" t="s">
        <v>664</v>
      </c>
    </row>
    <row r="17" spans="1:13" ht="29.45" customHeight="1">
      <c r="A17" s="7"/>
      <c r="B17" s="7"/>
      <c r="C17" s="7"/>
      <c r="D17" s="7"/>
      <c r="E17" s="9" t="s">
        <v>962</v>
      </c>
      <c r="F17" s="10" t="s">
        <v>963</v>
      </c>
      <c r="G17" s="9" t="s">
        <v>795</v>
      </c>
      <c r="H17" s="9">
        <v>1200000</v>
      </c>
      <c r="I17" s="146" t="s">
        <v>664</v>
      </c>
      <c r="L17" s="518" t="s">
        <v>964</v>
      </c>
      <c r="M17" s="518">
        <f>SUM(M13:M16)</f>
        <v>100000</v>
      </c>
    </row>
    <row r="18" spans="1:13" ht="29.45" customHeight="1">
      <c r="A18" s="7"/>
      <c r="B18" s="7"/>
      <c r="C18" s="7"/>
      <c r="D18" s="7"/>
      <c r="E18" s="9" t="s">
        <v>965</v>
      </c>
      <c r="F18" s="10" t="s">
        <v>966</v>
      </c>
      <c r="G18" s="9" t="s">
        <v>967</v>
      </c>
      <c r="H18" s="9">
        <v>1200000</v>
      </c>
      <c r="I18" s="146" t="s">
        <v>664</v>
      </c>
    </row>
    <row r="19" spans="1:13" ht="29.45" customHeight="1">
      <c r="A19" s="7"/>
      <c r="B19" s="7"/>
      <c r="C19" s="7"/>
      <c r="D19" s="7"/>
      <c r="E19" s="9" t="s">
        <v>66</v>
      </c>
      <c r="F19" s="10" t="s">
        <v>968</v>
      </c>
      <c r="G19" s="9" t="s">
        <v>969</v>
      </c>
      <c r="H19" s="9">
        <v>1200000</v>
      </c>
      <c r="I19" s="333" t="s">
        <v>664</v>
      </c>
    </row>
    <row r="20" spans="1:13" ht="29.45" customHeight="1">
      <c r="A20" s="7"/>
      <c r="B20" s="7"/>
      <c r="C20" s="7"/>
      <c r="D20" s="7"/>
      <c r="E20" s="9"/>
      <c r="F20" s="10"/>
      <c r="G20" s="9"/>
      <c r="H20" s="9"/>
    </row>
    <row r="21" spans="1:13" ht="29.45" customHeight="1">
      <c r="A21" s="12"/>
      <c r="B21" s="12"/>
      <c r="C21" s="12"/>
      <c r="D21" s="12"/>
      <c r="E21" s="13"/>
      <c r="F21" s="14"/>
      <c r="G21" s="13"/>
      <c r="H21" s="13">
        <f>SUM(H15:H19)</f>
        <v>6000000</v>
      </c>
    </row>
    <row r="23" spans="1:13" ht="29.45" customHeight="1">
      <c r="A23" s="653" t="s">
        <v>420</v>
      </c>
      <c r="B23" s="653"/>
      <c r="C23" s="653"/>
      <c r="D23" s="653"/>
      <c r="E23" s="653"/>
      <c r="F23" s="653"/>
      <c r="G23" s="653"/>
      <c r="H23" s="653"/>
    </row>
    <row r="24" spans="1:13" ht="29.45" customHeight="1">
      <c r="A24" s="645" t="s">
        <v>653</v>
      </c>
      <c r="B24" s="647" t="s">
        <v>654</v>
      </c>
      <c r="C24" s="645" t="s">
        <v>655</v>
      </c>
      <c r="D24" s="645" t="s">
        <v>12</v>
      </c>
      <c r="E24" s="647" t="s">
        <v>656</v>
      </c>
      <c r="F24" s="645" t="s">
        <v>657</v>
      </c>
      <c r="G24" s="647" t="s">
        <v>658</v>
      </c>
      <c r="H24" s="3" t="s">
        <v>659</v>
      </c>
    </row>
    <row r="25" spans="1:13" ht="29.45" customHeight="1">
      <c r="A25" s="646"/>
      <c r="B25" s="646"/>
      <c r="C25" s="646"/>
      <c r="D25" s="646"/>
      <c r="E25" s="648"/>
      <c r="F25" s="646"/>
      <c r="G25" s="646"/>
      <c r="H25" s="6" t="s">
        <v>660</v>
      </c>
    </row>
    <row r="26" spans="1:13" ht="29.45" customHeight="1">
      <c r="A26" s="7">
        <v>1</v>
      </c>
      <c r="B26" s="7" t="s">
        <v>947</v>
      </c>
      <c r="C26" s="7" t="s">
        <v>501</v>
      </c>
      <c r="D26" s="409" t="s">
        <v>948</v>
      </c>
      <c r="E26" s="9" t="s">
        <v>661</v>
      </c>
      <c r="F26" s="10" t="s">
        <v>970</v>
      </c>
      <c r="G26" s="9" t="s">
        <v>971</v>
      </c>
      <c r="H26" s="9">
        <v>1300000</v>
      </c>
      <c r="I26" s="146" t="s">
        <v>891</v>
      </c>
    </row>
    <row r="27" spans="1:13" ht="29.45" customHeight="1">
      <c r="A27" s="7"/>
      <c r="B27" s="7"/>
      <c r="C27" s="7" t="s">
        <v>679</v>
      </c>
      <c r="D27" s="7"/>
      <c r="E27" s="9" t="s">
        <v>502</v>
      </c>
      <c r="F27" s="10" t="s">
        <v>970</v>
      </c>
      <c r="G27" s="9" t="s">
        <v>971</v>
      </c>
      <c r="H27" s="9">
        <v>2600000</v>
      </c>
      <c r="I27" s="607" t="s">
        <v>891</v>
      </c>
    </row>
    <row r="28" spans="1:13" ht="29.45" customHeight="1">
      <c r="A28" s="7"/>
      <c r="B28" s="7"/>
      <c r="C28" s="7"/>
      <c r="D28" s="7"/>
      <c r="E28" s="9"/>
      <c r="F28" s="10"/>
      <c r="G28" s="9"/>
      <c r="H28" s="9"/>
      <c r="I28" s="146"/>
    </row>
    <row r="29" spans="1:13" ht="29.45" customHeight="1">
      <c r="A29" s="7"/>
      <c r="B29" s="7"/>
      <c r="C29" s="7"/>
      <c r="D29" s="7"/>
      <c r="E29" s="9"/>
      <c r="F29" s="10"/>
      <c r="G29" s="9"/>
      <c r="H29" s="9"/>
      <c r="I29" s="146"/>
    </row>
    <row r="30" spans="1:13" ht="29.45" customHeight="1">
      <c r="A30" s="7"/>
      <c r="B30" s="7"/>
      <c r="C30" s="7"/>
      <c r="D30" s="7"/>
      <c r="E30" s="9"/>
      <c r="F30" s="10"/>
      <c r="G30" s="9"/>
      <c r="H30" s="9"/>
      <c r="I30" s="333"/>
    </row>
    <row r="31" spans="1:13" ht="29.45" customHeight="1">
      <c r="A31" s="7"/>
      <c r="B31" s="7"/>
      <c r="C31" s="7"/>
      <c r="D31" s="7"/>
      <c r="E31" s="9"/>
      <c r="F31" s="10"/>
      <c r="G31" s="9"/>
      <c r="H31" s="9"/>
    </row>
    <row r="32" spans="1:13" ht="29.45" customHeight="1">
      <c r="A32" s="12"/>
      <c r="B32" s="12"/>
      <c r="C32" s="12"/>
      <c r="D32" s="12"/>
      <c r="E32" s="13"/>
      <c r="F32" s="14"/>
      <c r="G32" s="13"/>
      <c r="H32" s="13">
        <f>SUM(H26:H30)</f>
        <v>3900000</v>
      </c>
    </row>
  </sheetData>
  <mergeCells count="24">
    <mergeCell ref="A12:H12"/>
    <mergeCell ref="A13:A14"/>
    <mergeCell ref="B13:B14"/>
    <mergeCell ref="C13:C14"/>
    <mergeCell ref="D13:D14"/>
    <mergeCell ref="E13:E14"/>
    <mergeCell ref="F13:F14"/>
    <mergeCell ref="G13:G14"/>
    <mergeCell ref="A2:H2"/>
    <mergeCell ref="A3:A4"/>
    <mergeCell ref="B3:B4"/>
    <mergeCell ref="C3:C4"/>
    <mergeCell ref="D3:D4"/>
    <mergeCell ref="E3:E4"/>
    <mergeCell ref="F3:F4"/>
    <mergeCell ref="G3:G4"/>
    <mergeCell ref="A23:H23"/>
    <mergeCell ref="A24:A25"/>
    <mergeCell ref="B24:B25"/>
    <mergeCell ref="C24:C25"/>
    <mergeCell ref="D24:D25"/>
    <mergeCell ref="E24:E25"/>
    <mergeCell ref="F24:F25"/>
    <mergeCell ref="G24:G25"/>
  </mergeCells>
  <hyperlinks>
    <hyperlink ref="A1" location="Name!A1" display="Name!A1" xr:uid="{8EBF4361-DB24-4F93-BBE8-370E49793612}"/>
    <hyperlink ref="A11" location="Name!A1" display="Name!A1" xr:uid="{1F1BAA2A-2F64-4177-B8B0-60E6C445F554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585C-C2A8-4EB1-8D6B-E5AFF3E5ACDE}">
  <dimension ref="A1:N105"/>
  <sheetViews>
    <sheetView topLeftCell="A70" workbookViewId="0">
      <selection activeCell="B90" sqref="B90"/>
    </sheetView>
  </sheetViews>
  <sheetFormatPr defaultColWidth="9.140625" defaultRowHeight="18"/>
  <cols>
    <col min="1" max="1" width="6.140625" style="51" customWidth="1"/>
    <col min="2" max="3" width="15.42578125" style="51" customWidth="1"/>
    <col min="4" max="4" width="27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19.7109375" style="114" customWidth="1"/>
    <col min="10" max="10" width="6" style="51" customWidth="1"/>
    <col min="11" max="11" width="13.7109375" style="51" customWidth="1"/>
    <col min="12" max="12" width="52.85546875" style="51" customWidth="1"/>
    <col min="13" max="13" width="25.28515625" style="104" customWidth="1"/>
    <col min="14" max="14" width="12.140625" style="51" bestFit="1" customWidth="1"/>
    <col min="15" max="16384" width="9.140625" style="51"/>
  </cols>
  <sheetData>
    <row r="1" spans="1:14" ht="21.75">
      <c r="A1" s="644" t="s">
        <v>972</v>
      </c>
      <c r="B1" s="644"/>
      <c r="C1" s="644"/>
      <c r="D1" s="644"/>
      <c r="E1" s="644"/>
      <c r="F1" s="644"/>
      <c r="G1" s="644"/>
      <c r="H1" s="644"/>
      <c r="I1" s="121"/>
      <c r="J1" s="644" t="s">
        <v>973</v>
      </c>
      <c r="K1" s="644"/>
      <c r="L1" s="644"/>
      <c r="M1" s="644"/>
    </row>
    <row r="2" spans="1:14" s="56" customFormat="1" ht="21.75">
      <c r="A2" s="645" t="s">
        <v>653</v>
      </c>
      <c r="B2" s="647" t="s">
        <v>654</v>
      </c>
      <c r="C2" s="645" t="s">
        <v>655</v>
      </c>
      <c r="D2" s="645" t="s">
        <v>12</v>
      </c>
      <c r="E2" s="647" t="s">
        <v>656</v>
      </c>
      <c r="F2" s="645" t="s">
        <v>657</v>
      </c>
      <c r="G2" s="647" t="s">
        <v>658</v>
      </c>
      <c r="H2" s="3" t="s">
        <v>659</v>
      </c>
      <c r="I2" s="121"/>
      <c r="J2" s="654" t="s">
        <v>653</v>
      </c>
      <c r="K2" s="659" t="s">
        <v>974</v>
      </c>
      <c r="L2" s="661" t="s">
        <v>975</v>
      </c>
      <c r="M2" s="662" t="s">
        <v>976</v>
      </c>
      <c r="N2" s="664" t="s">
        <v>977</v>
      </c>
    </row>
    <row r="3" spans="1:14" ht="21.75" customHeight="1">
      <c r="A3" s="646"/>
      <c r="B3" s="646"/>
      <c r="C3" s="646"/>
      <c r="D3" s="646"/>
      <c r="E3" s="648"/>
      <c r="F3" s="646"/>
      <c r="G3" s="646"/>
      <c r="H3" s="6" t="s">
        <v>660</v>
      </c>
      <c r="I3" s="121"/>
      <c r="J3" s="655"/>
      <c r="K3" s="660"/>
      <c r="L3" s="660"/>
      <c r="M3" s="663"/>
      <c r="N3" s="665"/>
    </row>
    <row r="4" spans="1:14" ht="21.75">
      <c r="A4" s="7">
        <v>1</v>
      </c>
      <c r="B4" s="7" t="s">
        <v>152</v>
      </c>
      <c r="C4" s="7" t="s">
        <v>978</v>
      </c>
      <c r="D4" s="7" t="s">
        <v>979</v>
      </c>
      <c r="E4" s="9" t="s">
        <v>980</v>
      </c>
      <c r="F4" s="10" t="s">
        <v>981</v>
      </c>
      <c r="G4" s="9" t="s">
        <v>982</v>
      </c>
      <c r="H4" s="9">
        <v>1500000</v>
      </c>
      <c r="I4" s="121"/>
      <c r="J4" s="122">
        <v>1</v>
      </c>
      <c r="K4" s="123" t="s">
        <v>983</v>
      </c>
      <c r="L4" s="127" t="s">
        <v>984</v>
      </c>
      <c r="M4" s="125">
        <v>40000</v>
      </c>
      <c r="N4" s="126"/>
    </row>
    <row r="5" spans="1:14" ht="21.75">
      <c r="A5" s="7"/>
      <c r="B5" s="7"/>
      <c r="C5" s="7"/>
      <c r="D5" s="7"/>
      <c r="E5" s="9" t="s">
        <v>985</v>
      </c>
      <c r="F5" s="10" t="s">
        <v>986</v>
      </c>
      <c r="G5" s="9" t="s">
        <v>987</v>
      </c>
      <c r="H5" s="9">
        <v>1000000</v>
      </c>
      <c r="I5" s="121"/>
      <c r="J5" s="122"/>
      <c r="K5" s="123" t="s">
        <v>988</v>
      </c>
      <c r="L5" s="127" t="s">
        <v>989</v>
      </c>
      <c r="M5" s="125">
        <v>8000</v>
      </c>
      <c r="N5" s="126"/>
    </row>
    <row r="6" spans="1:14" ht="21.75">
      <c r="A6" s="7"/>
      <c r="B6" s="7"/>
      <c r="C6" s="7"/>
      <c r="D6" s="7"/>
      <c r="E6" s="9" t="s">
        <v>990</v>
      </c>
      <c r="F6" s="10" t="s">
        <v>991</v>
      </c>
      <c r="G6" s="9" t="s">
        <v>992</v>
      </c>
      <c r="H6" s="9">
        <v>1000000</v>
      </c>
      <c r="I6" s="121"/>
      <c r="J6" s="122"/>
      <c r="K6" s="123" t="s">
        <v>988</v>
      </c>
      <c r="L6" s="127" t="s">
        <v>993</v>
      </c>
      <c r="M6" s="125">
        <v>101000</v>
      </c>
      <c r="N6" s="126"/>
    </row>
    <row r="7" spans="1:14" ht="21.75">
      <c r="A7" s="7"/>
      <c r="B7" s="7"/>
      <c r="C7" s="7"/>
      <c r="D7" s="7"/>
      <c r="E7" s="9" t="s">
        <v>994</v>
      </c>
      <c r="F7" s="10" t="s">
        <v>995</v>
      </c>
      <c r="G7" s="9" t="s">
        <v>996</v>
      </c>
      <c r="H7" s="9">
        <v>500000</v>
      </c>
      <c r="I7" s="121"/>
      <c r="J7" s="122"/>
      <c r="K7" s="123" t="s">
        <v>997</v>
      </c>
      <c r="L7" s="123" t="s">
        <v>998</v>
      </c>
      <c r="M7" s="125">
        <v>170000</v>
      </c>
      <c r="N7" s="126"/>
    </row>
    <row r="8" spans="1:14" ht="21.75">
      <c r="A8" s="7"/>
      <c r="B8" s="7"/>
      <c r="C8" s="7"/>
      <c r="D8" s="7"/>
      <c r="E8" s="9" t="s">
        <v>999</v>
      </c>
      <c r="F8" s="10" t="s">
        <v>1000</v>
      </c>
      <c r="G8" s="9" t="s">
        <v>1001</v>
      </c>
      <c r="H8" s="9">
        <v>1000000</v>
      </c>
      <c r="I8" s="121"/>
      <c r="J8" s="122"/>
      <c r="K8" s="123"/>
      <c r="L8" s="123"/>
      <c r="M8" s="125"/>
      <c r="N8" s="126"/>
    </row>
    <row r="9" spans="1:14" ht="21.75">
      <c r="A9" s="7"/>
      <c r="B9" s="7"/>
      <c r="C9" s="7"/>
      <c r="D9" s="7"/>
      <c r="E9" s="9" t="s">
        <v>1002</v>
      </c>
      <c r="F9" s="10" t="s">
        <v>1003</v>
      </c>
      <c r="G9" s="9" t="s">
        <v>1004</v>
      </c>
      <c r="H9" s="9">
        <v>332000</v>
      </c>
      <c r="I9" s="121"/>
      <c r="J9" s="122"/>
      <c r="K9" s="123"/>
      <c r="L9" s="123"/>
      <c r="M9" s="125"/>
      <c r="N9" s="126"/>
    </row>
    <row r="10" spans="1:14" ht="21.75">
      <c r="A10" s="7"/>
      <c r="B10" s="7"/>
      <c r="C10" s="7"/>
      <c r="D10" s="7" t="s">
        <v>1005</v>
      </c>
      <c r="E10" s="9" t="s">
        <v>1006</v>
      </c>
      <c r="F10" s="10" t="s">
        <v>1003</v>
      </c>
      <c r="G10" s="9" t="s">
        <v>1004</v>
      </c>
      <c r="H10" s="9">
        <v>-166000</v>
      </c>
      <c r="I10" s="121"/>
      <c r="J10" s="122"/>
      <c r="K10" s="123"/>
      <c r="L10" s="123"/>
      <c r="M10" s="125"/>
      <c r="N10" s="126"/>
    </row>
    <row r="11" spans="1:14" ht="21.75">
      <c r="A11" s="7"/>
      <c r="B11" s="7"/>
      <c r="C11" s="7"/>
      <c r="D11" s="7"/>
      <c r="E11" s="9"/>
      <c r="F11" s="10"/>
      <c r="G11" s="9"/>
      <c r="H11" s="9"/>
      <c r="I11" s="121"/>
      <c r="J11" s="122"/>
      <c r="K11" s="123"/>
      <c r="L11" s="123"/>
      <c r="M11" s="125"/>
      <c r="N11" s="126"/>
    </row>
    <row r="12" spans="1:14" ht="21.75">
      <c r="A12" s="166"/>
      <c r="B12" s="166"/>
      <c r="C12" s="166"/>
      <c r="D12" s="166"/>
      <c r="E12" s="167"/>
      <c r="F12" s="168"/>
      <c r="G12" s="167"/>
      <c r="H12" s="167">
        <f>SUM(H4:H11)</f>
        <v>5166000</v>
      </c>
      <c r="I12" s="169"/>
      <c r="J12" s="170"/>
      <c r="K12" s="171"/>
      <c r="L12" s="171"/>
      <c r="M12" s="172">
        <f>SUM(M4:M11)</f>
        <v>319000</v>
      </c>
      <c r="N12" s="173">
        <f>H12-M12</f>
        <v>4847000</v>
      </c>
    </row>
    <row r="13" spans="1:14" ht="21.75">
      <c r="A13" s="7">
        <v>2</v>
      </c>
      <c r="B13" s="7" t="s">
        <v>152</v>
      </c>
      <c r="C13" s="7" t="s">
        <v>978</v>
      </c>
      <c r="D13" s="7" t="s">
        <v>979</v>
      </c>
      <c r="E13" s="9" t="s">
        <v>703</v>
      </c>
      <c r="F13" s="10" t="s">
        <v>1007</v>
      </c>
      <c r="G13" s="9" t="s">
        <v>1008</v>
      </c>
      <c r="H13" s="9">
        <v>500000</v>
      </c>
      <c r="I13" s="121"/>
      <c r="J13" s="122"/>
      <c r="K13" s="123"/>
      <c r="L13" s="123"/>
      <c r="M13" s="125"/>
      <c r="N13" s="126"/>
    </row>
    <row r="14" spans="1:14" ht="21.75">
      <c r="A14" s="7"/>
      <c r="B14" s="7"/>
      <c r="C14" s="7"/>
      <c r="D14" s="7"/>
      <c r="E14" s="9" t="s">
        <v>1009</v>
      </c>
      <c r="F14" s="10" t="s">
        <v>1007</v>
      </c>
      <c r="G14" s="9" t="s">
        <v>1008</v>
      </c>
      <c r="H14" s="9">
        <v>500000</v>
      </c>
      <c r="I14" s="121"/>
      <c r="J14" s="122"/>
      <c r="K14" s="123"/>
      <c r="L14" s="123"/>
      <c r="M14" s="125"/>
      <c r="N14" s="126"/>
    </row>
    <row r="15" spans="1:14" ht="21.75">
      <c r="A15" s="7"/>
      <c r="B15" s="7"/>
      <c r="C15" s="7"/>
      <c r="D15" s="7"/>
      <c r="E15" s="9" t="s">
        <v>1006</v>
      </c>
      <c r="F15" s="10" t="s">
        <v>1007</v>
      </c>
      <c r="G15" s="9" t="s">
        <v>1008</v>
      </c>
      <c r="H15" s="9">
        <v>-100000</v>
      </c>
      <c r="I15" s="121"/>
      <c r="J15" s="122"/>
      <c r="K15" s="123"/>
      <c r="L15" s="123"/>
      <c r="M15" s="125"/>
      <c r="N15" s="126"/>
    </row>
    <row r="16" spans="1:14" ht="21.75">
      <c r="A16" s="7"/>
      <c r="B16" s="7"/>
      <c r="C16" s="7"/>
      <c r="D16" s="7"/>
      <c r="E16" s="9"/>
      <c r="F16" s="10"/>
      <c r="G16" s="9"/>
      <c r="H16" s="9"/>
      <c r="I16" s="121"/>
      <c r="J16" s="122"/>
      <c r="K16" s="123"/>
      <c r="L16" s="123"/>
      <c r="M16" s="125"/>
      <c r="N16" s="126"/>
    </row>
    <row r="17" spans="1:14" ht="21.75">
      <c r="A17" s="7"/>
      <c r="B17" s="7"/>
      <c r="C17" s="7" t="s">
        <v>679</v>
      </c>
      <c r="D17" s="7"/>
      <c r="E17" s="9"/>
      <c r="F17" s="10"/>
      <c r="G17" s="9"/>
      <c r="H17" s="9"/>
      <c r="I17" s="121"/>
      <c r="J17" s="122"/>
      <c r="K17" s="123"/>
      <c r="L17" s="123"/>
      <c r="M17" s="125"/>
      <c r="N17" s="126"/>
    </row>
    <row r="18" spans="1:14" ht="21.75">
      <c r="A18" s="166"/>
      <c r="B18" s="166"/>
      <c r="C18" s="166"/>
      <c r="D18" s="166"/>
      <c r="E18" s="167"/>
      <c r="F18" s="168"/>
      <c r="G18" s="167"/>
      <c r="H18" s="167">
        <f>SUM(H10:H17)</f>
        <v>5900000</v>
      </c>
      <c r="I18" s="169"/>
      <c r="J18" s="170"/>
      <c r="K18" s="171"/>
      <c r="L18" s="171"/>
      <c r="M18" s="172">
        <f>SUM(M10:M17)</f>
        <v>319000</v>
      </c>
      <c r="N18" s="173">
        <f>H18-M18</f>
        <v>5581000</v>
      </c>
    </row>
    <row r="19" spans="1:14" ht="21.75">
      <c r="A19" s="666" t="s">
        <v>1010</v>
      </c>
      <c r="B19" s="667"/>
      <c r="C19" s="667"/>
      <c r="D19" s="667"/>
      <c r="E19" s="667"/>
      <c r="F19" s="667"/>
      <c r="G19" s="667"/>
      <c r="H19" s="668"/>
      <c r="I19" s="169"/>
      <c r="J19" s="170"/>
      <c r="K19" s="171"/>
      <c r="L19" s="171"/>
      <c r="M19" s="172"/>
      <c r="N19" s="173"/>
    </row>
    <row r="20" spans="1:14" ht="21.75">
      <c r="A20" s="7"/>
      <c r="B20" s="7" t="s">
        <v>152</v>
      </c>
      <c r="C20" s="7" t="s">
        <v>978</v>
      </c>
      <c r="D20" s="7" t="s">
        <v>979</v>
      </c>
      <c r="E20" s="9" t="s">
        <v>1011</v>
      </c>
      <c r="F20" s="10" t="s">
        <v>1012</v>
      </c>
      <c r="G20" s="9" t="s">
        <v>1013</v>
      </c>
      <c r="H20" s="9">
        <v>450000</v>
      </c>
      <c r="I20" s="121"/>
      <c r="J20" s="122"/>
      <c r="K20" s="123"/>
      <c r="L20" s="123"/>
      <c r="M20" s="125"/>
      <c r="N20" s="126"/>
    </row>
    <row r="21" spans="1:14" ht="21.75">
      <c r="A21" s="7"/>
      <c r="B21" s="7"/>
      <c r="C21" s="7"/>
      <c r="D21" s="7"/>
      <c r="E21" s="9" t="s">
        <v>1014</v>
      </c>
      <c r="F21" s="10" t="s">
        <v>1015</v>
      </c>
      <c r="G21" s="9" t="s">
        <v>1016</v>
      </c>
      <c r="H21" s="9">
        <v>450000</v>
      </c>
      <c r="I21" s="121"/>
      <c r="J21" s="122"/>
      <c r="K21" s="123"/>
      <c r="L21" s="123"/>
      <c r="M21" s="125"/>
      <c r="N21" s="126"/>
    </row>
    <row r="22" spans="1:14" ht="21.75">
      <c r="A22" s="7"/>
      <c r="B22" s="7"/>
      <c r="C22" s="7"/>
      <c r="D22" s="7"/>
      <c r="E22" s="9" t="s">
        <v>1017</v>
      </c>
      <c r="F22" s="10" t="s">
        <v>1018</v>
      </c>
      <c r="G22" s="9" t="s">
        <v>1019</v>
      </c>
      <c r="H22" s="9">
        <v>450000</v>
      </c>
      <c r="I22" s="121"/>
      <c r="J22" s="122"/>
      <c r="K22" s="123"/>
      <c r="L22" s="123"/>
      <c r="M22" s="125"/>
      <c r="N22" s="126"/>
    </row>
    <row r="23" spans="1:14" ht="21.75">
      <c r="A23" s="7"/>
      <c r="B23" s="7"/>
      <c r="C23" s="7"/>
      <c r="D23" s="7"/>
      <c r="E23" s="9"/>
      <c r="F23" s="10"/>
      <c r="G23" s="9"/>
      <c r="H23" s="9"/>
      <c r="I23" s="121"/>
      <c r="J23" s="122"/>
      <c r="K23" s="123"/>
      <c r="L23" s="123"/>
      <c r="M23" s="125"/>
      <c r="N23" s="126"/>
    </row>
    <row r="24" spans="1:14" ht="21.75">
      <c r="A24" s="166"/>
      <c r="B24" s="166"/>
      <c r="C24" s="166"/>
      <c r="D24" s="166"/>
      <c r="E24" s="167"/>
      <c r="F24" s="168"/>
      <c r="G24" s="167"/>
      <c r="H24" s="167">
        <f>SUM(H20:H23)</f>
        <v>1350000</v>
      </c>
      <c r="I24" s="169"/>
      <c r="J24" s="170"/>
      <c r="K24" s="171"/>
      <c r="L24" s="171"/>
      <c r="M24" s="172"/>
      <c r="N24" s="173"/>
    </row>
    <row r="25" spans="1:14" ht="21.75">
      <c r="A25" s="666" t="s">
        <v>1020</v>
      </c>
      <c r="B25" s="667"/>
      <c r="C25" s="667"/>
      <c r="D25" s="667"/>
      <c r="E25" s="667"/>
      <c r="F25" s="667"/>
      <c r="G25" s="667"/>
      <c r="H25" s="668"/>
      <c r="I25" s="121"/>
      <c r="J25" s="122"/>
      <c r="K25" s="123"/>
      <c r="L25" s="123"/>
      <c r="M25" s="125"/>
      <c r="N25" s="126"/>
    </row>
    <row r="26" spans="1:14" ht="21.75">
      <c r="A26" s="7"/>
      <c r="B26" s="7" t="s">
        <v>152</v>
      </c>
      <c r="C26" s="7" t="s">
        <v>978</v>
      </c>
      <c r="D26" s="7" t="s">
        <v>979</v>
      </c>
      <c r="E26" s="9" t="s">
        <v>703</v>
      </c>
      <c r="F26" s="10" t="s">
        <v>1021</v>
      </c>
      <c r="G26" s="9" t="s">
        <v>1022</v>
      </c>
      <c r="H26" s="9">
        <v>500000</v>
      </c>
      <c r="I26" s="121"/>
      <c r="J26" s="139"/>
      <c r="K26" s="140"/>
      <c r="L26" s="140"/>
      <c r="M26" s="141"/>
      <c r="N26" s="142"/>
    </row>
    <row r="27" spans="1:14" ht="21.75">
      <c r="A27" s="7"/>
      <c r="B27" s="7"/>
      <c r="C27" s="7"/>
      <c r="D27" s="7"/>
      <c r="E27" s="9" t="s">
        <v>1023</v>
      </c>
      <c r="F27" s="10" t="s">
        <v>1021</v>
      </c>
      <c r="G27" s="9" t="s">
        <v>1022</v>
      </c>
      <c r="H27" s="9">
        <v>500000</v>
      </c>
      <c r="I27" s="121"/>
      <c r="J27" s="143"/>
      <c r="K27" s="143"/>
      <c r="L27" s="143"/>
      <c r="M27" s="251"/>
    </row>
    <row r="28" spans="1:14" ht="21.75">
      <c r="A28" s="7"/>
      <c r="B28" s="7"/>
      <c r="C28" s="7"/>
      <c r="D28" s="7"/>
      <c r="E28" s="9" t="s">
        <v>1024</v>
      </c>
      <c r="F28" s="10" t="s">
        <v>1025</v>
      </c>
      <c r="G28" s="9" t="s">
        <v>1026</v>
      </c>
      <c r="H28" s="9">
        <v>500000</v>
      </c>
    </row>
    <row r="29" spans="1:14" ht="21.75">
      <c r="A29" s="7"/>
      <c r="B29" s="7"/>
      <c r="C29" s="7"/>
      <c r="D29" s="7"/>
      <c r="E29" s="9" t="s">
        <v>1027</v>
      </c>
      <c r="F29" s="10"/>
      <c r="G29" s="9" t="s">
        <v>1028</v>
      </c>
      <c r="H29" s="9">
        <v>-500000</v>
      </c>
    </row>
    <row r="30" spans="1:14" ht="21.75">
      <c r="A30" s="166"/>
      <c r="B30" s="166"/>
      <c r="C30" s="166"/>
      <c r="D30" s="166"/>
      <c r="E30" s="167"/>
      <c r="F30" s="168"/>
      <c r="G30" s="167"/>
      <c r="H30" s="167">
        <f>SUM(H26:H29)</f>
        <v>1000000</v>
      </c>
    </row>
    <row r="31" spans="1:14" ht="21.75">
      <c r="A31" s="656" t="s">
        <v>1029</v>
      </c>
      <c r="B31" s="657"/>
      <c r="C31" s="657"/>
      <c r="D31" s="657"/>
      <c r="E31" s="657"/>
      <c r="F31" s="657"/>
      <c r="G31" s="657"/>
      <c r="H31" s="658"/>
    </row>
    <row r="32" spans="1:14" ht="21.75">
      <c r="A32" s="7"/>
      <c r="B32" s="7" t="s">
        <v>152</v>
      </c>
      <c r="C32" s="7" t="s">
        <v>978</v>
      </c>
      <c r="D32" s="7" t="s">
        <v>979</v>
      </c>
      <c r="E32" s="9" t="s">
        <v>1030</v>
      </c>
      <c r="F32" s="10" t="s">
        <v>1031</v>
      </c>
      <c r="G32" s="9" t="s">
        <v>1032</v>
      </c>
      <c r="H32" s="9">
        <v>500000</v>
      </c>
    </row>
    <row r="33" spans="1:10" ht="21.75">
      <c r="A33" s="7"/>
      <c r="B33" s="7"/>
      <c r="C33" s="7"/>
      <c r="D33" s="7"/>
      <c r="E33" s="9" t="s">
        <v>1033</v>
      </c>
      <c r="F33" s="10" t="s">
        <v>1034</v>
      </c>
      <c r="G33" s="9" t="s">
        <v>1035</v>
      </c>
      <c r="H33" s="9">
        <v>500000</v>
      </c>
    </row>
    <row r="34" spans="1:10" ht="21.75">
      <c r="A34" s="7"/>
      <c r="B34" s="7"/>
      <c r="C34" s="7"/>
      <c r="D34" s="7"/>
      <c r="E34" s="9" t="s">
        <v>1036</v>
      </c>
      <c r="F34" s="10" t="s">
        <v>1037</v>
      </c>
      <c r="G34" s="9" t="s">
        <v>1038</v>
      </c>
      <c r="H34" s="9">
        <v>500000</v>
      </c>
    </row>
    <row r="35" spans="1:10" ht="21.75">
      <c r="A35" s="7"/>
      <c r="B35" s="7"/>
      <c r="C35" s="7"/>
      <c r="D35" s="7"/>
      <c r="E35" s="9" t="s">
        <v>1039</v>
      </c>
      <c r="F35" s="10" t="s">
        <v>1040</v>
      </c>
      <c r="G35" s="9" t="s">
        <v>1041</v>
      </c>
      <c r="H35" s="9">
        <v>500000</v>
      </c>
      <c r="I35" s="114" t="s">
        <v>1042</v>
      </c>
    </row>
    <row r="36" spans="1:10" ht="21.75">
      <c r="A36" s="7"/>
      <c r="B36" s="7"/>
      <c r="C36" s="7"/>
      <c r="D36" s="7"/>
      <c r="E36" s="9" t="s">
        <v>1043</v>
      </c>
      <c r="F36" s="10" t="s">
        <v>1044</v>
      </c>
      <c r="G36" s="9" t="s">
        <v>1045</v>
      </c>
      <c r="H36" s="9">
        <v>500000</v>
      </c>
      <c r="I36" s="114" t="s">
        <v>1042</v>
      </c>
    </row>
    <row r="37" spans="1:10" ht="21.75">
      <c r="A37" s="7"/>
      <c r="B37" s="7"/>
      <c r="C37" s="7"/>
      <c r="D37" s="7"/>
      <c r="E37" s="9" t="s">
        <v>1046</v>
      </c>
      <c r="F37" s="10" t="s">
        <v>1047</v>
      </c>
      <c r="G37" s="9" t="s">
        <v>1048</v>
      </c>
      <c r="H37" s="9">
        <v>500000</v>
      </c>
      <c r="I37" s="114" t="s">
        <v>1042</v>
      </c>
    </row>
    <row r="38" spans="1:10" ht="21.75">
      <c r="A38" s="7"/>
      <c r="B38" s="7"/>
      <c r="C38" s="7"/>
      <c r="D38" s="7"/>
      <c r="E38" s="9" t="s">
        <v>1049</v>
      </c>
      <c r="F38" s="10" t="s">
        <v>1050</v>
      </c>
      <c r="G38" s="9" t="s">
        <v>1051</v>
      </c>
      <c r="H38" s="9">
        <v>500000</v>
      </c>
      <c r="I38" s="114" t="s">
        <v>1042</v>
      </c>
    </row>
    <row r="39" spans="1:10" ht="21.75">
      <c r="A39" s="7"/>
      <c r="B39" s="7"/>
      <c r="C39" s="7"/>
      <c r="D39" s="7"/>
      <c r="E39" s="9" t="s">
        <v>1052</v>
      </c>
      <c r="F39" s="10" t="s">
        <v>1053</v>
      </c>
      <c r="G39" s="9" t="s">
        <v>1054</v>
      </c>
      <c r="H39" s="9">
        <v>500000</v>
      </c>
      <c r="I39" s="114" t="s">
        <v>1042</v>
      </c>
    </row>
    <row r="40" spans="1:10" ht="21.75">
      <c r="A40" s="166"/>
      <c r="B40" s="166"/>
      <c r="C40" s="166"/>
      <c r="D40" s="166"/>
      <c r="E40" s="167"/>
      <c r="F40" s="168"/>
      <c r="G40" s="167"/>
      <c r="H40" s="167">
        <f>SUM(H32:H39)</f>
        <v>4000000</v>
      </c>
    </row>
    <row r="42" spans="1:10" ht="21.75">
      <c r="A42" s="656" t="s">
        <v>1055</v>
      </c>
      <c r="B42" s="657"/>
      <c r="C42" s="657"/>
      <c r="D42" s="657"/>
      <c r="E42" s="657"/>
      <c r="F42" s="657"/>
      <c r="G42" s="657"/>
      <c r="H42" s="658"/>
    </row>
    <row r="43" spans="1:10" ht="21.75">
      <c r="A43" s="7"/>
      <c r="B43" s="7" t="s">
        <v>152</v>
      </c>
      <c r="C43" s="7" t="s">
        <v>978</v>
      </c>
      <c r="D43" s="7" t="s">
        <v>979</v>
      </c>
      <c r="E43" s="9" t="s">
        <v>703</v>
      </c>
      <c r="F43" s="10" t="s">
        <v>1056</v>
      </c>
      <c r="G43" s="9" t="s">
        <v>1057</v>
      </c>
      <c r="H43" s="9">
        <v>500000</v>
      </c>
    </row>
    <row r="44" spans="1:10" ht="21.75">
      <c r="A44" s="7"/>
      <c r="B44" s="7"/>
      <c r="C44" s="7"/>
      <c r="D44" s="7" t="s">
        <v>1058</v>
      </c>
      <c r="E44" s="9" t="s">
        <v>1059</v>
      </c>
      <c r="F44" s="10" t="s">
        <v>1056</v>
      </c>
      <c r="G44" s="9" t="s">
        <v>1057</v>
      </c>
      <c r="H44" s="9">
        <v>500000</v>
      </c>
    </row>
    <row r="45" spans="1:10" ht="21.75">
      <c r="A45" s="7"/>
      <c r="B45" s="7"/>
      <c r="C45" s="7"/>
      <c r="D45" s="7"/>
      <c r="E45" s="9" t="s">
        <v>1060</v>
      </c>
      <c r="F45" s="10" t="s">
        <v>1061</v>
      </c>
      <c r="G45" s="9" t="s">
        <v>1062</v>
      </c>
      <c r="H45" s="9">
        <v>500000</v>
      </c>
    </row>
    <row r="46" spans="1:10" ht="21.75">
      <c r="A46" s="7"/>
      <c r="B46" s="7"/>
      <c r="C46" s="7"/>
      <c r="D46" s="7"/>
      <c r="E46" s="9" t="s">
        <v>1063</v>
      </c>
      <c r="F46" s="10" t="s">
        <v>1064</v>
      </c>
      <c r="G46" s="9" t="s">
        <v>1065</v>
      </c>
      <c r="H46" s="9">
        <v>500000</v>
      </c>
      <c r="J46" s="51" t="s">
        <v>1042</v>
      </c>
    </row>
    <row r="47" spans="1:10" ht="21.75">
      <c r="A47" s="7"/>
      <c r="B47" s="7"/>
      <c r="C47" s="7"/>
      <c r="D47" s="7"/>
      <c r="E47" s="9" t="s">
        <v>1066</v>
      </c>
      <c r="F47" s="10"/>
      <c r="G47" s="9" t="s">
        <v>1067</v>
      </c>
      <c r="H47" s="9">
        <v>-500000</v>
      </c>
    </row>
    <row r="48" spans="1:10" ht="21.75">
      <c r="A48" s="7"/>
      <c r="B48" s="7"/>
      <c r="C48" s="7"/>
      <c r="D48" s="7"/>
      <c r="E48" s="9"/>
      <c r="F48" s="10"/>
      <c r="G48" s="9"/>
      <c r="H48" s="9"/>
    </row>
    <row r="49" spans="1:9" ht="21.75">
      <c r="A49" s="7"/>
      <c r="B49" s="7"/>
      <c r="C49" s="7"/>
      <c r="D49" s="7"/>
      <c r="E49" s="9"/>
      <c r="F49" s="10"/>
      <c r="G49" s="9"/>
      <c r="H49" s="9"/>
    </row>
    <row r="50" spans="1:9" ht="21.75">
      <c r="A50" s="7"/>
      <c r="B50" s="7"/>
      <c r="C50" s="7"/>
      <c r="D50" s="7"/>
      <c r="E50" s="9"/>
      <c r="F50" s="10"/>
      <c r="G50" s="9"/>
      <c r="H50" s="9"/>
    </row>
    <row r="51" spans="1:9" ht="21.75">
      <c r="A51" s="7"/>
      <c r="B51" s="7"/>
      <c r="C51" s="7"/>
      <c r="D51" s="7"/>
      <c r="E51" s="9"/>
      <c r="F51" s="10"/>
      <c r="G51" s="9"/>
      <c r="H51" s="9"/>
    </row>
    <row r="52" spans="1:9" ht="21.75">
      <c r="A52" s="7"/>
      <c r="B52" s="7"/>
      <c r="C52" s="7"/>
      <c r="D52" s="7"/>
      <c r="E52" s="9"/>
      <c r="F52" s="10"/>
      <c r="G52" s="9"/>
      <c r="H52" s="9"/>
    </row>
    <row r="53" spans="1:9" ht="21.75">
      <c r="A53" s="7"/>
      <c r="B53" s="7"/>
      <c r="C53" s="7"/>
      <c r="D53" s="7"/>
      <c r="E53" s="9"/>
      <c r="F53" s="10"/>
      <c r="G53" s="9"/>
      <c r="H53" s="9"/>
    </row>
    <row r="54" spans="1:9" ht="21.75">
      <c r="A54" s="7"/>
      <c r="B54" s="7"/>
      <c r="C54" s="7"/>
      <c r="D54" s="7"/>
      <c r="E54" s="9"/>
      <c r="F54" s="10"/>
      <c r="G54" s="9"/>
      <c r="H54" s="9"/>
    </row>
    <row r="55" spans="1:9" ht="21.75">
      <c r="A55" s="166"/>
      <c r="B55" s="166"/>
      <c r="C55" s="166"/>
      <c r="D55" s="166"/>
      <c r="E55" s="167"/>
      <c r="F55" s="168"/>
      <c r="G55" s="167"/>
      <c r="H55" s="167">
        <f>SUM(H43:H54)</f>
        <v>1500000</v>
      </c>
    </row>
    <row r="57" spans="1:9" ht="21.75">
      <c r="A57" s="656" t="s">
        <v>1068</v>
      </c>
      <c r="B57" s="657"/>
      <c r="C57" s="657"/>
      <c r="D57" s="657"/>
      <c r="E57" s="657"/>
      <c r="F57" s="657"/>
      <c r="G57" s="657"/>
      <c r="H57" s="658"/>
    </row>
    <row r="58" spans="1:9" ht="21.75">
      <c r="A58" s="7"/>
      <c r="B58" s="7" t="s">
        <v>152</v>
      </c>
      <c r="C58" s="7" t="s">
        <v>978</v>
      </c>
      <c r="D58" s="7" t="s">
        <v>1069</v>
      </c>
      <c r="E58" s="9" t="s">
        <v>703</v>
      </c>
      <c r="F58" s="10" t="s">
        <v>1070</v>
      </c>
      <c r="G58" s="9" t="s">
        <v>1067</v>
      </c>
      <c r="H58" s="9">
        <v>500000</v>
      </c>
    </row>
    <row r="59" spans="1:9" ht="21.75">
      <c r="A59" s="7"/>
      <c r="B59" s="7"/>
      <c r="C59" s="7"/>
      <c r="D59" s="7"/>
      <c r="E59" s="9" t="s">
        <v>1071</v>
      </c>
      <c r="F59" s="10" t="s">
        <v>1070</v>
      </c>
      <c r="G59" s="9" t="s">
        <v>1067</v>
      </c>
      <c r="H59" s="9">
        <v>500000</v>
      </c>
    </row>
    <row r="60" spans="1:9" ht="21.75">
      <c r="A60" s="7"/>
      <c r="B60" s="7"/>
      <c r="C60" s="7"/>
      <c r="D60" s="7"/>
      <c r="E60" s="9" t="s">
        <v>1072</v>
      </c>
      <c r="F60" s="10" t="s">
        <v>1073</v>
      </c>
      <c r="G60" s="9" t="s">
        <v>1074</v>
      </c>
      <c r="H60" s="9">
        <v>600000</v>
      </c>
      <c r="I60" s="669" t="s">
        <v>1075</v>
      </c>
    </row>
    <row r="61" spans="1:9" ht="21.75">
      <c r="A61" s="7"/>
      <c r="B61" s="7"/>
      <c r="C61" s="7"/>
      <c r="D61" s="7"/>
      <c r="E61" s="9" t="s">
        <v>1076</v>
      </c>
      <c r="F61" s="10" t="s">
        <v>1073</v>
      </c>
      <c r="G61" s="9" t="s">
        <v>1074</v>
      </c>
      <c r="H61" s="9">
        <v>150000</v>
      </c>
      <c r="I61" s="669"/>
    </row>
    <row r="62" spans="1:9" ht="21.75">
      <c r="A62" s="7"/>
      <c r="B62" s="7"/>
      <c r="C62" s="7"/>
      <c r="D62" s="7"/>
      <c r="E62" s="9" t="s">
        <v>1077</v>
      </c>
      <c r="F62" s="10" t="s">
        <v>1078</v>
      </c>
      <c r="G62" s="9" t="s">
        <v>1079</v>
      </c>
      <c r="H62" s="9">
        <v>600000</v>
      </c>
      <c r="I62" s="114" t="s">
        <v>1042</v>
      </c>
    </row>
    <row r="63" spans="1:9" ht="21.75">
      <c r="A63" s="7"/>
      <c r="B63" s="7"/>
      <c r="C63" s="7"/>
      <c r="D63" s="7"/>
      <c r="E63" s="9"/>
      <c r="F63" s="10"/>
      <c r="G63" s="9"/>
      <c r="H63" s="9"/>
    </row>
    <row r="64" spans="1:9" ht="21.75">
      <c r="A64" s="7"/>
      <c r="B64" s="7"/>
      <c r="C64" s="7"/>
      <c r="D64" s="7"/>
      <c r="E64" s="9"/>
      <c r="F64" s="10"/>
      <c r="G64" s="9"/>
      <c r="H64" s="9"/>
    </row>
    <row r="65" spans="1:9" ht="21.75">
      <c r="A65" s="7"/>
      <c r="B65" s="7"/>
      <c r="C65" s="7"/>
      <c r="D65" s="7"/>
      <c r="E65" s="9"/>
      <c r="F65" s="10"/>
      <c r="G65" s="9"/>
      <c r="H65" s="9"/>
    </row>
    <row r="66" spans="1:9" ht="21.75">
      <c r="A66" s="7"/>
      <c r="B66" s="7"/>
      <c r="C66" s="7"/>
      <c r="D66" s="7"/>
      <c r="E66" s="9"/>
      <c r="F66" s="10"/>
      <c r="G66" s="9"/>
      <c r="H66" s="9"/>
    </row>
    <row r="67" spans="1:9" ht="21.75">
      <c r="A67" s="7"/>
      <c r="B67" s="7"/>
      <c r="C67" s="7"/>
      <c r="D67" s="7"/>
      <c r="E67" s="9"/>
      <c r="F67" s="10"/>
      <c r="G67" s="9"/>
      <c r="H67" s="9"/>
    </row>
    <row r="68" spans="1:9" ht="21.75">
      <c r="A68" s="7"/>
      <c r="B68" s="7"/>
      <c r="C68" s="7"/>
      <c r="D68" s="7"/>
      <c r="E68" s="9"/>
      <c r="F68" s="10"/>
      <c r="G68" s="9"/>
      <c r="H68" s="9"/>
    </row>
    <row r="69" spans="1:9" ht="21.75">
      <c r="A69" s="7"/>
      <c r="B69" s="7"/>
      <c r="C69" s="7"/>
      <c r="D69" s="7"/>
      <c r="E69" s="9"/>
      <c r="F69" s="10"/>
      <c r="G69" s="9"/>
      <c r="H69" s="9"/>
    </row>
    <row r="70" spans="1:9" ht="21.75">
      <c r="A70" s="166"/>
      <c r="B70" s="166"/>
      <c r="C70" s="166"/>
      <c r="D70" s="166"/>
      <c r="E70" s="167"/>
      <c r="F70" s="168"/>
      <c r="G70" s="167"/>
      <c r="H70" s="167">
        <f>SUM(H58:H69)</f>
        <v>2350000</v>
      </c>
    </row>
    <row r="74" spans="1:9" ht="21.75">
      <c r="A74" s="656" t="s">
        <v>1080</v>
      </c>
      <c r="B74" s="657"/>
      <c r="C74" s="657"/>
      <c r="D74" s="657"/>
      <c r="E74" s="657"/>
      <c r="F74" s="657"/>
      <c r="G74" s="657"/>
      <c r="H74" s="658"/>
    </row>
    <row r="75" spans="1:9" ht="21.75">
      <c r="A75" s="7"/>
      <c r="B75" s="7" t="s">
        <v>152</v>
      </c>
      <c r="C75" s="7" t="s">
        <v>978</v>
      </c>
      <c r="D75" s="7" t="s">
        <v>979</v>
      </c>
      <c r="E75" s="9" t="s">
        <v>703</v>
      </c>
      <c r="F75" s="10" t="s">
        <v>1081</v>
      </c>
      <c r="G75" s="9" t="s">
        <v>902</v>
      </c>
      <c r="H75" s="9">
        <v>500000</v>
      </c>
    </row>
    <row r="76" spans="1:9" ht="21.75">
      <c r="A76" s="7"/>
      <c r="B76" s="7"/>
      <c r="C76" s="7"/>
      <c r="D76" s="7"/>
      <c r="E76" s="9" t="s">
        <v>1082</v>
      </c>
      <c r="F76" s="10" t="s">
        <v>1081</v>
      </c>
      <c r="G76" s="9" t="s">
        <v>902</v>
      </c>
      <c r="H76" s="9">
        <v>1000000</v>
      </c>
    </row>
    <row r="77" spans="1:9" ht="21.75">
      <c r="A77" s="7"/>
      <c r="B77" s="7"/>
      <c r="C77" s="7"/>
      <c r="D77" s="7"/>
      <c r="E77" s="9" t="s">
        <v>1083</v>
      </c>
      <c r="F77" s="10" t="s">
        <v>1084</v>
      </c>
      <c r="G77" s="9" t="s">
        <v>1085</v>
      </c>
      <c r="H77" s="9">
        <v>3000000</v>
      </c>
      <c r="I77" s="114" t="s">
        <v>1086</v>
      </c>
    </row>
    <row r="78" spans="1:9" ht="21.75">
      <c r="A78" s="7"/>
      <c r="B78" s="7"/>
      <c r="C78" s="7"/>
      <c r="D78" s="7"/>
      <c r="E78" s="9" t="s">
        <v>1087</v>
      </c>
      <c r="F78" s="10" t="s">
        <v>1088</v>
      </c>
      <c r="G78" s="9" t="s">
        <v>861</v>
      </c>
      <c r="H78" s="9">
        <v>600000</v>
      </c>
    </row>
    <row r="79" spans="1:9" ht="21.75">
      <c r="A79" s="7"/>
      <c r="B79" s="7"/>
      <c r="C79" s="7"/>
      <c r="D79" s="7"/>
      <c r="E79" s="9" t="s">
        <v>1089</v>
      </c>
      <c r="F79" s="10" t="s">
        <v>1088</v>
      </c>
      <c r="G79" s="9" t="s">
        <v>861</v>
      </c>
      <c r="H79" s="9">
        <v>600000</v>
      </c>
    </row>
    <row r="80" spans="1:9" ht="21.75">
      <c r="A80" s="7"/>
      <c r="B80" s="7"/>
      <c r="C80" s="7"/>
      <c r="D80" s="7"/>
      <c r="E80" s="9" t="s">
        <v>1090</v>
      </c>
      <c r="F80" s="10" t="s">
        <v>1088</v>
      </c>
      <c r="G80" s="9" t="s">
        <v>861</v>
      </c>
      <c r="H80" s="9">
        <v>600000</v>
      </c>
    </row>
    <row r="81" spans="1:9" ht="21.75">
      <c r="A81" s="7"/>
      <c r="B81" s="7"/>
      <c r="C81" s="7"/>
      <c r="D81" s="7"/>
      <c r="E81" s="9" t="s">
        <v>1091</v>
      </c>
      <c r="F81" s="10" t="s">
        <v>1088</v>
      </c>
      <c r="G81" s="9" t="s">
        <v>861</v>
      </c>
      <c r="H81" s="9">
        <v>600000</v>
      </c>
    </row>
    <row r="82" spans="1:9" ht="21.75">
      <c r="A82" s="7"/>
      <c r="B82" s="7"/>
      <c r="C82" s="7"/>
      <c r="D82" s="7"/>
      <c r="E82" s="9" t="s">
        <v>1092</v>
      </c>
      <c r="F82" s="10" t="s">
        <v>1088</v>
      </c>
      <c r="G82" s="9" t="s">
        <v>861</v>
      </c>
      <c r="H82" s="9">
        <v>800000</v>
      </c>
    </row>
    <row r="83" spans="1:9" ht="21.75">
      <c r="A83" s="7"/>
      <c r="B83" s="7"/>
      <c r="C83" s="7"/>
      <c r="D83" s="7"/>
      <c r="E83" s="9"/>
      <c r="F83" s="10"/>
      <c r="G83" s="9"/>
      <c r="H83" s="9"/>
    </row>
    <row r="84" spans="1:9" ht="21.75">
      <c r="A84" s="7"/>
      <c r="B84" s="7"/>
      <c r="C84" s="7"/>
      <c r="D84" s="7"/>
      <c r="E84" s="9"/>
      <c r="F84" s="10"/>
      <c r="G84" s="9"/>
      <c r="H84" s="9"/>
    </row>
    <row r="85" spans="1:9" ht="21.75">
      <c r="A85" s="7"/>
      <c r="B85" s="7"/>
      <c r="C85" s="7"/>
      <c r="D85" s="7"/>
      <c r="E85" s="9"/>
      <c r="F85" s="10"/>
      <c r="G85" s="9"/>
      <c r="H85" s="9"/>
    </row>
    <row r="86" spans="1:9" ht="21.75">
      <c r="A86" s="7"/>
      <c r="B86" s="7"/>
      <c r="C86" s="7"/>
      <c r="D86" s="7"/>
      <c r="E86" s="9"/>
      <c r="F86" s="10"/>
      <c r="G86" s="9"/>
      <c r="H86" s="9"/>
    </row>
    <row r="87" spans="1:9" ht="21.75">
      <c r="A87" s="166"/>
      <c r="B87" s="166"/>
      <c r="C87" s="166"/>
      <c r="D87" s="166"/>
      <c r="E87" s="167"/>
      <c r="F87" s="168"/>
      <c r="G87" s="167"/>
      <c r="H87" s="167">
        <f>SUM(H75:H86)</f>
        <v>7700000</v>
      </c>
    </row>
    <row r="90" spans="1:9">
      <c r="B90" s="411" t="s">
        <v>648</v>
      </c>
    </row>
    <row r="92" spans="1:9" ht="21" customHeight="1">
      <c r="A92" s="656" t="s">
        <v>173</v>
      </c>
      <c r="B92" s="657"/>
      <c r="C92" s="657"/>
      <c r="D92" s="657"/>
      <c r="E92" s="657"/>
      <c r="F92" s="657"/>
      <c r="G92" s="657"/>
      <c r="H92" s="658"/>
    </row>
    <row r="93" spans="1:9" ht="21" customHeight="1">
      <c r="A93" s="7"/>
      <c r="B93" s="7" t="s">
        <v>152</v>
      </c>
      <c r="C93" s="7" t="s">
        <v>978</v>
      </c>
      <c r="D93" s="7" t="s">
        <v>979</v>
      </c>
      <c r="E93" s="9" t="s">
        <v>661</v>
      </c>
      <c r="F93" s="10" t="s">
        <v>1093</v>
      </c>
      <c r="G93" s="9" t="s">
        <v>1094</v>
      </c>
      <c r="H93" s="9">
        <v>800000</v>
      </c>
      <c r="I93" s="114" t="s">
        <v>664</v>
      </c>
    </row>
    <row r="94" spans="1:9" ht="21" customHeight="1">
      <c r="A94" s="7"/>
      <c r="B94" s="7"/>
      <c r="C94" s="7"/>
      <c r="D94" s="7"/>
      <c r="E94" s="9" t="s">
        <v>961</v>
      </c>
      <c r="F94" s="10" t="s">
        <v>1093</v>
      </c>
      <c r="G94" s="9" t="s">
        <v>1094</v>
      </c>
      <c r="H94" s="9">
        <v>800000</v>
      </c>
      <c r="I94" s="114" t="s">
        <v>664</v>
      </c>
    </row>
    <row r="95" spans="1:9" ht="21" customHeight="1">
      <c r="A95" s="7"/>
      <c r="B95" s="7"/>
      <c r="C95" s="7"/>
      <c r="D95" s="7"/>
      <c r="E95" s="9" t="s">
        <v>962</v>
      </c>
      <c r="F95" s="10" t="s">
        <v>1095</v>
      </c>
      <c r="G95" s="9" t="s">
        <v>1096</v>
      </c>
      <c r="H95" s="9">
        <v>800000</v>
      </c>
      <c r="I95" s="114" t="s">
        <v>664</v>
      </c>
    </row>
    <row r="96" spans="1:9" ht="21" customHeight="1">
      <c r="A96" s="7"/>
      <c r="B96" s="7"/>
      <c r="C96" s="7"/>
      <c r="D96" s="7"/>
      <c r="E96" s="9" t="s">
        <v>965</v>
      </c>
      <c r="F96" s="10" t="s">
        <v>1097</v>
      </c>
      <c r="G96" s="9" t="s">
        <v>762</v>
      </c>
      <c r="H96" s="9">
        <v>800000</v>
      </c>
      <c r="I96" s="114" t="s">
        <v>1098</v>
      </c>
    </row>
    <row r="97" spans="1:9" ht="21" customHeight="1">
      <c r="A97" s="7"/>
      <c r="B97" s="7"/>
      <c r="C97" s="7"/>
      <c r="D97" s="7"/>
      <c r="E97" s="9" t="s">
        <v>66</v>
      </c>
      <c r="F97" s="10" t="s">
        <v>1099</v>
      </c>
      <c r="G97" s="9" t="s">
        <v>753</v>
      </c>
      <c r="H97" s="9">
        <v>800000</v>
      </c>
      <c r="I97" s="114" t="s">
        <v>1098</v>
      </c>
    </row>
    <row r="98" spans="1:9" ht="21" customHeight="1">
      <c r="A98" s="7"/>
      <c r="B98" s="7"/>
      <c r="C98" s="7"/>
      <c r="D98" s="7"/>
      <c r="E98" s="9" t="s">
        <v>176</v>
      </c>
      <c r="F98" s="10" t="s">
        <v>1100</v>
      </c>
      <c r="G98" s="9" t="s">
        <v>755</v>
      </c>
      <c r="H98" s="9">
        <v>800000</v>
      </c>
      <c r="I98" s="114" t="s">
        <v>664</v>
      </c>
    </row>
    <row r="99" spans="1:9" ht="21" customHeight="1">
      <c r="A99" s="7"/>
      <c r="B99" s="7"/>
      <c r="C99" s="7"/>
      <c r="D99" s="7"/>
      <c r="E99" s="9"/>
      <c r="F99" s="10"/>
      <c r="G99" s="9"/>
      <c r="H99" s="9"/>
    </row>
    <row r="100" spans="1:9" ht="21" customHeight="1">
      <c r="A100" s="7"/>
      <c r="B100" s="7"/>
      <c r="C100" s="7"/>
      <c r="D100" s="7"/>
      <c r="E100" s="9"/>
      <c r="F100" s="10"/>
      <c r="G100" s="9"/>
      <c r="H100" s="9"/>
    </row>
    <row r="101" spans="1:9" ht="21" customHeight="1">
      <c r="A101" s="7"/>
      <c r="B101" s="7"/>
      <c r="C101" s="7"/>
      <c r="D101" s="7"/>
      <c r="E101" s="9"/>
      <c r="F101" s="10"/>
      <c r="G101" s="9"/>
      <c r="H101" s="9"/>
    </row>
    <row r="102" spans="1:9" ht="21" customHeight="1">
      <c r="A102" s="7"/>
      <c r="B102" s="7"/>
      <c r="C102" s="7"/>
      <c r="D102" s="7"/>
      <c r="E102" s="9"/>
      <c r="F102" s="10"/>
      <c r="G102" s="9"/>
      <c r="H102" s="9"/>
    </row>
    <row r="103" spans="1:9" ht="21" customHeight="1">
      <c r="A103" s="7"/>
      <c r="B103" s="7"/>
      <c r="C103" s="7"/>
      <c r="D103" s="7"/>
      <c r="E103" s="9"/>
      <c r="F103" s="10"/>
      <c r="G103" s="9"/>
      <c r="H103" s="9"/>
    </row>
    <row r="104" spans="1:9" ht="21" customHeight="1">
      <c r="A104" s="7"/>
      <c r="B104" s="7"/>
      <c r="C104" s="7"/>
      <c r="D104" s="7"/>
      <c r="E104" s="9"/>
      <c r="F104" s="10"/>
      <c r="G104" s="9"/>
      <c r="H104" s="9"/>
    </row>
    <row r="105" spans="1:9" ht="21" customHeight="1">
      <c r="A105" s="166"/>
      <c r="B105" s="166"/>
      <c r="C105" s="166"/>
      <c r="D105" s="166"/>
      <c r="E105" s="167"/>
      <c r="F105" s="168"/>
      <c r="G105" s="167"/>
      <c r="H105" s="167">
        <f>SUM(H93:H104)</f>
        <v>4800000</v>
      </c>
    </row>
  </sheetData>
  <mergeCells count="22">
    <mergeCell ref="A92:H92"/>
    <mergeCell ref="K2:K3"/>
    <mergeCell ref="L2:L3"/>
    <mergeCell ref="M2:M3"/>
    <mergeCell ref="N2:N3"/>
    <mergeCell ref="A19:H19"/>
    <mergeCell ref="A25:H25"/>
    <mergeCell ref="A31:H31"/>
    <mergeCell ref="A42:H42"/>
    <mergeCell ref="A57:H57"/>
    <mergeCell ref="I60:I61"/>
    <mergeCell ref="A74:H74"/>
    <mergeCell ref="A1:H1"/>
    <mergeCell ref="J1:M1"/>
    <mergeCell ref="A2:A3"/>
    <mergeCell ref="B2:B3"/>
    <mergeCell ref="C2:C3"/>
    <mergeCell ref="D2:D3"/>
    <mergeCell ref="E2:E3"/>
    <mergeCell ref="F2:F3"/>
    <mergeCell ref="G2:G3"/>
    <mergeCell ref="J2:J3"/>
  </mergeCells>
  <hyperlinks>
    <hyperlink ref="B90" location="Name!A1" display="Name!A1" xr:uid="{11A277FE-49EE-4852-BBBE-CA3C3388B294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E9D5-94C1-463D-99BA-A5B8DDBF9C71}">
  <dimension ref="A1:M13"/>
  <sheetViews>
    <sheetView workbookViewId="0"/>
  </sheetViews>
  <sheetFormatPr defaultRowHeight="34.15" customHeight="1"/>
  <cols>
    <col min="3" max="3" width="16.85546875" customWidth="1"/>
    <col min="4" max="4" width="13.85546875" customWidth="1"/>
    <col min="5" max="5" width="22.140625" customWidth="1"/>
    <col min="6" max="6" width="12.5703125" customWidth="1"/>
    <col min="7" max="7" width="13.28515625" customWidth="1"/>
    <col min="8" max="8" width="21.85546875" customWidth="1"/>
    <col min="9" max="9" width="29.140625" customWidth="1"/>
    <col min="10" max="10" width="17.7109375" customWidth="1"/>
    <col min="11" max="11" width="44.28515625" customWidth="1"/>
    <col min="12" max="12" width="25.42578125" customWidth="1"/>
  </cols>
  <sheetData>
    <row r="1" spans="1:13" ht="34.15" customHeight="1">
      <c r="A1" s="410" t="s">
        <v>648</v>
      </c>
      <c r="K1" s="517" t="s">
        <v>649</v>
      </c>
    </row>
    <row r="2" spans="1:13" ht="34.15" customHeight="1">
      <c r="A2" s="644" t="s">
        <v>63</v>
      </c>
      <c r="B2" s="644"/>
      <c r="C2" s="644"/>
      <c r="D2" s="644"/>
      <c r="E2" s="644"/>
      <c r="F2" s="644"/>
      <c r="G2" s="644"/>
      <c r="H2" s="644"/>
      <c r="J2" s="464" t="s">
        <v>807</v>
      </c>
      <c r="K2" s="464" t="s">
        <v>651</v>
      </c>
      <c r="L2" s="464" t="s">
        <v>652</v>
      </c>
      <c r="M2" s="463"/>
    </row>
    <row r="3" spans="1:13" ht="34.15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J3" s="463" t="s">
        <v>1101</v>
      </c>
      <c r="K3" s="463" t="s">
        <v>1102</v>
      </c>
      <c r="L3" s="463">
        <v>30000</v>
      </c>
      <c r="M3" s="463"/>
    </row>
    <row r="4" spans="1:13" ht="34.15" customHeight="1">
      <c r="A4" s="646"/>
      <c r="B4" s="646"/>
      <c r="C4" s="646"/>
      <c r="D4" s="646"/>
      <c r="E4" s="648"/>
      <c r="F4" s="646"/>
      <c r="G4" s="646"/>
      <c r="H4" s="6" t="s">
        <v>660</v>
      </c>
      <c r="J4" s="463" t="s">
        <v>1101</v>
      </c>
      <c r="K4" s="463" t="s">
        <v>1103</v>
      </c>
      <c r="L4" s="463">
        <v>30000</v>
      </c>
      <c r="M4" s="463"/>
    </row>
    <row r="5" spans="1:13" ht="34.15" customHeight="1">
      <c r="A5" s="7">
        <v>1</v>
      </c>
      <c r="B5" s="7" t="s">
        <v>130</v>
      </c>
      <c r="C5" s="7" t="s">
        <v>469</v>
      </c>
      <c r="D5" s="409" t="s">
        <v>9</v>
      </c>
      <c r="E5" s="9" t="s">
        <v>1104</v>
      </c>
      <c r="F5" s="10" t="s">
        <v>1105</v>
      </c>
      <c r="G5" s="9" t="s">
        <v>1106</v>
      </c>
      <c r="H5" s="9">
        <v>800000</v>
      </c>
      <c r="I5" s="146" t="s">
        <v>664</v>
      </c>
      <c r="J5" s="463"/>
      <c r="K5" s="463"/>
      <c r="L5" s="463"/>
      <c r="M5" s="463"/>
    </row>
    <row r="6" spans="1:13" ht="34.15" customHeight="1">
      <c r="A6" s="7"/>
      <c r="B6" s="7"/>
      <c r="C6" s="7" t="s">
        <v>679</v>
      </c>
      <c r="D6" s="7"/>
      <c r="E6" s="9" t="s">
        <v>1107</v>
      </c>
      <c r="F6" s="10" t="s">
        <v>1108</v>
      </c>
      <c r="G6" s="9" t="s">
        <v>1109</v>
      </c>
      <c r="H6" s="9">
        <v>800000</v>
      </c>
      <c r="I6" s="146" t="s">
        <v>1110</v>
      </c>
      <c r="J6" s="463"/>
      <c r="K6" s="463"/>
      <c r="L6" s="463"/>
      <c r="M6" s="463"/>
    </row>
    <row r="7" spans="1:13" ht="34.15" customHeight="1">
      <c r="A7" s="7"/>
      <c r="B7" s="7"/>
      <c r="C7" s="7"/>
      <c r="D7" s="7"/>
      <c r="E7" s="9" t="s">
        <v>1111</v>
      </c>
      <c r="F7" s="10" t="s">
        <v>1112</v>
      </c>
      <c r="G7" s="9" t="s">
        <v>1113</v>
      </c>
      <c r="H7" s="9">
        <v>800000</v>
      </c>
      <c r="I7" s="146" t="s">
        <v>1110</v>
      </c>
      <c r="J7" s="463"/>
      <c r="K7" s="519" t="s">
        <v>1114</v>
      </c>
      <c r="L7" s="518">
        <f>SUM(L3:L6)</f>
        <v>60000</v>
      </c>
      <c r="M7" s="463"/>
    </row>
    <row r="8" spans="1:13" ht="34.15" customHeight="1">
      <c r="A8" s="7"/>
      <c r="B8" s="7"/>
      <c r="C8" s="7"/>
      <c r="D8" s="7"/>
      <c r="E8" s="9" t="s">
        <v>470</v>
      </c>
      <c r="F8" s="10" t="s">
        <v>1115</v>
      </c>
      <c r="G8" s="9" t="s">
        <v>1116</v>
      </c>
      <c r="H8" s="9">
        <v>800000</v>
      </c>
      <c r="I8" s="146" t="s">
        <v>1110</v>
      </c>
      <c r="J8" s="463"/>
      <c r="K8" s="463"/>
      <c r="L8" s="463"/>
      <c r="M8" s="463"/>
    </row>
    <row r="9" spans="1:13" ht="34.15" customHeight="1">
      <c r="A9" s="7"/>
      <c r="B9" s="7"/>
      <c r="C9" s="7"/>
      <c r="D9" s="7"/>
      <c r="E9" s="9"/>
      <c r="F9" s="10"/>
      <c r="G9" s="9"/>
      <c r="H9" s="9"/>
      <c r="J9" s="463"/>
      <c r="K9" s="463"/>
      <c r="L9" s="463"/>
      <c r="M9" s="463"/>
    </row>
    <row r="10" spans="1:13" ht="34.15" customHeight="1">
      <c r="A10" s="7"/>
      <c r="B10" s="7"/>
      <c r="C10" s="7"/>
      <c r="D10" s="7"/>
      <c r="E10" s="9"/>
      <c r="F10" s="10"/>
      <c r="G10" s="9"/>
      <c r="H10" s="9"/>
      <c r="J10" s="463"/>
      <c r="K10" s="463"/>
      <c r="L10" s="463"/>
      <c r="M10" s="463"/>
    </row>
    <row r="11" spans="1:13" ht="34.15" customHeight="1">
      <c r="A11" s="7"/>
      <c r="B11" s="7"/>
      <c r="C11" s="7"/>
      <c r="D11" s="7"/>
      <c r="E11" s="9"/>
      <c r="F11" s="10"/>
      <c r="G11" s="9"/>
      <c r="H11" s="9"/>
    </row>
    <row r="12" spans="1:13" ht="34.15" customHeight="1">
      <c r="A12" s="7"/>
      <c r="B12" s="7"/>
      <c r="C12" s="7"/>
      <c r="D12" s="7"/>
      <c r="E12" s="9"/>
      <c r="F12" s="10"/>
      <c r="G12" s="9"/>
      <c r="H12" s="9"/>
    </row>
    <row r="13" spans="1:13" ht="34.15" customHeight="1">
      <c r="A13" s="12"/>
      <c r="B13" s="12"/>
      <c r="C13" s="12"/>
      <c r="D13" s="12"/>
      <c r="E13" s="13"/>
      <c r="F13" s="14"/>
      <c r="G13" s="13"/>
      <c r="H13" s="13">
        <f>SUM(H5:H9)</f>
        <v>3200000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29C1C0E9-BDD4-42FD-A052-C33172560F22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2640-5ACE-4B17-9E36-E7215E2ABDD0}">
  <dimension ref="A1:I26"/>
  <sheetViews>
    <sheetView workbookViewId="0"/>
  </sheetViews>
  <sheetFormatPr defaultRowHeight="22.9" customHeight="1"/>
  <cols>
    <col min="3" max="3" width="13.85546875" customWidth="1"/>
    <col min="4" max="4" width="11.7109375" customWidth="1"/>
    <col min="5" max="5" width="22.140625" customWidth="1"/>
    <col min="6" max="6" width="12.5703125" customWidth="1"/>
    <col min="8" max="8" width="21.85546875" customWidth="1"/>
  </cols>
  <sheetData>
    <row r="1" spans="1:8" ht="22.9" customHeight="1">
      <c r="A1" s="410" t="s">
        <v>648</v>
      </c>
    </row>
    <row r="2" spans="1:8" ht="22.9" customHeight="1">
      <c r="A2" s="644" t="s">
        <v>613</v>
      </c>
      <c r="B2" s="644"/>
      <c r="C2" s="644"/>
      <c r="D2" s="644"/>
      <c r="E2" s="644"/>
      <c r="F2" s="644"/>
      <c r="G2" s="644"/>
      <c r="H2" s="644"/>
    </row>
    <row r="3" spans="1:8" ht="22.9" customHeight="1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8" ht="22.9" customHeight="1">
      <c r="A4" s="646"/>
      <c r="B4" s="646"/>
      <c r="C4" s="646"/>
      <c r="D4" s="646"/>
      <c r="E4" s="648"/>
      <c r="F4" s="646"/>
      <c r="G4" s="646"/>
      <c r="H4" s="6" t="s">
        <v>660</v>
      </c>
    </row>
    <row r="5" spans="1:8" ht="22.9" customHeight="1">
      <c r="A5" s="7">
        <v>1</v>
      </c>
      <c r="B5" s="7" t="s">
        <v>130</v>
      </c>
      <c r="C5" s="7" t="s">
        <v>457</v>
      </c>
      <c r="D5" s="409" t="s">
        <v>6</v>
      </c>
      <c r="E5" s="9"/>
      <c r="F5" s="10"/>
      <c r="G5" s="9"/>
      <c r="H5" s="9"/>
    </row>
    <row r="6" spans="1:8" ht="22.9" customHeight="1">
      <c r="A6" s="7"/>
      <c r="B6" s="7"/>
      <c r="C6" s="7" t="s">
        <v>679</v>
      </c>
      <c r="D6" s="7"/>
      <c r="E6" s="9" t="s">
        <v>1117</v>
      </c>
      <c r="F6" s="10" t="s">
        <v>1118</v>
      </c>
      <c r="G6" s="9" t="s">
        <v>1119</v>
      </c>
      <c r="H6" s="9">
        <v>600000</v>
      </c>
    </row>
    <row r="7" spans="1:8" ht="22.9" customHeight="1">
      <c r="A7" s="7"/>
      <c r="B7" s="7"/>
      <c r="C7" s="7"/>
      <c r="D7" s="7"/>
      <c r="E7" s="9" t="s">
        <v>1120</v>
      </c>
      <c r="F7" s="10" t="s">
        <v>1121</v>
      </c>
      <c r="G7" s="9" t="s">
        <v>1122</v>
      </c>
      <c r="H7" s="9">
        <v>1200000</v>
      </c>
    </row>
    <row r="8" spans="1:8" ht="22.9" customHeight="1">
      <c r="A8" s="7"/>
      <c r="B8" s="7"/>
      <c r="C8" s="7"/>
      <c r="D8" s="7"/>
      <c r="E8" s="9" t="s">
        <v>1123</v>
      </c>
      <c r="F8" s="10" t="s">
        <v>1124</v>
      </c>
      <c r="G8" s="9" t="s">
        <v>1125</v>
      </c>
      <c r="H8" s="9">
        <v>1200000</v>
      </c>
    </row>
    <row r="9" spans="1:8" ht="22.9" customHeight="1">
      <c r="A9" s="7"/>
      <c r="B9" s="7"/>
      <c r="C9" s="7"/>
      <c r="D9" s="7"/>
      <c r="E9" s="9" t="s">
        <v>1126</v>
      </c>
      <c r="F9" s="10" t="s">
        <v>1127</v>
      </c>
      <c r="G9" s="9" t="s">
        <v>1128</v>
      </c>
      <c r="H9" s="9">
        <v>600000</v>
      </c>
    </row>
    <row r="10" spans="1:8" ht="22.9" customHeight="1">
      <c r="A10" s="7"/>
      <c r="B10" s="7"/>
      <c r="C10" s="7"/>
      <c r="D10" s="7"/>
      <c r="E10" s="9" t="s">
        <v>1129</v>
      </c>
      <c r="F10" s="10" t="s">
        <v>1127</v>
      </c>
      <c r="G10" s="9" t="s">
        <v>1128</v>
      </c>
      <c r="H10" s="9">
        <v>140000</v>
      </c>
    </row>
    <row r="11" spans="1:8" ht="22.9" customHeight="1">
      <c r="A11" s="7"/>
      <c r="B11" s="7"/>
      <c r="C11" s="7"/>
      <c r="D11" s="7"/>
      <c r="E11" s="9"/>
      <c r="F11" s="10"/>
      <c r="G11" s="9"/>
      <c r="H11" s="9"/>
    </row>
    <row r="12" spans="1:8" ht="22.9" customHeight="1">
      <c r="A12" s="7"/>
      <c r="B12" s="7"/>
      <c r="C12" s="7"/>
      <c r="D12" s="7"/>
      <c r="E12" s="9"/>
      <c r="F12" s="10"/>
      <c r="G12" s="9"/>
      <c r="H12" s="9"/>
    </row>
    <row r="13" spans="1:8" ht="22.9" customHeight="1">
      <c r="A13" s="12"/>
      <c r="B13" s="12"/>
      <c r="C13" s="12"/>
      <c r="D13" s="12"/>
      <c r="E13" s="13"/>
      <c r="F13" s="14"/>
      <c r="G13" s="13"/>
      <c r="H13" s="13">
        <f>SUM(H5:H10)</f>
        <v>3740000</v>
      </c>
    </row>
    <row r="15" spans="1:8" ht="22.9" customHeight="1">
      <c r="A15" s="644" t="s">
        <v>456</v>
      </c>
      <c r="B15" s="644"/>
      <c r="C15" s="644"/>
      <c r="D15" s="644"/>
      <c r="E15" s="644"/>
      <c r="F15" s="644"/>
      <c r="G15" s="644"/>
      <c r="H15" s="644"/>
    </row>
    <row r="16" spans="1:8" ht="22.9" customHeight="1">
      <c r="A16" s="645" t="s">
        <v>653</v>
      </c>
      <c r="B16" s="647" t="s">
        <v>654</v>
      </c>
      <c r="C16" s="645" t="s">
        <v>655</v>
      </c>
      <c r="D16" s="645" t="s">
        <v>12</v>
      </c>
      <c r="E16" s="647" t="s">
        <v>656</v>
      </c>
      <c r="F16" s="645" t="s">
        <v>657</v>
      </c>
      <c r="G16" s="647" t="s">
        <v>658</v>
      </c>
      <c r="H16" s="3" t="s">
        <v>659</v>
      </c>
    </row>
    <row r="17" spans="1:9" ht="22.9" customHeight="1">
      <c r="A17" s="646"/>
      <c r="B17" s="646"/>
      <c r="C17" s="646"/>
      <c r="D17" s="646"/>
      <c r="E17" s="648"/>
      <c r="F17" s="646"/>
      <c r="G17" s="646"/>
      <c r="H17" s="6" t="s">
        <v>660</v>
      </c>
    </row>
    <row r="18" spans="1:9" ht="22.9" customHeight="1">
      <c r="A18" s="7">
        <v>1</v>
      </c>
      <c r="B18" s="7" t="s">
        <v>130</v>
      </c>
      <c r="C18" s="7" t="s">
        <v>457</v>
      </c>
      <c r="D18" s="409" t="s">
        <v>2</v>
      </c>
      <c r="E18" s="9" t="s">
        <v>661</v>
      </c>
      <c r="F18" s="10" t="s">
        <v>1130</v>
      </c>
      <c r="G18" s="9" t="s">
        <v>1131</v>
      </c>
      <c r="H18" s="9">
        <v>800000</v>
      </c>
    </row>
    <row r="19" spans="1:9" ht="22.9" customHeight="1">
      <c r="A19" s="7"/>
      <c r="B19" s="7"/>
      <c r="C19" s="7" t="s">
        <v>679</v>
      </c>
      <c r="D19" s="7" t="s">
        <v>1132</v>
      </c>
      <c r="E19" s="9" t="s">
        <v>1133</v>
      </c>
      <c r="F19" s="10" t="s">
        <v>1130</v>
      </c>
      <c r="G19" s="9" t="s">
        <v>1131</v>
      </c>
      <c r="H19" s="9">
        <v>800000</v>
      </c>
    </row>
    <row r="20" spans="1:9" ht="22.9" customHeight="1">
      <c r="A20" s="7"/>
      <c r="B20" s="7"/>
      <c r="C20" s="7"/>
      <c r="D20" s="7" t="s">
        <v>6</v>
      </c>
      <c r="E20" s="9" t="s">
        <v>1134</v>
      </c>
      <c r="F20" s="10" t="s">
        <v>1135</v>
      </c>
      <c r="G20" s="9" t="s">
        <v>792</v>
      </c>
      <c r="H20" s="9">
        <v>2400000</v>
      </c>
    </row>
    <row r="21" spans="1:9" ht="22.9" customHeight="1">
      <c r="A21" s="7"/>
      <c r="B21" s="7"/>
      <c r="C21" s="7"/>
      <c r="D21" s="7"/>
      <c r="E21" s="9" t="s">
        <v>1076</v>
      </c>
      <c r="F21" s="10"/>
      <c r="G21" s="9"/>
      <c r="H21" s="9">
        <v>-300000</v>
      </c>
    </row>
    <row r="22" spans="1:9" ht="22.9" customHeight="1">
      <c r="A22" s="7"/>
      <c r="B22" s="7"/>
      <c r="C22" s="7"/>
      <c r="D22" s="7"/>
      <c r="E22" s="9" t="s">
        <v>1136</v>
      </c>
      <c r="F22" s="10" t="s">
        <v>1137</v>
      </c>
      <c r="G22" s="9" t="s">
        <v>1138</v>
      </c>
      <c r="H22" s="9">
        <v>1600000</v>
      </c>
      <c r="I22" s="146" t="s">
        <v>664</v>
      </c>
    </row>
    <row r="23" spans="1:9" ht="22.9" customHeight="1">
      <c r="A23" s="7"/>
      <c r="B23" s="7"/>
      <c r="C23" s="7"/>
      <c r="D23" s="7"/>
      <c r="E23" s="9" t="s">
        <v>459</v>
      </c>
      <c r="F23" s="10" t="s">
        <v>1139</v>
      </c>
      <c r="G23" s="9" t="s">
        <v>1140</v>
      </c>
      <c r="H23" s="9">
        <v>800000</v>
      </c>
      <c r="I23" s="146" t="s">
        <v>664</v>
      </c>
    </row>
    <row r="24" spans="1:9" ht="22.9" customHeight="1">
      <c r="A24" s="7"/>
      <c r="B24" s="7"/>
      <c r="C24" s="7"/>
      <c r="D24" s="7"/>
      <c r="E24" s="9"/>
      <c r="F24" s="10"/>
      <c r="G24" s="9"/>
      <c r="H24" s="9"/>
    </row>
    <row r="25" spans="1:9" ht="22.9" customHeight="1">
      <c r="A25" s="7"/>
      <c r="B25" s="7"/>
      <c r="C25" s="7"/>
      <c r="D25" s="7"/>
      <c r="E25" s="9"/>
      <c r="F25" s="10"/>
      <c r="G25" s="9"/>
      <c r="H25" s="9"/>
    </row>
    <row r="26" spans="1:9" ht="22.9" customHeight="1">
      <c r="A26" s="12"/>
      <c r="B26" s="12"/>
      <c r="C26" s="12"/>
      <c r="D26" s="12"/>
      <c r="E26" s="13"/>
      <c r="F26" s="14"/>
      <c r="G26" s="13"/>
      <c r="H26" s="13">
        <f>SUM(H18:H23)</f>
        <v>6100000</v>
      </c>
    </row>
  </sheetData>
  <mergeCells count="16">
    <mergeCell ref="A2:H2"/>
    <mergeCell ref="A3:A4"/>
    <mergeCell ref="B3:B4"/>
    <mergeCell ref="C3:C4"/>
    <mergeCell ref="D3:D4"/>
    <mergeCell ref="E3:E4"/>
    <mergeCell ref="F3:F4"/>
    <mergeCell ref="G3:G4"/>
    <mergeCell ref="A15:H15"/>
    <mergeCell ref="A16:A17"/>
    <mergeCell ref="B16:B17"/>
    <mergeCell ref="C16:C17"/>
    <mergeCell ref="D16:D17"/>
    <mergeCell ref="E16:E17"/>
    <mergeCell ref="F16:F17"/>
    <mergeCell ref="G16:G17"/>
  </mergeCells>
  <hyperlinks>
    <hyperlink ref="A1" location="Name!A1" display="Name!A1" xr:uid="{876CB7BD-2029-4DD7-9382-B87B3EEEB8C7}"/>
  </hyperlink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3FFA-CB10-4FF3-AE4C-CE10C8DAFD8B}">
  <dimension ref="A1:N41"/>
  <sheetViews>
    <sheetView workbookViewId="0"/>
  </sheetViews>
  <sheetFormatPr defaultRowHeight="15.75"/>
  <cols>
    <col min="3" max="3" width="18.42578125" customWidth="1"/>
    <col min="4" max="4" width="15" customWidth="1"/>
    <col min="5" max="5" width="20.85546875" customWidth="1"/>
    <col min="6" max="6" width="16.140625" customWidth="1"/>
    <col min="7" max="7" width="15.7109375" customWidth="1"/>
    <col min="8" max="8" width="18.5703125" customWidth="1"/>
    <col min="9" max="9" width="19" customWidth="1"/>
    <col min="12" max="12" width="12.7109375" style="444" customWidth="1"/>
    <col min="13" max="13" width="34" style="444" customWidth="1"/>
    <col min="14" max="14" width="16.85546875" style="447" customWidth="1"/>
  </cols>
  <sheetData>
    <row r="1" spans="1:8">
      <c r="A1" s="410" t="s">
        <v>648</v>
      </c>
    </row>
    <row r="3" spans="1:8" ht="21.75">
      <c r="A3" s="644" t="s">
        <v>1141</v>
      </c>
      <c r="B3" s="644"/>
      <c r="C3" s="644"/>
      <c r="D3" s="644"/>
      <c r="E3" s="644"/>
      <c r="F3" s="644"/>
      <c r="G3" s="644"/>
      <c r="H3" s="644"/>
    </row>
    <row r="4" spans="1:8" ht="14.45" customHeight="1">
      <c r="A4" s="645" t="s">
        <v>653</v>
      </c>
      <c r="B4" s="647" t="s">
        <v>654</v>
      </c>
      <c r="C4" s="645" t="s">
        <v>655</v>
      </c>
      <c r="D4" s="645" t="s">
        <v>12</v>
      </c>
      <c r="E4" s="647" t="s">
        <v>656</v>
      </c>
      <c r="F4" s="645" t="s">
        <v>657</v>
      </c>
      <c r="G4" s="647" t="s">
        <v>658</v>
      </c>
      <c r="H4" s="3" t="s">
        <v>659</v>
      </c>
    </row>
    <row r="5" spans="1:8" ht="21.75">
      <c r="A5" s="646"/>
      <c r="B5" s="646"/>
      <c r="C5" s="646"/>
      <c r="D5" s="646"/>
      <c r="E5" s="648"/>
      <c r="F5" s="646"/>
      <c r="G5" s="646"/>
      <c r="H5" s="6" t="s">
        <v>660</v>
      </c>
    </row>
    <row r="6" spans="1:8" ht="21.75">
      <c r="A6" s="7">
        <v>1</v>
      </c>
      <c r="B6" s="7" t="s">
        <v>152</v>
      </c>
      <c r="C6" s="7" t="s">
        <v>1142</v>
      </c>
      <c r="D6" s="7" t="s">
        <v>1143</v>
      </c>
      <c r="E6" s="9" t="s">
        <v>661</v>
      </c>
      <c r="F6" s="10" t="s">
        <v>1144</v>
      </c>
      <c r="G6" s="9" t="s">
        <v>1145</v>
      </c>
      <c r="H6" s="9">
        <v>700000</v>
      </c>
    </row>
    <row r="7" spans="1:8" ht="21.75">
      <c r="A7" s="7"/>
      <c r="B7" s="7"/>
      <c r="C7" s="7" t="s">
        <v>679</v>
      </c>
      <c r="D7" s="7" t="s">
        <v>1132</v>
      </c>
      <c r="E7" s="9" t="s">
        <v>1146</v>
      </c>
      <c r="F7" s="10" t="s">
        <v>1144</v>
      </c>
      <c r="G7" s="9" t="s">
        <v>1145</v>
      </c>
      <c r="H7" s="9">
        <v>700000</v>
      </c>
    </row>
    <row r="8" spans="1:8" ht="21.75">
      <c r="A8" s="7"/>
      <c r="B8" s="7"/>
      <c r="C8" s="7"/>
      <c r="D8" s="7" t="s">
        <v>1147</v>
      </c>
      <c r="E8" s="9" t="s">
        <v>1148</v>
      </c>
      <c r="F8" s="10" t="s">
        <v>1144</v>
      </c>
      <c r="G8" s="9" t="s">
        <v>1145</v>
      </c>
      <c r="H8" s="9">
        <v>700000</v>
      </c>
    </row>
    <row r="9" spans="1:8" ht="21.75">
      <c r="A9" s="7"/>
      <c r="B9" s="7"/>
      <c r="C9" s="7"/>
      <c r="D9" s="7"/>
      <c r="E9" s="9"/>
      <c r="F9" s="10"/>
      <c r="G9" s="9"/>
      <c r="H9" s="9"/>
    </row>
    <row r="10" spans="1:8" ht="21.75">
      <c r="A10" s="7"/>
      <c r="B10" s="7"/>
      <c r="C10" s="7"/>
      <c r="D10" s="7"/>
      <c r="E10" s="9"/>
      <c r="F10" s="10"/>
      <c r="G10" s="9"/>
      <c r="H10" s="9"/>
    </row>
    <row r="11" spans="1:8" ht="21.75">
      <c r="A11" s="7"/>
      <c r="B11" s="7"/>
      <c r="C11" s="7"/>
      <c r="D11" s="7"/>
      <c r="E11" s="9"/>
      <c r="F11" s="10"/>
      <c r="G11" s="9"/>
      <c r="H11" s="9"/>
    </row>
    <row r="12" spans="1:8" ht="21.75">
      <c r="A12" s="7"/>
      <c r="B12" s="7"/>
      <c r="C12" s="7"/>
      <c r="D12" s="7"/>
      <c r="E12" s="9"/>
      <c r="F12" s="10"/>
      <c r="G12" s="9"/>
      <c r="H12" s="9"/>
    </row>
    <row r="13" spans="1:8" ht="21.75">
      <c r="A13" s="7"/>
      <c r="B13" s="7"/>
      <c r="C13" s="7"/>
      <c r="D13" s="7"/>
      <c r="E13" s="9"/>
      <c r="F13" s="10"/>
      <c r="G13" s="9"/>
      <c r="H13" s="9"/>
    </row>
    <row r="14" spans="1:8" ht="21.75">
      <c r="A14" s="166"/>
      <c r="B14" s="166"/>
      <c r="C14" s="166"/>
      <c r="D14" s="166"/>
      <c r="E14" s="167"/>
      <c r="F14" s="168"/>
      <c r="G14" s="167"/>
      <c r="H14" s="167">
        <f>SUM(H6:H10)</f>
        <v>2100000</v>
      </c>
    </row>
    <row r="16" spans="1:8">
      <c r="A16" s="410"/>
    </row>
    <row r="17" spans="1:14" ht="21.75">
      <c r="A17" s="644" t="s">
        <v>1149</v>
      </c>
      <c r="B17" s="644"/>
      <c r="C17" s="644"/>
      <c r="D17" s="644"/>
      <c r="E17" s="644"/>
      <c r="F17" s="644"/>
      <c r="G17" s="644"/>
      <c r="H17" s="644"/>
    </row>
    <row r="18" spans="1:14" ht="21.75">
      <c r="A18" s="645" t="s">
        <v>653</v>
      </c>
      <c r="B18" s="647" t="s">
        <v>654</v>
      </c>
      <c r="C18" s="645" t="s">
        <v>655</v>
      </c>
      <c r="D18" s="645" t="s">
        <v>12</v>
      </c>
      <c r="E18" s="647" t="s">
        <v>656</v>
      </c>
      <c r="F18" s="645" t="s">
        <v>657</v>
      </c>
      <c r="G18" s="647" t="s">
        <v>658</v>
      </c>
      <c r="H18" s="3" t="s">
        <v>659</v>
      </c>
    </row>
    <row r="19" spans="1:14" ht="21.75">
      <c r="A19" s="646"/>
      <c r="B19" s="646"/>
      <c r="C19" s="646"/>
      <c r="D19" s="646"/>
      <c r="E19" s="648"/>
      <c r="F19" s="646"/>
      <c r="G19" s="646"/>
      <c r="H19" s="6" t="s">
        <v>660</v>
      </c>
    </row>
    <row r="20" spans="1:14" ht="21.75">
      <c r="A20" s="7">
        <v>1</v>
      </c>
      <c r="B20" s="7" t="s">
        <v>130</v>
      </c>
      <c r="C20" s="7" t="s">
        <v>376</v>
      </c>
      <c r="D20" s="409" t="s">
        <v>4</v>
      </c>
      <c r="E20" s="9" t="s">
        <v>661</v>
      </c>
      <c r="F20" s="10" t="s">
        <v>1150</v>
      </c>
      <c r="G20" s="9" t="s">
        <v>1151</v>
      </c>
      <c r="H20" s="9">
        <v>800000</v>
      </c>
      <c r="I20" s="146" t="s">
        <v>1110</v>
      </c>
    </row>
    <row r="21" spans="1:14" ht="21.75">
      <c r="A21" s="7"/>
      <c r="B21" s="7"/>
      <c r="C21" s="7" t="s">
        <v>679</v>
      </c>
      <c r="D21" s="7"/>
      <c r="E21" s="9" t="s">
        <v>1152</v>
      </c>
      <c r="F21" s="10" t="s">
        <v>1150</v>
      </c>
      <c r="G21" s="9" t="s">
        <v>1151</v>
      </c>
      <c r="H21" s="9">
        <v>800000</v>
      </c>
      <c r="I21" s="146" t="s">
        <v>1153</v>
      </c>
    </row>
    <row r="22" spans="1:14" ht="21.75">
      <c r="A22" s="7"/>
      <c r="B22" s="7"/>
      <c r="C22" s="7"/>
      <c r="D22" s="7"/>
      <c r="E22" s="9"/>
      <c r="F22" s="10"/>
      <c r="G22" s="9"/>
      <c r="H22" s="9"/>
    </row>
    <row r="23" spans="1:14" ht="21.75">
      <c r="A23" s="7"/>
      <c r="B23" s="7"/>
      <c r="C23" s="7"/>
      <c r="D23" s="7"/>
      <c r="E23" s="9"/>
      <c r="F23" s="10"/>
      <c r="G23" s="9"/>
      <c r="H23" s="9"/>
    </row>
    <row r="24" spans="1:14" ht="21.75">
      <c r="A24" s="7"/>
      <c r="B24" s="7"/>
      <c r="C24" s="7"/>
      <c r="D24" s="7"/>
      <c r="E24" s="9" t="s">
        <v>927</v>
      </c>
      <c r="F24" s="10"/>
      <c r="G24" s="9"/>
      <c r="H24" s="9"/>
    </row>
    <row r="25" spans="1:14" ht="21.75">
      <c r="A25" s="7"/>
      <c r="B25" s="7"/>
      <c r="C25" s="7"/>
      <c r="D25" s="7"/>
      <c r="E25" s="9"/>
      <c r="F25" s="10"/>
      <c r="G25" s="9"/>
      <c r="H25" s="9"/>
    </row>
    <row r="26" spans="1:14" ht="21.75">
      <c r="A26" s="7"/>
      <c r="B26" s="7"/>
      <c r="C26" s="7"/>
      <c r="D26" s="7"/>
      <c r="E26" s="9"/>
      <c r="F26" s="10"/>
      <c r="G26" s="9"/>
      <c r="H26" s="9"/>
    </row>
    <row r="27" spans="1:14" ht="21.75">
      <c r="A27" s="7"/>
      <c r="B27" s="7"/>
      <c r="C27" s="7"/>
      <c r="D27" s="7"/>
      <c r="E27" s="9"/>
      <c r="F27" s="10"/>
      <c r="G27" s="9"/>
      <c r="H27" s="9"/>
    </row>
    <row r="28" spans="1:14" ht="21.75">
      <c r="A28" s="12"/>
      <c r="B28" s="12"/>
      <c r="C28" s="12"/>
      <c r="D28" s="12"/>
      <c r="E28" s="13"/>
      <c r="F28" s="14"/>
      <c r="G28" s="13"/>
      <c r="H28" s="13">
        <f>SUM(H20:H24)</f>
        <v>1600000</v>
      </c>
    </row>
    <row r="29" spans="1:14" ht="18.75">
      <c r="M29" s="551" t="s">
        <v>649</v>
      </c>
    </row>
    <row r="30" spans="1:14" ht="20.45" customHeight="1">
      <c r="A30" s="644" t="s">
        <v>375</v>
      </c>
      <c r="B30" s="644"/>
      <c r="C30" s="644"/>
      <c r="D30" s="644"/>
      <c r="E30" s="644"/>
      <c r="F30" s="644"/>
      <c r="G30" s="644"/>
      <c r="H30" s="644"/>
      <c r="L30" s="547" t="s">
        <v>807</v>
      </c>
      <c r="M30" s="547" t="s">
        <v>651</v>
      </c>
      <c r="N30" s="548" t="s">
        <v>652</v>
      </c>
    </row>
    <row r="31" spans="1:14" ht="20.45" customHeight="1">
      <c r="A31" s="645" t="s">
        <v>653</v>
      </c>
      <c r="B31" s="647" t="s">
        <v>654</v>
      </c>
      <c r="C31" s="645" t="s">
        <v>655</v>
      </c>
      <c r="D31" s="645" t="s">
        <v>12</v>
      </c>
      <c r="E31" s="647" t="s">
        <v>656</v>
      </c>
      <c r="F31" s="645" t="s">
        <v>657</v>
      </c>
      <c r="G31" s="647" t="s">
        <v>658</v>
      </c>
      <c r="H31" s="3" t="s">
        <v>659</v>
      </c>
    </row>
    <row r="32" spans="1:14" ht="20.45" customHeight="1">
      <c r="A32" s="646"/>
      <c r="B32" s="646"/>
      <c r="C32" s="646"/>
      <c r="D32" s="646"/>
      <c r="E32" s="648"/>
      <c r="F32" s="646"/>
      <c r="G32" s="646"/>
      <c r="H32" s="6" t="s">
        <v>660</v>
      </c>
      <c r="L32" s="444" t="s">
        <v>1154</v>
      </c>
      <c r="M32" s="444" t="s">
        <v>1155</v>
      </c>
      <c r="N32" s="447">
        <v>150000</v>
      </c>
    </row>
    <row r="33" spans="1:14" ht="20.45" customHeight="1">
      <c r="A33" s="7">
        <v>1</v>
      </c>
      <c r="B33" s="7" t="s">
        <v>130</v>
      </c>
      <c r="C33" s="7" t="s">
        <v>376</v>
      </c>
      <c r="D33" s="409" t="s">
        <v>4</v>
      </c>
      <c r="E33" s="9" t="s">
        <v>661</v>
      </c>
      <c r="F33" s="10" t="s">
        <v>1156</v>
      </c>
      <c r="G33" s="9" t="s">
        <v>1157</v>
      </c>
      <c r="H33" s="9">
        <v>800000</v>
      </c>
      <c r="I33" s="146" t="s">
        <v>1158</v>
      </c>
    </row>
    <row r="34" spans="1:14" ht="20.45" customHeight="1">
      <c r="A34" s="7"/>
      <c r="B34" s="7"/>
      <c r="C34" s="7" t="s">
        <v>679</v>
      </c>
      <c r="D34" s="7"/>
      <c r="E34" s="9" t="s">
        <v>1159</v>
      </c>
      <c r="F34" s="10" t="s">
        <v>1156</v>
      </c>
      <c r="G34" s="9" t="s">
        <v>1157</v>
      </c>
      <c r="H34" s="9">
        <v>800000</v>
      </c>
      <c r="I34" s="146" t="s">
        <v>1158</v>
      </c>
    </row>
    <row r="35" spans="1:14" ht="20.45" customHeight="1">
      <c r="A35" s="7"/>
      <c r="B35" s="7"/>
      <c r="C35" s="7"/>
      <c r="D35" s="7"/>
      <c r="E35" s="9" t="s">
        <v>1160</v>
      </c>
      <c r="F35" s="10" t="s">
        <v>1161</v>
      </c>
      <c r="G35" s="9" t="s">
        <v>1162</v>
      </c>
      <c r="H35" s="9">
        <v>800000</v>
      </c>
      <c r="I35" s="466" t="s">
        <v>1163</v>
      </c>
    </row>
    <row r="36" spans="1:14" ht="20.45" customHeight="1">
      <c r="A36" s="7"/>
      <c r="B36" s="7"/>
      <c r="C36" s="7"/>
      <c r="D36" s="7"/>
      <c r="E36" s="9" t="s">
        <v>1164</v>
      </c>
      <c r="F36" s="10" t="s">
        <v>1165</v>
      </c>
      <c r="G36" s="9" t="s">
        <v>1166</v>
      </c>
      <c r="H36" s="9">
        <v>800000</v>
      </c>
      <c r="I36" s="146" t="s">
        <v>664</v>
      </c>
    </row>
    <row r="37" spans="1:14" ht="20.45" customHeight="1">
      <c r="A37" s="7"/>
      <c r="B37" s="7"/>
      <c r="C37" s="7"/>
      <c r="D37" s="7"/>
      <c r="E37" s="9" t="s">
        <v>1167</v>
      </c>
      <c r="F37" s="10" t="s">
        <v>1168</v>
      </c>
      <c r="G37" s="9" t="s">
        <v>1169</v>
      </c>
      <c r="H37" s="9">
        <v>800000</v>
      </c>
      <c r="I37" s="333" t="s">
        <v>664</v>
      </c>
    </row>
    <row r="38" spans="1:14" ht="20.45" customHeight="1">
      <c r="A38" s="7"/>
      <c r="B38" s="7"/>
      <c r="C38" s="7"/>
      <c r="D38" s="7"/>
      <c r="E38" s="9" t="s">
        <v>378</v>
      </c>
      <c r="F38" s="10" t="s">
        <v>1170</v>
      </c>
      <c r="G38" s="9" t="s">
        <v>788</v>
      </c>
      <c r="H38" s="9">
        <v>800000</v>
      </c>
      <c r="I38" s="333" t="s">
        <v>1171</v>
      </c>
    </row>
    <row r="39" spans="1:14" ht="20.45" customHeight="1">
      <c r="A39" s="7"/>
      <c r="B39" s="7"/>
      <c r="C39" s="7"/>
      <c r="D39" s="7"/>
      <c r="E39" s="9"/>
      <c r="F39" s="10"/>
      <c r="G39" s="9"/>
      <c r="H39" s="9"/>
    </row>
    <row r="40" spans="1:14" ht="20.45" customHeight="1">
      <c r="A40" s="7"/>
      <c r="B40" s="7"/>
      <c r="C40" s="7"/>
      <c r="D40" s="7"/>
      <c r="E40" s="9"/>
      <c r="F40" s="10"/>
      <c r="G40" s="9"/>
      <c r="H40" s="9"/>
    </row>
    <row r="41" spans="1:14" ht="20.45" customHeight="1">
      <c r="A41" s="12"/>
      <c r="B41" s="12"/>
      <c r="C41" s="12"/>
      <c r="D41" s="12"/>
      <c r="E41" s="13"/>
      <c r="F41" s="14"/>
      <c r="G41" s="13"/>
      <c r="H41" s="13">
        <f>SUM(H33:H38)</f>
        <v>4800000</v>
      </c>
      <c r="L41" s="549"/>
      <c r="M41" s="549" t="s">
        <v>665</v>
      </c>
      <c r="N41" s="550">
        <f>SUM(N32:N40)</f>
        <v>150000</v>
      </c>
    </row>
  </sheetData>
  <mergeCells count="24">
    <mergeCell ref="A3:H3"/>
    <mergeCell ref="A4:A5"/>
    <mergeCell ref="B4:B5"/>
    <mergeCell ref="C4:C5"/>
    <mergeCell ref="D4:D5"/>
    <mergeCell ref="E4:E5"/>
    <mergeCell ref="F4:F5"/>
    <mergeCell ref="G4:G5"/>
    <mergeCell ref="A17:H17"/>
    <mergeCell ref="A18:A19"/>
    <mergeCell ref="B18:B19"/>
    <mergeCell ref="C18:C19"/>
    <mergeCell ref="D18:D19"/>
    <mergeCell ref="E18:E19"/>
    <mergeCell ref="F18:F19"/>
    <mergeCell ref="G18:G19"/>
    <mergeCell ref="A30:H30"/>
    <mergeCell ref="A31:A32"/>
    <mergeCell ref="B31:B32"/>
    <mergeCell ref="C31:C32"/>
    <mergeCell ref="D31:D32"/>
    <mergeCell ref="E31:E32"/>
    <mergeCell ref="F31:F32"/>
    <mergeCell ref="G31:G32"/>
  </mergeCells>
  <hyperlinks>
    <hyperlink ref="A1" location="Name!A1" display="Name!A1" xr:uid="{938065BB-92BB-4459-8B08-37D69AC953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6C41-EE1B-4B87-8F66-9E7A4550DAD6}">
  <dimension ref="A1:I40"/>
  <sheetViews>
    <sheetView workbookViewId="0"/>
  </sheetViews>
  <sheetFormatPr defaultColWidth="9.140625" defaultRowHeight="15"/>
  <cols>
    <col min="1" max="1" width="9.140625" style="15"/>
    <col min="2" max="2" width="14" style="15" customWidth="1"/>
    <col min="3" max="3" width="16.5703125" style="15" customWidth="1"/>
    <col min="4" max="4" width="9.140625" style="15"/>
    <col min="5" max="5" width="29.85546875" style="15" customWidth="1"/>
    <col min="6" max="7" width="9.140625" style="15"/>
    <col min="8" max="8" width="16.42578125" style="15" customWidth="1"/>
    <col min="9" max="16384" width="9.140625" style="15"/>
  </cols>
  <sheetData>
    <row r="1" spans="1:9">
      <c r="A1" s="411" t="s">
        <v>648</v>
      </c>
    </row>
    <row r="2" spans="1:9">
      <c r="A2" s="670" t="s">
        <v>144</v>
      </c>
      <c r="B2" s="670"/>
      <c r="C2" s="670"/>
      <c r="D2" s="670"/>
      <c r="E2" s="670"/>
      <c r="F2" s="670"/>
      <c r="G2" s="670"/>
      <c r="H2" s="670"/>
    </row>
    <row r="3" spans="1:9">
      <c r="A3" s="653"/>
      <c r="B3" s="653"/>
      <c r="C3" s="653"/>
      <c r="D3" s="653"/>
      <c r="E3" s="653"/>
      <c r="F3" s="653"/>
      <c r="G3" s="653"/>
      <c r="H3" s="653"/>
    </row>
    <row r="4" spans="1:9" ht="18">
      <c r="A4" s="671" t="s">
        <v>653</v>
      </c>
      <c r="B4" s="673" t="s">
        <v>654</v>
      </c>
      <c r="C4" s="671" t="s">
        <v>655</v>
      </c>
      <c r="D4" s="671" t="s">
        <v>12</v>
      </c>
      <c r="E4" s="673" t="s">
        <v>656</v>
      </c>
      <c r="F4" s="671" t="s">
        <v>657</v>
      </c>
      <c r="G4" s="673" t="s">
        <v>658</v>
      </c>
      <c r="H4" s="240" t="s">
        <v>659</v>
      </c>
    </row>
    <row r="5" spans="1:9" ht="18">
      <c r="A5" s="672"/>
      <c r="B5" s="672"/>
      <c r="C5" s="672"/>
      <c r="D5" s="672"/>
      <c r="E5" s="674"/>
      <c r="F5" s="672"/>
      <c r="G5" s="672"/>
      <c r="H5" s="241" t="s">
        <v>660</v>
      </c>
    </row>
    <row r="6" spans="1:9" ht="18">
      <c r="A6" s="242">
        <v>1</v>
      </c>
      <c r="B6" s="242" t="s">
        <v>1172</v>
      </c>
      <c r="C6" s="15" t="s">
        <v>145</v>
      </c>
      <c r="D6" s="242" t="s">
        <v>143</v>
      </c>
      <c r="E6" s="243" t="s">
        <v>1173</v>
      </c>
      <c r="F6" s="244" t="s">
        <v>1174</v>
      </c>
      <c r="G6" s="243" t="s">
        <v>1175</v>
      </c>
      <c r="H6" s="243">
        <v>1500000</v>
      </c>
      <c r="I6" s="15">
        <v>6</v>
      </c>
    </row>
    <row r="7" spans="1:9" ht="18">
      <c r="A7" s="242"/>
      <c r="B7" s="242"/>
      <c r="C7" s="242"/>
      <c r="D7" s="242"/>
      <c r="E7" s="243" t="s">
        <v>1176</v>
      </c>
      <c r="F7" s="244" t="s">
        <v>1177</v>
      </c>
      <c r="G7" s="243" t="s">
        <v>1178</v>
      </c>
      <c r="H7" s="243">
        <v>1200000</v>
      </c>
    </row>
    <row r="8" spans="1:9" ht="18">
      <c r="A8" s="242"/>
      <c r="B8" s="242"/>
      <c r="C8" s="242"/>
      <c r="D8" s="242"/>
      <c r="E8" s="243" t="s">
        <v>1179</v>
      </c>
      <c r="F8" s="244" t="s">
        <v>910</v>
      </c>
      <c r="G8" s="243" t="s">
        <v>1180</v>
      </c>
      <c r="H8" s="243">
        <v>1350000</v>
      </c>
      <c r="I8" s="15">
        <v>3</v>
      </c>
    </row>
    <row r="9" spans="1:9" ht="18">
      <c r="A9" s="242"/>
      <c r="B9" s="242"/>
      <c r="C9" s="242"/>
      <c r="D9" s="242"/>
      <c r="E9" s="243" t="s">
        <v>1181</v>
      </c>
      <c r="F9" s="244" t="s">
        <v>1182</v>
      </c>
      <c r="G9" s="243" t="s">
        <v>1183</v>
      </c>
      <c r="H9" s="243">
        <v>1350000</v>
      </c>
      <c r="I9" s="15">
        <v>3</v>
      </c>
    </row>
    <row r="10" spans="1:9" ht="18">
      <c r="A10" s="242"/>
      <c r="B10" s="242"/>
      <c r="C10" s="242"/>
      <c r="D10" s="242"/>
      <c r="E10" s="243" t="s">
        <v>1184</v>
      </c>
      <c r="F10" s="244" t="s">
        <v>1185</v>
      </c>
      <c r="G10" s="243" t="s">
        <v>1186</v>
      </c>
      <c r="H10" s="243">
        <v>1350000</v>
      </c>
      <c r="I10" s="15">
        <v>3</v>
      </c>
    </row>
    <row r="11" spans="1:9" ht="18">
      <c r="A11" s="242"/>
      <c r="B11" s="242"/>
      <c r="C11" s="242"/>
      <c r="D11" s="242"/>
      <c r="E11" s="243" t="s">
        <v>1187</v>
      </c>
      <c r="F11" s="244" t="s">
        <v>1188</v>
      </c>
      <c r="G11" s="243" t="s">
        <v>1189</v>
      </c>
      <c r="H11" s="243">
        <v>1350000</v>
      </c>
      <c r="I11" s="15">
        <v>3</v>
      </c>
    </row>
    <row r="12" spans="1:9" ht="18">
      <c r="A12" s="242"/>
      <c r="B12" s="242"/>
      <c r="C12" s="242"/>
      <c r="D12" s="242"/>
      <c r="E12" s="243" t="s">
        <v>1190</v>
      </c>
      <c r="F12" s="244" t="s">
        <v>1191</v>
      </c>
      <c r="G12" s="243" t="s">
        <v>1192</v>
      </c>
      <c r="H12" s="243">
        <v>1350000</v>
      </c>
      <c r="I12" s="15">
        <v>3</v>
      </c>
    </row>
    <row r="13" spans="1:9" ht="18">
      <c r="A13" s="242"/>
      <c r="B13" s="242"/>
      <c r="C13" s="242"/>
      <c r="D13" s="242"/>
      <c r="E13" s="243" t="s">
        <v>1193</v>
      </c>
      <c r="F13" s="244" t="s">
        <v>1194</v>
      </c>
      <c r="G13" s="243" t="s">
        <v>988</v>
      </c>
      <c r="H13" s="243">
        <v>1350000</v>
      </c>
      <c r="I13" s="15">
        <v>3</v>
      </c>
    </row>
    <row r="14" spans="1:9" ht="18">
      <c r="A14" s="242"/>
      <c r="B14" s="242"/>
      <c r="C14" s="242"/>
      <c r="D14" s="242"/>
      <c r="E14" s="243" t="s">
        <v>1195</v>
      </c>
      <c r="F14" s="244" t="s">
        <v>1196</v>
      </c>
      <c r="G14" s="243" t="s">
        <v>1197</v>
      </c>
      <c r="H14" s="243">
        <v>900000</v>
      </c>
      <c r="I14" s="15">
        <v>2</v>
      </c>
    </row>
    <row r="15" spans="1:9" ht="18">
      <c r="A15" s="242"/>
      <c r="B15" s="242"/>
      <c r="C15" s="242"/>
      <c r="D15" s="242"/>
      <c r="E15" s="243" t="s">
        <v>1198</v>
      </c>
      <c r="F15" s="244" t="s">
        <v>1199</v>
      </c>
      <c r="G15" s="243" t="s">
        <v>987</v>
      </c>
      <c r="H15" s="243">
        <v>1350000</v>
      </c>
      <c r="I15" s="15">
        <v>3</v>
      </c>
    </row>
    <row r="16" spans="1:9" ht="18">
      <c r="A16" s="242"/>
      <c r="B16" s="242"/>
      <c r="C16" s="242"/>
      <c r="D16" s="242"/>
      <c r="E16" s="243"/>
      <c r="F16" s="244"/>
      <c r="G16" s="243"/>
      <c r="H16" s="243"/>
    </row>
    <row r="17" spans="1:8" ht="18">
      <c r="A17" s="242"/>
      <c r="B17" s="242"/>
      <c r="C17" s="242"/>
      <c r="D17" s="242"/>
      <c r="E17" s="243"/>
      <c r="F17" s="244"/>
      <c r="G17" s="243"/>
      <c r="H17" s="243"/>
    </row>
    <row r="18" spans="1:8" ht="18">
      <c r="A18" s="242"/>
      <c r="B18" s="242"/>
      <c r="C18" s="242"/>
      <c r="D18" s="242"/>
      <c r="E18" s="243"/>
      <c r="F18" s="244"/>
      <c r="G18" s="243"/>
      <c r="H18" s="243"/>
    </row>
    <row r="19" spans="1:8" ht="18">
      <c r="A19" s="242"/>
      <c r="B19" s="242"/>
      <c r="C19" s="242"/>
      <c r="D19" s="242"/>
      <c r="E19" s="243"/>
      <c r="F19" s="244"/>
      <c r="G19" s="243"/>
      <c r="H19" s="243"/>
    </row>
    <row r="20" spans="1:8" ht="18">
      <c r="A20" s="242"/>
      <c r="B20" s="242"/>
      <c r="C20" s="242"/>
      <c r="D20" s="242"/>
      <c r="E20" s="243"/>
      <c r="F20" s="244"/>
      <c r="G20" s="243"/>
      <c r="H20" s="243"/>
    </row>
    <row r="21" spans="1:8" ht="18">
      <c r="A21" s="242"/>
      <c r="B21" s="242"/>
      <c r="C21" s="242"/>
      <c r="D21" s="242"/>
      <c r="E21" s="243"/>
      <c r="F21" s="244"/>
      <c r="G21" s="243"/>
      <c r="H21" s="243"/>
    </row>
    <row r="22" spans="1:8" ht="18">
      <c r="A22" s="242"/>
      <c r="B22" s="242"/>
      <c r="C22" s="242"/>
      <c r="D22" s="242"/>
      <c r="E22" s="243"/>
      <c r="F22" s="242"/>
      <c r="G22" s="243"/>
      <c r="H22" s="243">
        <f>SUM(H6:H15)</f>
        <v>13050000</v>
      </c>
    </row>
    <row r="24" spans="1:8">
      <c r="A24" s="675" t="s">
        <v>1200</v>
      </c>
      <c r="B24" s="675"/>
      <c r="C24" s="675"/>
      <c r="D24" s="675"/>
      <c r="E24" s="675"/>
      <c r="F24" s="675"/>
      <c r="G24" s="675"/>
      <c r="H24" s="675"/>
    </row>
    <row r="25" spans="1:8">
      <c r="A25" s="651"/>
      <c r="B25" s="651"/>
      <c r="C25" s="651"/>
      <c r="D25" s="651"/>
      <c r="E25" s="651"/>
      <c r="F25" s="651"/>
      <c r="G25" s="651"/>
      <c r="H25" s="651"/>
    </row>
    <row r="26" spans="1:8">
      <c r="A26" s="676" t="s">
        <v>653</v>
      </c>
      <c r="B26" s="678" t="s">
        <v>654</v>
      </c>
      <c r="C26" s="676" t="s">
        <v>655</v>
      </c>
      <c r="D26" s="676" t="s">
        <v>12</v>
      </c>
      <c r="E26" s="678" t="s">
        <v>656</v>
      </c>
      <c r="F26" s="676" t="s">
        <v>657</v>
      </c>
      <c r="G26" s="678" t="s">
        <v>658</v>
      </c>
      <c r="H26" s="161" t="s">
        <v>659</v>
      </c>
    </row>
    <row r="27" spans="1:8">
      <c r="A27" s="677"/>
      <c r="B27" s="677"/>
      <c r="C27" s="677"/>
      <c r="D27" s="677"/>
      <c r="E27" s="679"/>
      <c r="F27" s="677"/>
      <c r="G27" s="677"/>
      <c r="H27" s="163" t="s">
        <v>660</v>
      </c>
    </row>
    <row r="28" spans="1:8" ht="18">
      <c r="A28" s="18">
        <v>1</v>
      </c>
      <c r="B28" s="18" t="s">
        <v>130</v>
      </c>
      <c r="C28" s="242" t="s">
        <v>1201</v>
      </c>
      <c r="D28" s="18" t="s">
        <v>143</v>
      </c>
      <c r="E28" s="21" t="s">
        <v>1202</v>
      </c>
      <c r="F28" s="164" t="s">
        <v>1203</v>
      </c>
      <c r="G28" s="21" t="s">
        <v>1204</v>
      </c>
      <c r="H28" s="21">
        <v>500000</v>
      </c>
    </row>
    <row r="29" spans="1:8">
      <c r="A29" s="18"/>
      <c r="B29" s="18"/>
      <c r="C29" s="18"/>
      <c r="D29" s="18"/>
      <c r="E29" s="21" t="s">
        <v>1205</v>
      </c>
      <c r="F29" s="164" t="s">
        <v>1203</v>
      </c>
      <c r="G29" s="21" t="s">
        <v>1204</v>
      </c>
      <c r="H29" s="21">
        <v>500000</v>
      </c>
    </row>
    <row r="30" spans="1:8">
      <c r="A30" s="18"/>
      <c r="B30" s="18"/>
      <c r="C30" s="18"/>
      <c r="D30" s="18"/>
      <c r="E30" s="21" t="s">
        <v>1206</v>
      </c>
      <c r="F30" s="164"/>
      <c r="G30" s="21" t="s">
        <v>1175</v>
      </c>
      <c r="H30" s="21">
        <v>-500000</v>
      </c>
    </row>
    <row r="31" spans="1:8">
      <c r="A31" s="18"/>
      <c r="B31" s="18"/>
      <c r="C31" s="18"/>
      <c r="D31" s="18"/>
      <c r="E31" s="21"/>
      <c r="F31" s="164"/>
      <c r="G31" s="21"/>
      <c r="H31" s="21"/>
    </row>
    <row r="32" spans="1:8">
      <c r="A32" s="18"/>
      <c r="B32" s="18"/>
      <c r="C32" s="18"/>
      <c r="D32" s="18"/>
      <c r="E32" s="21"/>
      <c r="F32" s="164"/>
      <c r="G32" s="21"/>
      <c r="H32" s="21"/>
    </row>
    <row r="33" spans="1:8">
      <c r="A33" s="18"/>
      <c r="B33" s="18"/>
      <c r="C33" s="18"/>
      <c r="D33" s="18"/>
      <c r="E33" s="21"/>
      <c r="F33" s="164"/>
      <c r="G33" s="21"/>
      <c r="H33" s="21"/>
    </row>
    <row r="34" spans="1:8">
      <c r="A34" s="18"/>
      <c r="B34" s="18"/>
      <c r="C34" s="18"/>
      <c r="D34" s="18"/>
      <c r="E34" s="21"/>
      <c r="F34" s="18"/>
      <c r="G34" s="21"/>
      <c r="H34" s="21"/>
    </row>
    <row r="35" spans="1:8">
      <c r="A35" s="18"/>
      <c r="B35" s="18"/>
      <c r="C35" s="18"/>
      <c r="D35" s="18"/>
      <c r="E35" s="21"/>
      <c r="F35" s="18"/>
      <c r="G35" s="21"/>
      <c r="H35" s="21"/>
    </row>
    <row r="36" spans="1:8">
      <c r="A36" s="18"/>
      <c r="B36" s="18"/>
      <c r="C36" s="18"/>
      <c r="D36" s="18"/>
      <c r="E36" s="21"/>
      <c r="F36" s="18"/>
      <c r="G36" s="21"/>
      <c r="H36" s="21"/>
    </row>
    <row r="37" spans="1:8">
      <c r="A37" s="18"/>
      <c r="B37" s="18"/>
      <c r="C37" s="18"/>
      <c r="D37" s="18"/>
      <c r="E37" s="21"/>
      <c r="F37" s="18"/>
      <c r="G37" s="21"/>
      <c r="H37" s="21">
        <f>SUM(H28:H36)</f>
        <v>500000</v>
      </c>
    </row>
    <row r="39" spans="1:8" ht="21.75">
      <c r="C39" s="143" t="s">
        <v>1207</v>
      </c>
    </row>
    <row r="40" spans="1:8" ht="21.75">
      <c r="C40" s="143" t="s">
        <v>1208</v>
      </c>
    </row>
  </sheetData>
  <mergeCells count="16">
    <mergeCell ref="A24:H25"/>
    <mergeCell ref="A26:A27"/>
    <mergeCell ref="B26:B27"/>
    <mergeCell ref="C26:C27"/>
    <mergeCell ref="D26:D27"/>
    <mergeCell ref="E26:E27"/>
    <mergeCell ref="F26:F27"/>
    <mergeCell ref="G26:G27"/>
    <mergeCell ref="A2:H3"/>
    <mergeCell ref="A4:A5"/>
    <mergeCell ref="B4:B5"/>
    <mergeCell ref="C4:C5"/>
    <mergeCell ref="D4:D5"/>
    <mergeCell ref="E4:E5"/>
    <mergeCell ref="F4:F5"/>
    <mergeCell ref="G4:G5"/>
  </mergeCells>
  <hyperlinks>
    <hyperlink ref="A1" location="Name!A1" display="Name!A1" xr:uid="{CDF0CF0D-D27C-4575-A99F-F9C921111F09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EF2A-21D0-4456-B8E8-A65EF6356E4A}">
  <dimension ref="A1:J65"/>
  <sheetViews>
    <sheetView topLeftCell="A40" workbookViewId="0">
      <selection activeCell="A55" sqref="A55"/>
    </sheetView>
  </sheetViews>
  <sheetFormatPr defaultColWidth="9.140625" defaultRowHeight="15"/>
  <cols>
    <col min="1" max="1" width="9.140625" style="15"/>
    <col min="2" max="2" width="15.7109375" style="15" customWidth="1"/>
    <col min="3" max="4" width="9.140625" style="15"/>
    <col min="5" max="5" width="20.42578125" style="15" customWidth="1"/>
    <col min="6" max="6" width="9.140625" style="15"/>
    <col min="7" max="7" width="13.140625" style="15" customWidth="1"/>
    <col min="8" max="8" width="12.42578125" style="15" customWidth="1"/>
    <col min="9" max="16384" width="9.140625" style="15"/>
  </cols>
  <sheetData>
    <row r="1" spans="1:9">
      <c r="A1" s="411" t="s">
        <v>648</v>
      </c>
    </row>
    <row r="2" spans="1:9" ht="18.75">
      <c r="A2" s="651" t="s">
        <v>1209</v>
      </c>
      <c r="B2" s="651"/>
      <c r="C2" s="651"/>
      <c r="D2" s="651"/>
      <c r="E2" s="651"/>
      <c r="F2" s="651"/>
      <c r="G2" s="651"/>
      <c r="H2" s="651"/>
      <c r="I2" s="651"/>
    </row>
    <row r="3" spans="1:9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9" ht="20.100000000000001" customHeight="1">
      <c r="A4" s="18">
        <v>1</v>
      </c>
      <c r="B4" s="18" t="s">
        <v>1210</v>
      </c>
      <c r="C4" s="18"/>
      <c r="D4" s="18" t="s">
        <v>1211</v>
      </c>
      <c r="E4" s="18" t="s">
        <v>1212</v>
      </c>
      <c r="F4" s="20" t="s">
        <v>1213</v>
      </c>
      <c r="G4" s="18" t="s">
        <v>1214</v>
      </c>
      <c r="H4" s="21">
        <v>450000</v>
      </c>
      <c r="I4" s="21"/>
    </row>
    <row r="5" spans="1:9" ht="20.100000000000001" customHeight="1">
      <c r="A5" s="18"/>
      <c r="B5" s="18"/>
      <c r="C5" s="18"/>
      <c r="D5" s="18"/>
      <c r="E5" s="18"/>
      <c r="F5" s="21"/>
      <c r="G5" s="18"/>
      <c r="H5" s="21"/>
      <c r="I5" s="21"/>
    </row>
    <row r="6" spans="1:9" ht="20.100000000000001" customHeight="1">
      <c r="A6" s="18"/>
      <c r="B6" s="18"/>
      <c r="C6" s="18"/>
      <c r="D6" s="18"/>
      <c r="E6" s="18"/>
      <c r="F6" s="21"/>
      <c r="G6" s="18"/>
      <c r="H6" s="21"/>
      <c r="I6" s="21"/>
    </row>
    <row r="7" spans="1:9" ht="20.100000000000001" customHeight="1">
      <c r="A7" s="18"/>
      <c r="B7" s="18"/>
      <c r="C7" s="18"/>
      <c r="D7" s="18"/>
      <c r="E7" s="18"/>
      <c r="F7" s="21"/>
      <c r="G7" s="18"/>
      <c r="H7" s="21"/>
      <c r="I7" s="21"/>
    </row>
    <row r="8" spans="1:9" ht="20.100000000000001" customHeight="1">
      <c r="A8" s="18"/>
      <c r="B8" s="18"/>
      <c r="C8" s="18"/>
      <c r="D8" s="18"/>
      <c r="E8" s="18"/>
      <c r="F8" s="21"/>
      <c r="G8" s="18"/>
      <c r="H8" s="21"/>
      <c r="I8" s="21"/>
    </row>
    <row r="11" spans="1:9" customFormat="1"/>
    <row r="12" spans="1:9" customFormat="1" ht="18.75">
      <c r="A12" s="651" t="s">
        <v>1215</v>
      </c>
      <c r="B12" s="651"/>
      <c r="C12" s="651"/>
      <c r="D12" s="651"/>
      <c r="E12" s="651"/>
      <c r="F12" s="651"/>
      <c r="G12" s="651"/>
      <c r="H12" s="651"/>
      <c r="I12" s="651"/>
    </row>
    <row r="13" spans="1:9" customFormat="1" ht="28.5">
      <c r="A13" s="16" t="s">
        <v>11</v>
      </c>
      <c r="B13" s="17" t="s">
        <v>697</v>
      </c>
      <c r="C13" s="17" t="s">
        <v>698</v>
      </c>
      <c r="D13" s="17" t="s">
        <v>12</v>
      </c>
      <c r="E13" s="16" t="s">
        <v>699</v>
      </c>
      <c r="F13" s="16" t="s">
        <v>657</v>
      </c>
      <c r="G13" s="17" t="s">
        <v>700</v>
      </c>
      <c r="H13" s="16" t="s">
        <v>660</v>
      </c>
      <c r="I13" s="16" t="s">
        <v>27</v>
      </c>
    </row>
    <row r="14" spans="1:9" customFormat="1">
      <c r="A14" s="413">
        <v>1</v>
      </c>
      <c r="B14" s="414" t="s">
        <v>1216</v>
      </c>
      <c r="C14" s="414"/>
      <c r="D14" s="414" t="s">
        <v>1211</v>
      </c>
      <c r="E14" s="414" t="s">
        <v>1217</v>
      </c>
      <c r="F14" s="415" t="s">
        <v>1218</v>
      </c>
      <c r="G14" s="414" t="s">
        <v>1219</v>
      </c>
      <c r="H14" s="416">
        <v>3000000</v>
      </c>
      <c r="I14" s="417"/>
    </row>
    <row r="15" spans="1:9" customFormat="1">
      <c r="A15" s="418"/>
      <c r="B15" s="383"/>
      <c r="C15" s="383"/>
      <c r="D15" s="383"/>
      <c r="E15" s="383"/>
      <c r="F15" s="385"/>
      <c r="G15" s="383"/>
      <c r="H15" s="386"/>
      <c r="I15" s="419"/>
    </row>
    <row r="16" spans="1:9" customFormat="1">
      <c r="A16" s="418"/>
      <c r="B16" s="383"/>
      <c r="C16" s="383"/>
      <c r="D16" s="383"/>
      <c r="E16" s="383"/>
      <c r="F16" s="385"/>
      <c r="G16" s="383"/>
      <c r="H16" s="386"/>
      <c r="I16" s="419"/>
    </row>
    <row r="17" spans="1:10" customFormat="1">
      <c r="A17" s="418"/>
      <c r="B17" s="383"/>
      <c r="C17" s="383"/>
      <c r="D17" s="383"/>
      <c r="E17" s="384" t="s">
        <v>703</v>
      </c>
      <c r="F17" s="385" t="s">
        <v>1220</v>
      </c>
      <c r="G17" s="383" t="s">
        <v>1221</v>
      </c>
      <c r="H17" s="386">
        <v>1000000</v>
      </c>
      <c r="I17" s="419"/>
      <c r="J17" t="s">
        <v>1222</v>
      </c>
    </row>
    <row r="18" spans="1:10" customFormat="1">
      <c r="A18" s="418"/>
      <c r="B18" s="383"/>
      <c r="C18" s="383"/>
      <c r="D18" s="383"/>
      <c r="E18" s="384" t="s">
        <v>1223</v>
      </c>
      <c r="F18" s="385" t="s">
        <v>1220</v>
      </c>
      <c r="G18" s="383" t="s">
        <v>1221</v>
      </c>
      <c r="H18" s="386">
        <v>2000000</v>
      </c>
      <c r="I18" s="419"/>
    </row>
    <row r="19" spans="1:10" customFormat="1">
      <c r="A19" s="418"/>
      <c r="B19" s="383"/>
      <c r="C19" s="383"/>
      <c r="D19" s="383"/>
      <c r="E19" s="383"/>
      <c r="F19" s="385"/>
      <c r="G19" s="383"/>
      <c r="H19" s="386"/>
      <c r="I19" s="419"/>
    </row>
    <row r="20" spans="1:10" customFormat="1">
      <c r="A20" s="418"/>
      <c r="B20" s="383"/>
      <c r="C20" s="383"/>
      <c r="D20" s="383"/>
      <c r="E20" s="383"/>
      <c r="F20" s="386"/>
      <c r="G20" s="383"/>
      <c r="H20" s="386"/>
      <c r="I20" s="419"/>
    </row>
    <row r="21" spans="1:10" customFormat="1">
      <c r="A21" s="420"/>
      <c r="B21" s="421"/>
      <c r="C21" s="421"/>
      <c r="D21" s="421"/>
      <c r="E21" s="421"/>
      <c r="F21" s="422"/>
      <c r="G21" s="421"/>
      <c r="H21" s="422">
        <f>SUM(H14:H20)</f>
        <v>6000000</v>
      </c>
      <c r="I21" s="423"/>
    </row>
    <row r="22" spans="1:10" customFormat="1"/>
    <row r="24" spans="1:10" ht="18.75">
      <c r="A24" s="651" t="s">
        <v>1224</v>
      </c>
      <c r="B24" s="651"/>
      <c r="C24" s="651"/>
      <c r="D24" s="651"/>
      <c r="E24" s="651"/>
      <c r="F24" s="651"/>
      <c r="G24" s="651"/>
      <c r="H24" s="651"/>
      <c r="I24" s="651"/>
    </row>
    <row r="25" spans="1:10" ht="28.5">
      <c r="A25" s="16" t="s">
        <v>11</v>
      </c>
      <c r="B25" s="17" t="s">
        <v>697</v>
      </c>
      <c r="C25" s="17" t="s">
        <v>698</v>
      </c>
      <c r="D25" s="17" t="s">
        <v>12</v>
      </c>
      <c r="E25" s="16" t="s">
        <v>699</v>
      </c>
      <c r="F25" s="16" t="s">
        <v>657</v>
      </c>
      <c r="G25" s="17" t="s">
        <v>700</v>
      </c>
      <c r="H25" s="16" t="s">
        <v>660</v>
      </c>
      <c r="I25" s="16" t="s">
        <v>27</v>
      </c>
    </row>
    <row r="26" spans="1:10">
      <c r="A26" s="413">
        <v>1</v>
      </c>
      <c r="B26" s="414" t="s">
        <v>1216</v>
      </c>
      <c r="C26" s="414"/>
      <c r="D26" s="414" t="s">
        <v>1211</v>
      </c>
      <c r="E26" s="414" t="s">
        <v>1225</v>
      </c>
      <c r="F26" s="415" t="s">
        <v>1226</v>
      </c>
      <c r="G26" s="414" t="s">
        <v>1227</v>
      </c>
      <c r="H26" s="416">
        <v>570000</v>
      </c>
      <c r="I26" s="417"/>
    </row>
    <row r="27" spans="1:10">
      <c r="A27" s="418"/>
      <c r="B27" s="383"/>
      <c r="C27" s="383"/>
      <c r="D27" s="383"/>
      <c r="E27" s="383"/>
      <c r="F27" s="385"/>
      <c r="G27" s="383"/>
      <c r="H27" s="386"/>
      <c r="I27" s="419"/>
    </row>
    <row r="28" spans="1:10">
      <c r="A28" s="420"/>
      <c r="B28" s="421"/>
      <c r="C28" s="421"/>
      <c r="D28" s="421"/>
      <c r="E28" s="421"/>
      <c r="F28" s="422"/>
      <c r="G28" s="421"/>
      <c r="H28" s="422"/>
      <c r="I28" s="423"/>
    </row>
    <row r="30" spans="1:10" ht="18.75">
      <c r="A30" s="651" t="s">
        <v>1228</v>
      </c>
      <c r="B30" s="651"/>
      <c r="C30" s="651"/>
      <c r="D30" s="651"/>
      <c r="E30" s="651"/>
      <c r="F30" s="651"/>
      <c r="G30" s="651"/>
      <c r="H30" s="651"/>
      <c r="I30" s="651"/>
    </row>
    <row r="31" spans="1:10" ht="28.5">
      <c r="A31" s="16" t="s">
        <v>11</v>
      </c>
      <c r="B31" s="17" t="s">
        <v>697</v>
      </c>
      <c r="C31" s="17" t="s">
        <v>698</v>
      </c>
      <c r="D31" s="17" t="s">
        <v>12</v>
      </c>
      <c r="E31" s="16" t="s">
        <v>699</v>
      </c>
      <c r="F31" s="16" t="s">
        <v>657</v>
      </c>
      <c r="G31" s="17" t="s">
        <v>700</v>
      </c>
      <c r="H31" s="16" t="s">
        <v>660</v>
      </c>
      <c r="I31" s="16" t="s">
        <v>27</v>
      </c>
    </row>
    <row r="32" spans="1:10">
      <c r="A32" s="413">
        <v>1</v>
      </c>
      <c r="B32" s="414" t="s">
        <v>1216</v>
      </c>
      <c r="C32" s="414"/>
      <c r="D32" s="414" t="s">
        <v>1211</v>
      </c>
      <c r="E32" s="414" t="s">
        <v>1229</v>
      </c>
      <c r="F32" s="415" t="s">
        <v>1230</v>
      </c>
      <c r="G32" s="414" t="s">
        <v>1231</v>
      </c>
      <c r="H32" s="416">
        <v>100000</v>
      </c>
      <c r="I32" s="417"/>
    </row>
    <row r="33" spans="1:9">
      <c r="A33" s="418"/>
      <c r="B33" s="383"/>
      <c r="C33" s="383"/>
      <c r="D33" s="383"/>
      <c r="E33" s="383"/>
      <c r="F33" s="385" t="s">
        <v>1232</v>
      </c>
      <c r="G33" s="383" t="s">
        <v>1233</v>
      </c>
      <c r="H33" s="416">
        <v>100000</v>
      </c>
      <c r="I33" s="419"/>
    </row>
    <row r="34" spans="1:9">
      <c r="A34" s="418"/>
      <c r="B34" s="383"/>
      <c r="C34" s="383"/>
      <c r="D34" s="383"/>
      <c r="E34" s="383"/>
      <c r="F34" s="385"/>
      <c r="G34" s="383"/>
      <c r="H34" s="386"/>
      <c r="I34" s="419"/>
    </row>
    <row r="35" spans="1:9">
      <c r="A35" s="418"/>
      <c r="B35" s="383"/>
      <c r="C35" s="383"/>
      <c r="D35" s="383"/>
      <c r="E35" s="384"/>
      <c r="F35" s="385"/>
      <c r="G35" s="383"/>
      <c r="H35" s="386"/>
      <c r="I35" s="419"/>
    </row>
    <row r="36" spans="1:9">
      <c r="A36" s="418"/>
      <c r="B36" s="383"/>
      <c r="C36" s="383"/>
      <c r="D36" s="383"/>
      <c r="E36" s="384"/>
      <c r="F36" s="385"/>
      <c r="G36" s="383"/>
      <c r="H36" s="386"/>
      <c r="I36" s="419"/>
    </row>
    <row r="37" spans="1:9">
      <c r="A37" s="418"/>
      <c r="B37" s="383"/>
      <c r="C37" s="383"/>
      <c r="D37" s="383"/>
      <c r="E37" s="383"/>
      <c r="F37" s="385"/>
      <c r="G37" s="383"/>
      <c r="H37" s="386"/>
      <c r="I37" s="419"/>
    </row>
    <row r="38" spans="1:9">
      <c r="A38" s="418"/>
      <c r="B38" s="383"/>
      <c r="C38" s="383"/>
      <c r="D38" s="383"/>
      <c r="E38" s="383"/>
      <c r="F38" s="386"/>
      <c r="G38" s="383"/>
      <c r="H38" s="386"/>
      <c r="I38" s="419"/>
    </row>
    <row r="39" spans="1:9">
      <c r="A39" s="420"/>
      <c r="B39" s="421"/>
      <c r="C39" s="421"/>
      <c r="D39" s="421"/>
      <c r="E39" s="421"/>
      <c r="F39" s="422"/>
      <c r="G39" s="421"/>
      <c r="H39" s="422"/>
      <c r="I39" s="423"/>
    </row>
    <row r="44" spans="1:9" ht="18.75">
      <c r="A44" s="651" t="s">
        <v>1234</v>
      </c>
      <c r="B44" s="651"/>
      <c r="C44" s="651"/>
      <c r="D44" s="651"/>
      <c r="E44" s="651"/>
      <c r="F44" s="651"/>
      <c r="G44" s="651"/>
      <c r="H44" s="651"/>
      <c r="I44" s="651"/>
    </row>
    <row r="45" spans="1:9" ht="28.5">
      <c r="A45" s="16" t="s">
        <v>11</v>
      </c>
      <c r="B45" s="17" t="s">
        <v>697</v>
      </c>
      <c r="C45" s="17" t="s">
        <v>698</v>
      </c>
      <c r="D45" s="17" t="s">
        <v>12</v>
      </c>
      <c r="E45" s="16" t="s">
        <v>699</v>
      </c>
      <c r="F45" s="16" t="s">
        <v>657</v>
      </c>
      <c r="G45" s="17" t="s">
        <v>700</v>
      </c>
      <c r="H45" s="16" t="s">
        <v>660</v>
      </c>
      <c r="I45" s="16" t="s">
        <v>27</v>
      </c>
    </row>
    <row r="46" spans="1:9">
      <c r="A46" s="413">
        <v>1</v>
      </c>
      <c r="B46" s="414" t="s">
        <v>1216</v>
      </c>
      <c r="C46" s="414"/>
      <c r="D46" s="414" t="s">
        <v>1211</v>
      </c>
      <c r="E46" s="414" t="s">
        <v>1235</v>
      </c>
      <c r="F46" s="415" t="s">
        <v>1236</v>
      </c>
      <c r="G46" s="414" t="s">
        <v>1237</v>
      </c>
      <c r="H46" s="416">
        <v>400000</v>
      </c>
      <c r="I46" s="417"/>
    </row>
    <row r="47" spans="1:9">
      <c r="A47" s="418"/>
      <c r="B47" s="383"/>
      <c r="C47" s="383"/>
      <c r="D47" s="383"/>
      <c r="E47" s="383"/>
      <c r="F47" s="385"/>
      <c r="G47" s="383"/>
      <c r="H47" s="416"/>
      <c r="I47" s="419"/>
    </row>
    <row r="48" spans="1:9">
      <c r="A48" s="418"/>
      <c r="B48" s="383"/>
      <c r="C48" s="383"/>
      <c r="D48" s="383"/>
      <c r="E48" s="383"/>
      <c r="F48" s="385"/>
      <c r="G48" s="383"/>
      <c r="H48" s="386"/>
      <c r="I48" s="419"/>
    </row>
    <row r="49" spans="1:9">
      <c r="A49" s="418"/>
      <c r="B49" s="383"/>
      <c r="C49" s="383"/>
      <c r="D49" s="383"/>
      <c r="E49" s="384"/>
      <c r="F49" s="385"/>
      <c r="G49" s="383"/>
      <c r="H49" s="386"/>
      <c r="I49" s="419"/>
    </row>
    <row r="50" spans="1:9">
      <c r="A50" s="418"/>
      <c r="B50" s="383"/>
      <c r="C50" s="383"/>
      <c r="D50" s="383"/>
      <c r="E50" s="384"/>
      <c r="F50" s="385"/>
      <c r="G50" s="383"/>
      <c r="H50" s="386"/>
      <c r="I50" s="419"/>
    </row>
    <row r="51" spans="1:9">
      <c r="A51" s="418"/>
      <c r="B51" s="383"/>
      <c r="C51" s="383"/>
      <c r="D51" s="383"/>
      <c r="E51" s="383"/>
      <c r="F51" s="385"/>
      <c r="G51" s="383"/>
      <c r="H51" s="386"/>
      <c r="I51" s="419"/>
    </row>
    <row r="52" spans="1:9">
      <c r="A52" s="418"/>
      <c r="B52" s="383"/>
      <c r="C52" s="383"/>
      <c r="D52" s="383"/>
      <c r="E52" s="383"/>
      <c r="F52" s="386"/>
      <c r="G52" s="383"/>
      <c r="H52" s="386"/>
      <c r="I52" s="419"/>
    </row>
    <row r="53" spans="1:9">
      <c r="A53" s="420"/>
      <c r="B53" s="421"/>
      <c r="C53" s="421"/>
      <c r="D53" s="421"/>
      <c r="E53" s="421"/>
      <c r="F53" s="422"/>
      <c r="G53" s="421"/>
      <c r="H53" s="422">
        <f>SUM(H46:H52)</f>
        <v>400000</v>
      </c>
      <c r="I53" s="423"/>
    </row>
    <row r="55" spans="1:9">
      <c r="A55" s="411" t="s">
        <v>648</v>
      </c>
    </row>
    <row r="56" spans="1:9" ht="18.75">
      <c r="A56" s="651" t="s">
        <v>1238</v>
      </c>
      <c r="B56" s="651"/>
      <c r="C56" s="651"/>
      <c r="D56" s="651"/>
      <c r="E56" s="651"/>
      <c r="F56" s="651"/>
      <c r="G56" s="651"/>
      <c r="H56" s="651"/>
      <c r="I56" s="651"/>
    </row>
    <row r="57" spans="1:9" ht="28.5">
      <c r="A57" s="16" t="s">
        <v>11</v>
      </c>
      <c r="B57" s="17" t="s">
        <v>697</v>
      </c>
      <c r="C57" s="17" t="s">
        <v>698</v>
      </c>
      <c r="D57" s="17" t="s">
        <v>12</v>
      </c>
      <c r="E57" s="16" t="s">
        <v>699</v>
      </c>
      <c r="F57" s="16" t="s">
        <v>657</v>
      </c>
      <c r="G57" s="17" t="s">
        <v>700</v>
      </c>
      <c r="H57" s="16" t="s">
        <v>660</v>
      </c>
      <c r="I57" s="16" t="s">
        <v>27</v>
      </c>
    </row>
    <row r="58" spans="1:9">
      <c r="A58" s="413">
        <v>1</v>
      </c>
      <c r="B58" s="414" t="s">
        <v>1216</v>
      </c>
      <c r="C58" s="414"/>
      <c r="D58" s="414" t="s">
        <v>1211</v>
      </c>
      <c r="E58" s="414" t="s">
        <v>661</v>
      </c>
      <c r="F58" s="415" t="s">
        <v>1061</v>
      </c>
      <c r="G58" s="414" t="s">
        <v>1239</v>
      </c>
      <c r="H58" s="416">
        <v>300000</v>
      </c>
      <c r="I58" s="417"/>
    </row>
    <row r="59" spans="1:9">
      <c r="A59" s="418"/>
      <c r="B59" s="383"/>
      <c r="C59" s="383"/>
      <c r="D59" s="383"/>
      <c r="E59" s="383"/>
      <c r="F59" s="385"/>
      <c r="G59" s="383"/>
      <c r="H59" s="416"/>
      <c r="I59" s="419"/>
    </row>
    <row r="60" spans="1:9">
      <c r="A60" s="418"/>
      <c r="B60" s="383"/>
      <c r="C60" s="383"/>
      <c r="D60" s="383"/>
      <c r="E60" s="383"/>
      <c r="F60" s="385"/>
      <c r="G60" s="383"/>
      <c r="H60" s="386"/>
      <c r="I60" s="419"/>
    </row>
    <row r="61" spans="1:9">
      <c r="A61" s="418"/>
      <c r="B61" s="383"/>
      <c r="C61" s="383"/>
      <c r="D61" s="383"/>
      <c r="E61" s="384"/>
      <c r="F61" s="385"/>
      <c r="G61" s="383"/>
      <c r="H61" s="386"/>
      <c r="I61" s="419"/>
    </row>
    <row r="62" spans="1:9">
      <c r="A62" s="418"/>
      <c r="B62" s="383"/>
      <c r="C62" s="383"/>
      <c r="D62" s="383"/>
      <c r="E62" s="384"/>
      <c r="F62" s="385"/>
      <c r="G62" s="383"/>
      <c r="H62" s="386"/>
      <c r="I62" s="419"/>
    </row>
    <row r="63" spans="1:9">
      <c r="A63" s="418"/>
      <c r="B63" s="383"/>
      <c r="C63" s="383"/>
      <c r="D63" s="383"/>
      <c r="E63" s="383"/>
      <c r="F63" s="385"/>
      <c r="G63" s="383"/>
      <c r="H63" s="386"/>
      <c r="I63" s="419"/>
    </row>
    <row r="64" spans="1:9">
      <c r="A64" s="418"/>
      <c r="B64" s="383"/>
      <c r="C64" s="383"/>
      <c r="D64" s="383"/>
      <c r="E64" s="383"/>
      <c r="F64" s="386"/>
      <c r="G64" s="383"/>
      <c r="H64" s="386"/>
      <c r="I64" s="419"/>
    </row>
    <row r="65" spans="1:9">
      <c r="A65" s="420"/>
      <c r="B65" s="421"/>
      <c r="C65" s="421"/>
      <c r="D65" s="421"/>
      <c r="E65" s="421"/>
      <c r="F65" s="422"/>
      <c r="G65" s="421"/>
      <c r="H65" s="422">
        <f>SUM(H58:H64)</f>
        <v>300000</v>
      </c>
      <c r="I65" s="423"/>
    </row>
  </sheetData>
  <mergeCells count="6">
    <mergeCell ref="A56:I56"/>
    <mergeCell ref="A2:I2"/>
    <mergeCell ref="A12:I12"/>
    <mergeCell ref="A24:I24"/>
    <mergeCell ref="A30:I30"/>
    <mergeCell ref="A44:I44"/>
  </mergeCells>
  <hyperlinks>
    <hyperlink ref="A1" location="Name!A1" display="Name!A1" xr:uid="{3B1C14B2-F76B-4566-B184-EC2D6E75ED5D}"/>
    <hyperlink ref="A55" location="Name!A1" display="Name!A1" xr:uid="{7C10CB42-A336-416B-903D-A5F87EA13677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6D75-BC0B-4FDF-A2CE-ED0D1845642C}">
  <dimension ref="A1:R36"/>
  <sheetViews>
    <sheetView workbookViewId="0"/>
  </sheetViews>
  <sheetFormatPr defaultColWidth="9.140625" defaultRowHeight="21.75"/>
  <cols>
    <col min="1" max="1" width="15.42578125" style="143" customWidth="1"/>
    <col min="2" max="2" width="4.85546875" style="143" customWidth="1"/>
    <col min="3" max="3" width="20.140625" style="143" customWidth="1"/>
    <col min="4" max="4" width="15.28515625" style="143" customWidth="1"/>
    <col min="5" max="5" width="24.85546875" style="143" customWidth="1"/>
    <col min="6" max="6" width="15" style="143" customWidth="1"/>
    <col min="7" max="7" width="18" style="143" customWidth="1"/>
    <col min="8" max="8" width="17.85546875" style="143" customWidth="1"/>
    <col min="9" max="9" width="30.28515625" style="143" customWidth="1"/>
    <col min="10" max="11" width="9.140625" style="143"/>
    <col min="12" max="12" width="4.85546875" style="143" customWidth="1"/>
    <col min="13" max="13" width="20.140625" style="143" customWidth="1"/>
    <col min="14" max="14" width="15.28515625" style="143" customWidth="1"/>
    <col min="15" max="15" width="19.5703125" style="143" customWidth="1"/>
    <col min="16" max="16" width="15" style="143" customWidth="1"/>
    <col min="17" max="17" width="10.28515625" style="143" bestFit="1" customWidth="1"/>
    <col min="18" max="18" width="22.140625" style="143" bestFit="1" customWidth="1"/>
    <col min="19" max="16384" width="9.140625" style="143"/>
  </cols>
  <sheetData>
    <row r="1" spans="1:18">
      <c r="A1" s="411" t="s">
        <v>648</v>
      </c>
    </row>
    <row r="2" spans="1:18" ht="26.25">
      <c r="B2" s="680" t="s">
        <v>1240</v>
      </c>
      <c r="C2" s="680"/>
      <c r="D2" s="680"/>
      <c r="E2" s="680"/>
      <c r="F2" s="680"/>
      <c r="G2" s="680"/>
      <c r="H2" s="680"/>
      <c r="I2" s="680"/>
      <c r="L2" s="680" t="s">
        <v>1240</v>
      </c>
      <c r="M2" s="680"/>
      <c r="N2" s="680"/>
      <c r="O2" s="680"/>
      <c r="P2" s="680"/>
      <c r="Q2" s="680"/>
      <c r="R2" s="680"/>
    </row>
    <row r="3" spans="1:18">
      <c r="B3" s="33" t="s">
        <v>11</v>
      </c>
      <c r="C3" s="33" t="s">
        <v>1241</v>
      </c>
      <c r="D3" s="33" t="s">
        <v>12</v>
      </c>
      <c r="E3" s="33" t="s">
        <v>699</v>
      </c>
      <c r="F3" s="33" t="s">
        <v>1242</v>
      </c>
      <c r="G3" s="33" t="s">
        <v>660</v>
      </c>
      <c r="H3" s="33" t="s">
        <v>1243</v>
      </c>
      <c r="I3" s="33" t="s">
        <v>27</v>
      </c>
      <c r="L3" s="33" t="s">
        <v>11</v>
      </c>
      <c r="M3" s="33" t="s">
        <v>1241</v>
      </c>
      <c r="N3" s="33" t="s">
        <v>12</v>
      </c>
      <c r="O3" s="33" t="s">
        <v>699</v>
      </c>
      <c r="P3" s="33" t="s">
        <v>1242</v>
      </c>
      <c r="Q3" s="33" t="s">
        <v>660</v>
      </c>
      <c r="R3" s="33" t="s">
        <v>27</v>
      </c>
    </row>
    <row r="4" spans="1:18">
      <c r="B4" s="7">
        <v>1</v>
      </c>
      <c r="C4" s="7" t="s">
        <v>1210</v>
      </c>
      <c r="D4" s="7" t="s">
        <v>1244</v>
      </c>
      <c r="E4" s="7" t="s">
        <v>1245</v>
      </c>
      <c r="F4" s="7" t="s">
        <v>1246</v>
      </c>
      <c r="G4" s="9">
        <v>1500000</v>
      </c>
      <c r="H4" s="9"/>
      <c r="I4" s="9"/>
      <c r="L4" s="7">
        <v>1</v>
      </c>
      <c r="M4" s="7" t="s">
        <v>1210</v>
      </c>
      <c r="N4" s="7" t="s">
        <v>1211</v>
      </c>
      <c r="O4" s="7" t="s">
        <v>1247</v>
      </c>
      <c r="P4" s="7"/>
      <c r="Q4" s="9"/>
      <c r="R4" s="9"/>
    </row>
    <row r="5" spans="1:18">
      <c r="B5" s="7">
        <v>2</v>
      </c>
      <c r="C5" s="7" t="s">
        <v>1210</v>
      </c>
      <c r="D5" s="7" t="s">
        <v>1244</v>
      </c>
      <c r="E5" s="7" t="s">
        <v>1248</v>
      </c>
      <c r="F5" s="7" t="s">
        <v>1246</v>
      </c>
      <c r="G5" s="9">
        <v>1500000</v>
      </c>
      <c r="H5" s="9"/>
      <c r="I5" s="9"/>
      <c r="L5" s="7">
        <v>2</v>
      </c>
      <c r="M5" s="7"/>
      <c r="N5" s="7" t="s">
        <v>1249</v>
      </c>
      <c r="O5" s="7"/>
      <c r="P5" s="7"/>
      <c r="Q5" s="9"/>
      <c r="R5" s="9"/>
    </row>
    <row r="6" spans="1:18">
      <c r="B6" s="7">
        <v>3</v>
      </c>
      <c r="C6" s="7" t="s">
        <v>1210</v>
      </c>
      <c r="D6" s="7" t="s">
        <v>1244</v>
      </c>
      <c r="E6" s="7" t="s">
        <v>1250</v>
      </c>
      <c r="F6" s="7" t="s">
        <v>1251</v>
      </c>
      <c r="G6" s="9">
        <v>1500000</v>
      </c>
      <c r="H6" s="9"/>
      <c r="I6" s="9" t="s">
        <v>1252</v>
      </c>
      <c r="L6" s="7">
        <v>3</v>
      </c>
      <c r="M6" s="7"/>
      <c r="N6" s="7"/>
      <c r="O6" s="7"/>
      <c r="P6" s="7"/>
      <c r="Q6" s="9"/>
      <c r="R6" s="9"/>
    </row>
    <row r="7" spans="1:18">
      <c r="B7" s="7">
        <v>4</v>
      </c>
      <c r="C7" s="7" t="s">
        <v>1210</v>
      </c>
      <c r="D7" s="7" t="s">
        <v>1244</v>
      </c>
      <c r="E7" s="7" t="s">
        <v>1253</v>
      </c>
      <c r="F7" s="7" t="s">
        <v>1251</v>
      </c>
      <c r="G7" s="9">
        <v>1500000</v>
      </c>
      <c r="H7" s="9"/>
      <c r="I7" s="9" t="s">
        <v>1252</v>
      </c>
      <c r="L7" s="7">
        <v>4</v>
      </c>
      <c r="M7" s="7"/>
      <c r="N7" s="7"/>
      <c r="O7" s="7"/>
      <c r="P7" s="7"/>
      <c r="Q7" s="9"/>
      <c r="R7" s="9"/>
    </row>
    <row r="8" spans="1:18">
      <c r="B8" s="7">
        <v>5</v>
      </c>
      <c r="C8" s="7" t="s">
        <v>1210</v>
      </c>
      <c r="D8" s="7" t="s">
        <v>1244</v>
      </c>
      <c r="E8" s="7" t="s">
        <v>1254</v>
      </c>
      <c r="F8" s="7" t="s">
        <v>1255</v>
      </c>
      <c r="G8" s="9">
        <v>1500000</v>
      </c>
      <c r="H8" s="9"/>
      <c r="I8" s="9" t="s">
        <v>1256</v>
      </c>
      <c r="L8" s="7">
        <v>5</v>
      </c>
      <c r="M8" s="7"/>
      <c r="N8" s="7"/>
      <c r="O8" s="7"/>
      <c r="P8" s="7"/>
      <c r="Q8" s="9"/>
      <c r="R8" s="9"/>
    </row>
    <row r="9" spans="1:18">
      <c r="B9" s="7">
        <v>6</v>
      </c>
      <c r="C9" s="7" t="s">
        <v>1210</v>
      </c>
      <c r="D9" s="7" t="s">
        <v>1244</v>
      </c>
      <c r="E9" s="7" t="s">
        <v>1257</v>
      </c>
      <c r="F9" s="7" t="s">
        <v>1255</v>
      </c>
      <c r="G9" s="9">
        <v>1500000</v>
      </c>
      <c r="H9" s="9"/>
      <c r="I9" s="9" t="s">
        <v>1256</v>
      </c>
      <c r="L9" s="7">
        <v>6</v>
      </c>
      <c r="M9" s="7"/>
      <c r="N9" s="7"/>
      <c r="O9" s="7"/>
      <c r="P9" s="7"/>
      <c r="Q9" s="9"/>
      <c r="R9" s="9"/>
    </row>
    <row r="10" spans="1:18">
      <c r="B10" s="7">
        <v>7</v>
      </c>
      <c r="C10" s="7" t="s">
        <v>1210</v>
      </c>
      <c r="D10" s="7" t="s">
        <v>1244</v>
      </c>
      <c r="E10" s="7" t="s">
        <v>1258</v>
      </c>
      <c r="F10" s="7" t="s">
        <v>1255</v>
      </c>
      <c r="G10" s="9">
        <v>1500000</v>
      </c>
      <c r="H10" s="9"/>
      <c r="I10" s="9" t="s">
        <v>1256</v>
      </c>
      <c r="L10" s="7">
        <v>7</v>
      </c>
      <c r="M10" s="7"/>
      <c r="N10" s="7"/>
      <c r="O10" s="7"/>
      <c r="P10" s="7"/>
      <c r="Q10" s="9"/>
      <c r="R10" s="9"/>
    </row>
    <row r="11" spans="1:18">
      <c r="B11" s="7">
        <v>8</v>
      </c>
      <c r="C11" s="7" t="s">
        <v>1210</v>
      </c>
      <c r="D11" s="7" t="s">
        <v>1244</v>
      </c>
      <c r="E11" s="7" t="s">
        <v>1259</v>
      </c>
      <c r="F11" s="7" t="s">
        <v>1260</v>
      </c>
      <c r="G11" s="9">
        <v>1500000</v>
      </c>
      <c r="H11" s="9"/>
      <c r="I11" s="9" t="s">
        <v>1256</v>
      </c>
      <c r="L11" s="7">
        <v>8</v>
      </c>
      <c r="M11" s="7"/>
      <c r="N11" s="7"/>
      <c r="O11" s="7"/>
      <c r="P11" s="7"/>
      <c r="Q11" s="9"/>
      <c r="R11" s="9"/>
    </row>
    <row r="12" spans="1:18">
      <c r="B12" s="7">
        <v>9</v>
      </c>
      <c r="C12" s="7" t="s">
        <v>1210</v>
      </c>
      <c r="D12" s="7" t="s">
        <v>1244</v>
      </c>
      <c r="E12" s="7" t="s">
        <v>1261</v>
      </c>
      <c r="F12" s="7" t="s">
        <v>1262</v>
      </c>
      <c r="G12" s="9">
        <v>1500000</v>
      </c>
      <c r="H12" s="9"/>
      <c r="I12" s="9" t="s">
        <v>1263</v>
      </c>
      <c r="L12" s="7">
        <v>9</v>
      </c>
      <c r="M12" s="7"/>
      <c r="N12" s="7"/>
      <c r="O12" s="7"/>
      <c r="P12" s="7"/>
      <c r="Q12" s="9"/>
      <c r="R12" s="9"/>
    </row>
    <row r="13" spans="1:18">
      <c r="B13" s="7">
        <v>10</v>
      </c>
      <c r="C13" s="7" t="s">
        <v>1210</v>
      </c>
      <c r="D13" s="7" t="s">
        <v>1244</v>
      </c>
      <c r="E13" s="7" t="s">
        <v>1264</v>
      </c>
      <c r="F13" s="7" t="s">
        <v>1262</v>
      </c>
      <c r="G13" s="9">
        <v>1500000</v>
      </c>
      <c r="H13" s="9"/>
      <c r="I13" s="9" t="s">
        <v>1263</v>
      </c>
      <c r="L13" s="7">
        <v>10</v>
      </c>
      <c r="M13" s="7"/>
      <c r="N13" s="7"/>
      <c r="O13" s="7"/>
      <c r="P13" s="7"/>
      <c r="Q13" s="9"/>
      <c r="R13" s="9"/>
    </row>
    <row r="14" spans="1:18">
      <c r="B14" s="7">
        <v>11</v>
      </c>
      <c r="C14" s="7" t="s">
        <v>1210</v>
      </c>
      <c r="D14" s="7" t="s">
        <v>1244</v>
      </c>
      <c r="E14" s="7" t="s">
        <v>1265</v>
      </c>
      <c r="F14" s="7" t="s">
        <v>1262</v>
      </c>
      <c r="G14" s="9">
        <v>1500000</v>
      </c>
      <c r="H14" s="9"/>
      <c r="I14" s="9" t="s">
        <v>1263</v>
      </c>
      <c r="L14" s="7">
        <v>11</v>
      </c>
      <c r="M14" s="7"/>
      <c r="N14" s="7"/>
      <c r="O14" s="7"/>
      <c r="P14" s="7"/>
      <c r="Q14" s="9"/>
      <c r="R14" s="9"/>
    </row>
    <row r="15" spans="1:18">
      <c r="B15" s="7">
        <v>12</v>
      </c>
      <c r="C15" s="7" t="s">
        <v>1210</v>
      </c>
      <c r="D15" s="7" t="s">
        <v>1244</v>
      </c>
      <c r="E15" s="7" t="s">
        <v>1266</v>
      </c>
      <c r="F15" s="7" t="s">
        <v>1262</v>
      </c>
      <c r="G15" s="9">
        <v>500000</v>
      </c>
      <c r="H15" s="9"/>
      <c r="I15" s="9" t="s">
        <v>1263</v>
      </c>
      <c r="J15" s="143" t="s">
        <v>1267</v>
      </c>
      <c r="L15" s="7">
        <v>12</v>
      </c>
      <c r="M15" s="7"/>
      <c r="N15" s="7"/>
      <c r="O15" s="7"/>
      <c r="P15" s="7"/>
      <c r="Q15" s="9"/>
      <c r="R15" s="9"/>
    </row>
    <row r="16" spans="1:18">
      <c r="B16" s="7">
        <v>13</v>
      </c>
      <c r="C16" s="7" t="s">
        <v>1210</v>
      </c>
      <c r="D16" s="7" t="s">
        <v>1244</v>
      </c>
      <c r="E16" s="7" t="s">
        <v>1268</v>
      </c>
      <c r="F16" s="9" t="s">
        <v>1269</v>
      </c>
      <c r="G16" s="9"/>
      <c r="H16" s="9"/>
      <c r="I16" s="9"/>
      <c r="L16" s="7"/>
      <c r="M16" s="7"/>
      <c r="N16" s="7"/>
      <c r="O16" s="7"/>
      <c r="P16" s="7"/>
      <c r="Q16" s="9"/>
      <c r="R16" s="9"/>
    </row>
    <row r="17" spans="2:18">
      <c r="B17" s="7">
        <v>14</v>
      </c>
      <c r="C17" s="7" t="s">
        <v>1210</v>
      </c>
      <c r="D17" s="7" t="s">
        <v>1244</v>
      </c>
      <c r="E17" s="7" t="s">
        <v>1270</v>
      </c>
      <c r="F17" s="9" t="s">
        <v>1269</v>
      </c>
      <c r="G17" s="9">
        <v>0</v>
      </c>
      <c r="H17" s="9"/>
      <c r="I17" s="9"/>
      <c r="L17" s="7"/>
      <c r="M17" s="7"/>
      <c r="N17" s="7"/>
      <c r="O17" s="7"/>
      <c r="P17" s="7"/>
      <c r="Q17" s="9"/>
      <c r="R17" s="9"/>
    </row>
    <row r="18" spans="2:18">
      <c r="B18" s="7">
        <v>15</v>
      </c>
      <c r="C18" s="7" t="s">
        <v>1210</v>
      </c>
      <c r="D18" s="7" t="s">
        <v>1244</v>
      </c>
      <c r="E18" s="7" t="s">
        <v>1271</v>
      </c>
      <c r="F18" s="9" t="s">
        <v>1269</v>
      </c>
      <c r="G18" s="9">
        <v>0</v>
      </c>
      <c r="H18" s="9">
        <v>250000</v>
      </c>
      <c r="I18" s="9"/>
      <c r="L18" s="7"/>
      <c r="M18" s="7"/>
      <c r="N18" s="7"/>
      <c r="O18" s="7"/>
      <c r="P18" s="7"/>
      <c r="Q18" s="9"/>
      <c r="R18" s="9"/>
    </row>
    <row r="19" spans="2:18">
      <c r="B19" s="7">
        <v>16</v>
      </c>
      <c r="C19" s="7" t="s">
        <v>1210</v>
      </c>
      <c r="D19" s="7" t="s">
        <v>1244</v>
      </c>
      <c r="E19" s="7" t="s">
        <v>1272</v>
      </c>
      <c r="F19" s="7"/>
      <c r="G19" s="9">
        <v>1000000</v>
      </c>
      <c r="H19" s="9"/>
      <c r="I19" s="9"/>
      <c r="J19" s="143" t="s">
        <v>1273</v>
      </c>
      <c r="L19" s="7"/>
      <c r="M19" s="7"/>
      <c r="N19" s="7"/>
      <c r="O19" s="7"/>
      <c r="P19" s="7"/>
      <c r="Q19" s="9"/>
      <c r="R19" s="9"/>
    </row>
    <row r="20" spans="2:18">
      <c r="B20" s="7">
        <v>17</v>
      </c>
      <c r="C20" s="7" t="s">
        <v>1210</v>
      </c>
      <c r="D20" s="7" t="s">
        <v>1244</v>
      </c>
      <c r="E20" s="7" t="s">
        <v>1274</v>
      </c>
      <c r="F20" s="7"/>
      <c r="G20" s="9">
        <v>1000000</v>
      </c>
      <c r="H20" s="9"/>
      <c r="I20" s="9"/>
      <c r="L20" s="7"/>
      <c r="M20" s="7"/>
      <c r="N20" s="7"/>
      <c r="O20" s="7"/>
      <c r="P20" s="7"/>
      <c r="Q20" s="9"/>
      <c r="R20" s="9"/>
    </row>
    <row r="21" spans="2:18">
      <c r="B21" s="7">
        <v>18</v>
      </c>
      <c r="C21" s="7" t="s">
        <v>1210</v>
      </c>
      <c r="D21" s="7" t="s">
        <v>1244</v>
      </c>
      <c r="E21" s="7" t="s">
        <v>1275</v>
      </c>
      <c r="F21" s="7"/>
      <c r="G21" s="9">
        <v>1000000</v>
      </c>
      <c r="H21" s="9"/>
      <c r="I21" s="9"/>
      <c r="L21" s="7"/>
      <c r="M21" s="7"/>
      <c r="N21" s="7"/>
      <c r="O21" s="7"/>
      <c r="P21" s="7"/>
      <c r="Q21" s="9"/>
      <c r="R21" s="9"/>
    </row>
    <row r="22" spans="2:18">
      <c r="B22" s="7">
        <v>19</v>
      </c>
      <c r="C22" s="7" t="s">
        <v>1210</v>
      </c>
      <c r="D22" s="7" t="s">
        <v>1244</v>
      </c>
      <c r="E22" s="7" t="s">
        <v>1276</v>
      </c>
      <c r="F22" s="7"/>
      <c r="G22" s="9">
        <v>1000000</v>
      </c>
      <c r="H22" s="9"/>
      <c r="I22" s="9"/>
      <c r="L22" s="7"/>
      <c r="M22" s="7"/>
      <c r="N22" s="7"/>
      <c r="O22" s="7"/>
      <c r="P22" s="7"/>
      <c r="Q22" s="9"/>
      <c r="R22" s="9"/>
    </row>
    <row r="23" spans="2:18">
      <c r="B23" s="7">
        <v>20</v>
      </c>
      <c r="C23" s="7" t="s">
        <v>1277</v>
      </c>
      <c r="D23" s="7" t="s">
        <v>1244</v>
      </c>
      <c r="E23" s="7" t="s">
        <v>1278</v>
      </c>
      <c r="F23" s="7"/>
      <c r="G23" s="9">
        <v>1000000</v>
      </c>
      <c r="H23" s="9"/>
      <c r="I23" s="9"/>
      <c r="L23" s="7"/>
      <c r="M23" s="7"/>
      <c r="N23" s="7"/>
      <c r="O23" s="7"/>
      <c r="P23" s="7"/>
      <c r="Q23" s="9"/>
      <c r="R23" s="9"/>
    </row>
    <row r="24" spans="2:18">
      <c r="B24" s="7">
        <v>21</v>
      </c>
      <c r="C24" s="7" t="s">
        <v>1279</v>
      </c>
      <c r="D24" s="7" t="s">
        <v>1244</v>
      </c>
      <c r="E24" s="7" t="s">
        <v>1280</v>
      </c>
      <c r="F24" s="7"/>
      <c r="G24" s="9"/>
      <c r="H24" s="9">
        <v>1000000</v>
      </c>
      <c r="I24" s="9"/>
      <c r="L24" s="7"/>
      <c r="M24" s="7"/>
      <c r="N24" s="7"/>
      <c r="O24" s="7"/>
      <c r="P24" s="7"/>
      <c r="Q24" s="9"/>
      <c r="R24" s="9"/>
    </row>
    <row r="25" spans="2:18">
      <c r="B25" s="7">
        <v>22</v>
      </c>
      <c r="C25" s="7" t="s">
        <v>1281</v>
      </c>
      <c r="D25" s="7" t="s">
        <v>1244</v>
      </c>
      <c r="E25" s="7" t="s">
        <v>1282</v>
      </c>
      <c r="F25" s="7"/>
      <c r="G25" s="9"/>
      <c r="H25" s="9">
        <v>1000000</v>
      </c>
      <c r="I25" s="9"/>
      <c r="L25" s="7"/>
      <c r="M25" s="7"/>
      <c r="N25" s="7"/>
      <c r="O25" s="7"/>
      <c r="P25" s="7"/>
      <c r="Q25" s="9"/>
      <c r="R25" s="9"/>
    </row>
    <row r="26" spans="2:18">
      <c r="B26" s="7">
        <v>23</v>
      </c>
      <c r="C26" s="7" t="s">
        <v>1283</v>
      </c>
      <c r="D26" s="7" t="s">
        <v>1244</v>
      </c>
      <c r="E26" s="7" t="s">
        <v>1284</v>
      </c>
      <c r="F26" s="7"/>
      <c r="G26" s="9"/>
      <c r="H26" s="9">
        <v>1000000</v>
      </c>
      <c r="I26" s="9"/>
      <c r="L26" s="7"/>
      <c r="M26" s="7"/>
      <c r="N26" s="7"/>
      <c r="O26" s="7"/>
      <c r="P26" s="7"/>
      <c r="Q26" s="9"/>
      <c r="R26" s="9"/>
    </row>
    <row r="27" spans="2:18">
      <c r="B27" s="7">
        <v>24</v>
      </c>
      <c r="C27" s="7" t="s">
        <v>1285</v>
      </c>
      <c r="D27" s="7" t="s">
        <v>1244</v>
      </c>
      <c r="E27" s="7" t="s">
        <v>1286</v>
      </c>
      <c r="F27" s="7"/>
      <c r="G27" s="9"/>
      <c r="H27" s="9">
        <v>1000000</v>
      </c>
      <c r="I27" s="9"/>
      <c r="L27" s="7"/>
      <c r="M27" s="7"/>
      <c r="N27" s="7"/>
      <c r="O27" s="7"/>
      <c r="P27" s="7"/>
      <c r="Q27" s="9"/>
      <c r="R27" s="9"/>
    </row>
    <row r="28" spans="2:18">
      <c r="B28" s="7">
        <v>25</v>
      </c>
      <c r="C28" s="7" t="s">
        <v>1287</v>
      </c>
      <c r="D28" s="7" t="s">
        <v>1244</v>
      </c>
      <c r="E28" s="7" t="s">
        <v>1288</v>
      </c>
      <c r="F28" s="7"/>
      <c r="G28" s="9"/>
      <c r="H28" s="9">
        <v>1000000</v>
      </c>
      <c r="I28" s="9"/>
      <c r="L28" s="7"/>
      <c r="M28" s="7"/>
      <c r="N28" s="7"/>
      <c r="O28" s="7"/>
      <c r="P28" s="7"/>
      <c r="Q28" s="9"/>
      <c r="R28" s="9"/>
    </row>
    <row r="29" spans="2:18">
      <c r="B29" s="7">
        <v>26</v>
      </c>
      <c r="C29" s="7" t="s">
        <v>1289</v>
      </c>
      <c r="D29" s="7" t="s">
        <v>1244</v>
      </c>
      <c r="E29" s="7" t="s">
        <v>1290</v>
      </c>
      <c r="F29" s="7"/>
      <c r="G29" s="9"/>
      <c r="H29" s="9">
        <v>1000000</v>
      </c>
      <c r="I29" s="9"/>
      <c r="L29" s="7"/>
      <c r="M29" s="7"/>
      <c r="N29" s="7"/>
      <c r="O29" s="7"/>
      <c r="P29" s="7"/>
      <c r="Q29" s="9"/>
      <c r="R29" s="9"/>
    </row>
    <row r="30" spans="2:18">
      <c r="B30" s="7">
        <v>27</v>
      </c>
      <c r="C30" s="7" t="s">
        <v>1291</v>
      </c>
      <c r="D30" s="7" t="s">
        <v>1244</v>
      </c>
      <c r="E30" s="7" t="s">
        <v>1292</v>
      </c>
      <c r="F30" s="7"/>
      <c r="G30" s="9"/>
      <c r="H30" s="9">
        <v>1000000</v>
      </c>
      <c r="I30" s="9"/>
      <c r="L30" s="7"/>
      <c r="M30" s="7"/>
      <c r="N30" s="7"/>
      <c r="O30" s="7"/>
      <c r="P30" s="7"/>
      <c r="Q30" s="9"/>
      <c r="R30" s="9"/>
    </row>
    <row r="31" spans="2:18">
      <c r="B31" s="7">
        <v>28</v>
      </c>
      <c r="C31" s="7" t="s">
        <v>1293</v>
      </c>
      <c r="D31" s="7" t="s">
        <v>1244</v>
      </c>
      <c r="E31" s="7" t="s">
        <v>1294</v>
      </c>
      <c r="F31" s="7"/>
      <c r="G31" s="9"/>
      <c r="H31" s="9">
        <v>1000000</v>
      </c>
      <c r="I31" s="9"/>
      <c r="L31" s="7"/>
      <c r="M31" s="7"/>
      <c r="N31" s="7"/>
      <c r="O31" s="7"/>
      <c r="P31" s="7"/>
      <c r="Q31" s="9"/>
      <c r="R31" s="9"/>
    </row>
    <row r="32" spans="2:18">
      <c r="B32" s="7">
        <v>29</v>
      </c>
      <c r="C32" s="7" t="s">
        <v>1295</v>
      </c>
      <c r="D32" s="7" t="s">
        <v>1244</v>
      </c>
      <c r="E32" s="7" t="s">
        <v>1296</v>
      </c>
      <c r="F32" s="7"/>
      <c r="G32" s="9"/>
      <c r="H32" s="9">
        <v>1000000</v>
      </c>
      <c r="I32" s="9"/>
      <c r="L32" s="7"/>
      <c r="M32" s="7"/>
      <c r="N32" s="7"/>
      <c r="O32" s="7"/>
      <c r="P32" s="7"/>
      <c r="Q32" s="9"/>
      <c r="R32" s="9"/>
    </row>
    <row r="33" spans="2:18">
      <c r="B33" s="7"/>
      <c r="C33" s="7"/>
      <c r="D33" s="7"/>
      <c r="E33" s="7" t="s">
        <v>1297</v>
      </c>
      <c r="F33" s="7"/>
      <c r="G33" s="9"/>
      <c r="H33" s="9">
        <v>1000000</v>
      </c>
      <c r="I33" s="9"/>
      <c r="L33" s="7"/>
      <c r="M33" s="7"/>
      <c r="N33" s="7"/>
      <c r="O33" s="7"/>
      <c r="P33" s="7"/>
      <c r="Q33" s="9"/>
      <c r="R33" s="9"/>
    </row>
    <row r="34" spans="2:18">
      <c r="B34" s="7"/>
      <c r="C34" s="7"/>
      <c r="D34" s="7"/>
      <c r="E34" s="7"/>
      <c r="F34" s="7"/>
      <c r="G34" s="9"/>
      <c r="H34" s="9"/>
      <c r="I34" s="9"/>
      <c r="L34" s="7"/>
      <c r="M34" s="7"/>
      <c r="N34" s="7"/>
      <c r="O34" s="7"/>
      <c r="P34" s="7"/>
      <c r="Q34" s="9"/>
      <c r="R34" s="9"/>
    </row>
    <row r="35" spans="2:18">
      <c r="B35" s="7"/>
      <c r="C35" s="7"/>
      <c r="D35" s="7"/>
      <c r="E35" s="7"/>
      <c r="F35" s="7"/>
      <c r="G35" s="150">
        <f>SUM(G4:G23)</f>
        <v>22000000</v>
      </c>
      <c r="H35" s="150">
        <f>SUM(H18:H34)</f>
        <v>10250000</v>
      </c>
      <c r="I35" s="9"/>
      <c r="L35" s="7">
        <v>13</v>
      </c>
      <c r="M35" s="7"/>
      <c r="N35" s="7"/>
      <c r="O35" s="7"/>
      <c r="P35" s="7"/>
      <c r="Q35" s="9"/>
      <c r="R35" s="9"/>
    </row>
    <row r="36" spans="2:18">
      <c r="C36" s="143" t="s">
        <v>1298</v>
      </c>
    </row>
  </sheetData>
  <mergeCells count="2">
    <mergeCell ref="B2:I2"/>
    <mergeCell ref="L2:R2"/>
  </mergeCells>
  <hyperlinks>
    <hyperlink ref="A1" location="Name!A1" display="Name!A1" xr:uid="{89A09701-42E9-47DE-9952-36168F3EE41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7477-3B47-445D-90BF-072F5E8E6B89}">
  <dimension ref="A1:M22"/>
  <sheetViews>
    <sheetView workbookViewId="0"/>
  </sheetViews>
  <sheetFormatPr defaultRowHeight="15"/>
  <cols>
    <col min="3" max="3" width="18.42578125" customWidth="1"/>
    <col min="4" max="4" width="15" customWidth="1"/>
    <col min="5" max="5" width="20.85546875" customWidth="1"/>
    <col min="6" max="6" width="16.140625" customWidth="1"/>
    <col min="7" max="7" width="15.7109375" customWidth="1"/>
    <col min="8" max="8" width="18.5703125" customWidth="1"/>
    <col min="10" max="10" width="9.28515625" customWidth="1"/>
    <col min="11" max="11" width="34.140625" customWidth="1"/>
    <col min="12" max="12" width="17.7109375" style="328" customWidth="1"/>
  </cols>
  <sheetData>
    <row r="1" spans="1:13">
      <c r="A1" s="410" t="s">
        <v>648</v>
      </c>
    </row>
    <row r="2" spans="1:13" ht="22.5">
      <c r="A2" s="644" t="s">
        <v>542</v>
      </c>
      <c r="B2" s="644"/>
      <c r="C2" s="644"/>
      <c r="D2" s="644"/>
      <c r="E2" s="644"/>
      <c r="F2" s="644"/>
      <c r="G2" s="644"/>
      <c r="H2" s="644"/>
      <c r="J2" s="449"/>
      <c r="K2" s="450" t="s">
        <v>649</v>
      </c>
      <c r="L2" s="451"/>
    </row>
    <row r="3" spans="1:13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J3" s="450" t="s">
        <v>11</v>
      </c>
      <c r="K3" s="450" t="s">
        <v>651</v>
      </c>
      <c r="L3" s="452" t="s">
        <v>660</v>
      </c>
    </row>
    <row r="4" spans="1:13" ht="21.75">
      <c r="A4" s="646"/>
      <c r="B4" s="646"/>
      <c r="C4" s="646"/>
      <c r="D4" s="646"/>
      <c r="E4" s="648"/>
      <c r="F4" s="646"/>
      <c r="G4" s="646"/>
      <c r="H4" s="6" t="s">
        <v>660</v>
      </c>
      <c r="J4" s="453">
        <v>1</v>
      </c>
      <c r="K4" s="453" t="s">
        <v>1299</v>
      </c>
      <c r="L4" s="454">
        <v>70000</v>
      </c>
      <c r="M4" s="444"/>
    </row>
    <row r="5" spans="1:13" ht="28.15" customHeight="1">
      <c r="A5" s="7">
        <v>1</v>
      </c>
      <c r="B5" s="7" t="s">
        <v>130</v>
      </c>
      <c r="C5" s="7" t="s">
        <v>543</v>
      </c>
      <c r="D5" s="409" t="s">
        <v>1</v>
      </c>
      <c r="E5" s="9" t="s">
        <v>661</v>
      </c>
      <c r="F5" s="10" t="s">
        <v>1300</v>
      </c>
      <c r="G5" s="9" t="s">
        <v>1301</v>
      </c>
      <c r="H5" s="9">
        <v>600000</v>
      </c>
      <c r="J5" s="453">
        <v>2</v>
      </c>
      <c r="K5" s="453" t="s">
        <v>1302</v>
      </c>
      <c r="L5" s="454">
        <v>5000</v>
      </c>
      <c r="M5" s="444"/>
    </row>
    <row r="6" spans="1:13" ht="28.15" customHeight="1">
      <c r="A6" s="7"/>
      <c r="B6" s="7"/>
      <c r="C6" s="7"/>
      <c r="D6" s="619"/>
      <c r="E6" s="9" t="s">
        <v>1303</v>
      </c>
      <c r="F6" s="10" t="s">
        <v>1300</v>
      </c>
      <c r="G6" s="9" t="s">
        <v>1301</v>
      </c>
      <c r="H6" s="9">
        <v>600000</v>
      </c>
      <c r="J6" s="453"/>
      <c r="K6" s="453"/>
      <c r="L6" s="454"/>
      <c r="M6" s="444"/>
    </row>
    <row r="7" spans="1:13" ht="28.15" customHeight="1">
      <c r="A7" s="7"/>
      <c r="B7" s="7"/>
      <c r="C7" s="7" t="s">
        <v>679</v>
      </c>
      <c r="D7" s="7"/>
      <c r="E7" s="9" t="s">
        <v>1304</v>
      </c>
      <c r="F7" s="10" t="s">
        <v>1305</v>
      </c>
      <c r="G7" s="9" t="s">
        <v>1306</v>
      </c>
      <c r="H7" s="9">
        <v>1200000</v>
      </c>
      <c r="J7" s="453">
        <v>3</v>
      </c>
      <c r="K7" s="453" t="s">
        <v>1307</v>
      </c>
      <c r="L7" s="454">
        <v>130000</v>
      </c>
      <c r="M7" s="444"/>
    </row>
    <row r="8" spans="1:13" ht="28.15" customHeight="1">
      <c r="A8" s="7"/>
      <c r="B8" s="7"/>
      <c r="C8" s="7"/>
      <c r="D8" s="7"/>
      <c r="E8" s="9" t="s">
        <v>1308</v>
      </c>
      <c r="F8" s="10" t="s">
        <v>1309</v>
      </c>
      <c r="G8" s="9" t="s">
        <v>1310</v>
      </c>
      <c r="H8" s="9">
        <v>2400000</v>
      </c>
      <c r="I8" s="333" t="s">
        <v>664</v>
      </c>
      <c r="J8" s="453">
        <v>4</v>
      </c>
      <c r="K8" s="448" t="s">
        <v>1311</v>
      </c>
      <c r="L8" s="454">
        <v>-5000</v>
      </c>
      <c r="M8" s="444"/>
    </row>
    <row r="9" spans="1:13" ht="28.15" customHeight="1">
      <c r="A9" s="7"/>
      <c r="B9" s="7"/>
      <c r="C9" s="7"/>
      <c r="D9" s="7"/>
      <c r="E9" s="9" t="s">
        <v>1312</v>
      </c>
      <c r="F9" s="10"/>
      <c r="G9" s="9" t="s">
        <v>1310</v>
      </c>
      <c r="H9" s="9">
        <v>-200000</v>
      </c>
      <c r="J9" s="453"/>
      <c r="K9" s="453"/>
      <c r="L9" s="454"/>
      <c r="M9" s="444"/>
    </row>
    <row r="10" spans="1:13" ht="28.15" customHeight="1">
      <c r="A10" s="7"/>
      <c r="B10" s="7"/>
      <c r="C10" s="7"/>
      <c r="D10" s="7"/>
      <c r="E10" s="9" t="s">
        <v>545</v>
      </c>
      <c r="F10" s="10" t="s">
        <v>1313</v>
      </c>
      <c r="G10" s="9" t="s">
        <v>1314</v>
      </c>
      <c r="H10" s="9">
        <v>2400000</v>
      </c>
      <c r="I10" s="146" t="s">
        <v>1098</v>
      </c>
      <c r="J10" s="453"/>
      <c r="K10" s="457" t="s">
        <v>665</v>
      </c>
      <c r="L10" s="454">
        <f>SUM(L4:L8)</f>
        <v>200000</v>
      </c>
      <c r="M10" s="444"/>
    </row>
    <row r="11" spans="1:13" ht="28.15" customHeight="1">
      <c r="A11" s="7"/>
      <c r="B11" s="7"/>
      <c r="C11" s="7"/>
      <c r="D11" s="7"/>
      <c r="E11" s="9"/>
      <c r="F11" s="10"/>
      <c r="G11" s="9"/>
      <c r="H11" s="9"/>
      <c r="J11" s="455"/>
      <c r="K11" s="455"/>
      <c r="L11" s="456"/>
    </row>
    <row r="12" spans="1:13" ht="28.15" customHeight="1">
      <c r="A12" s="7"/>
      <c r="B12" s="7"/>
      <c r="C12" s="7"/>
      <c r="D12" s="7"/>
      <c r="E12" s="9"/>
      <c r="F12" s="10"/>
      <c r="G12" s="9"/>
      <c r="H12" s="9"/>
    </row>
    <row r="13" spans="1:13" ht="28.15" customHeight="1">
      <c r="A13" s="7"/>
      <c r="B13" s="7"/>
      <c r="C13" s="7"/>
      <c r="D13" s="7"/>
      <c r="E13" s="9"/>
      <c r="F13" s="10"/>
      <c r="G13" s="9"/>
      <c r="H13" s="9"/>
    </row>
    <row r="14" spans="1:13" ht="28.15" customHeight="1">
      <c r="A14" s="12"/>
      <c r="B14" s="12"/>
      <c r="C14" s="12"/>
      <c r="D14" s="12"/>
      <c r="E14" s="13"/>
      <c r="F14" s="14"/>
      <c r="G14" s="13"/>
      <c r="H14" s="13">
        <f>SUM(H5:H10)</f>
        <v>7000000</v>
      </c>
    </row>
    <row r="15" spans="1:13" ht="28.15" customHeight="1"/>
    <row r="16" spans="1:13" ht="28.15" customHeight="1"/>
    <row r="17" ht="28.15" customHeight="1"/>
    <row r="18" ht="28.15" customHeight="1"/>
    <row r="19" ht="28.15" customHeight="1"/>
    <row r="20" ht="28.15" customHeight="1"/>
    <row r="21" ht="28.15" customHeight="1"/>
    <row r="22" ht="28.15" customHeight="1"/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A3AB3462-1023-4067-87E9-3C5BFE2EA235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F65D-F296-46A7-B5A8-835B79DBCF95}">
  <dimension ref="A1:L43"/>
  <sheetViews>
    <sheetView workbookViewId="0"/>
  </sheetViews>
  <sheetFormatPr defaultRowHeight="18.75"/>
  <cols>
    <col min="1" max="1" width="9.140625" customWidth="1"/>
    <col min="2" max="2" width="12.5703125" customWidth="1"/>
    <col min="3" max="3" width="20.28515625" customWidth="1"/>
    <col min="4" max="4" width="11.5703125" customWidth="1"/>
    <col min="5" max="5" width="23" bestFit="1" customWidth="1"/>
    <col min="6" max="6" width="12.28515625" customWidth="1"/>
    <col min="7" max="7" width="12.7109375" customWidth="1"/>
    <col min="8" max="8" width="15.7109375" customWidth="1"/>
    <col min="9" max="9" width="26.140625" customWidth="1"/>
    <col min="10" max="10" width="14.7109375" style="463" customWidth="1"/>
    <col min="11" max="11" width="43" style="463" customWidth="1"/>
    <col min="12" max="12" width="22" style="481" customWidth="1"/>
  </cols>
  <sheetData>
    <row r="1" spans="1:8">
      <c r="A1" s="410" t="s">
        <v>648</v>
      </c>
    </row>
    <row r="2" spans="1:8" ht="22.5">
      <c r="A2" s="644" t="s">
        <v>1315</v>
      </c>
      <c r="B2" s="644"/>
      <c r="C2" s="644"/>
      <c r="D2" s="644"/>
      <c r="E2" s="644"/>
      <c r="F2" s="644"/>
      <c r="G2" s="644"/>
      <c r="H2" s="644"/>
    </row>
    <row r="3" spans="1:8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8" ht="21.75">
      <c r="A4" s="646"/>
      <c r="B4" s="646"/>
      <c r="C4" s="646"/>
      <c r="D4" s="646"/>
      <c r="E4" s="648"/>
      <c r="F4" s="646"/>
      <c r="G4" s="646"/>
      <c r="H4" s="6" t="s">
        <v>660</v>
      </c>
    </row>
    <row r="5" spans="1:8" ht="22.5">
      <c r="A5" s="7">
        <v>1</v>
      </c>
      <c r="B5" s="7" t="s">
        <v>676</v>
      </c>
      <c r="C5" s="7" t="s">
        <v>78</v>
      </c>
      <c r="D5" s="409" t="s">
        <v>76</v>
      </c>
      <c r="E5" s="9" t="s">
        <v>661</v>
      </c>
      <c r="F5" s="10" t="s">
        <v>1316</v>
      </c>
      <c r="G5" s="9" t="s">
        <v>1317</v>
      </c>
      <c r="H5" s="9">
        <v>600000</v>
      </c>
    </row>
    <row r="6" spans="1:8" ht="22.5">
      <c r="A6" s="7"/>
      <c r="B6" s="7"/>
      <c r="C6" s="7" t="s">
        <v>679</v>
      </c>
      <c r="D6" s="7"/>
      <c r="E6" s="9" t="s">
        <v>1318</v>
      </c>
      <c r="F6" s="10" t="s">
        <v>1316</v>
      </c>
      <c r="G6" s="9" t="s">
        <v>1317</v>
      </c>
      <c r="H6" s="9">
        <v>600000</v>
      </c>
    </row>
    <row r="7" spans="1:8" ht="22.5">
      <c r="A7" s="7"/>
      <c r="B7" s="7"/>
      <c r="C7" s="7"/>
      <c r="D7" s="7"/>
      <c r="E7" s="9"/>
      <c r="F7" s="10"/>
      <c r="G7" s="9"/>
      <c r="H7" s="9"/>
    </row>
    <row r="8" spans="1:8" ht="22.5">
      <c r="A8" s="7"/>
      <c r="B8" s="7"/>
      <c r="C8" s="7"/>
      <c r="D8" s="7"/>
      <c r="E8" s="9"/>
      <c r="F8" s="10"/>
      <c r="G8" s="9"/>
      <c r="H8" s="9"/>
    </row>
    <row r="9" spans="1:8" ht="22.5">
      <c r="A9" s="7"/>
      <c r="B9" s="7"/>
      <c r="C9" s="7"/>
      <c r="D9" s="7"/>
      <c r="E9" s="9"/>
      <c r="F9" s="10"/>
      <c r="G9" s="9"/>
      <c r="H9" s="9"/>
    </row>
    <row r="10" spans="1:8" ht="22.5">
      <c r="A10" s="7"/>
      <c r="B10" s="7"/>
      <c r="C10" s="7"/>
      <c r="D10" s="7"/>
      <c r="E10" s="9"/>
      <c r="F10" s="10"/>
      <c r="G10" s="9"/>
      <c r="H10" s="9"/>
    </row>
    <row r="11" spans="1:8" ht="22.5">
      <c r="A11" s="7"/>
      <c r="B11" s="7"/>
      <c r="C11" s="7"/>
      <c r="D11" s="7"/>
      <c r="E11" s="9"/>
      <c r="F11" s="10"/>
      <c r="G11" s="9"/>
      <c r="H11" s="9"/>
    </row>
    <row r="12" spans="1:8" ht="22.5">
      <c r="A12" s="7"/>
      <c r="B12" s="7"/>
      <c r="C12" s="7"/>
      <c r="D12" s="7"/>
      <c r="E12" s="9"/>
      <c r="F12" s="10"/>
      <c r="G12" s="9"/>
      <c r="H12" s="9"/>
    </row>
    <row r="13" spans="1:8" ht="22.5">
      <c r="A13" s="12"/>
      <c r="B13" s="12"/>
      <c r="C13" s="12"/>
      <c r="D13" s="12"/>
      <c r="E13" s="13"/>
      <c r="F13" s="14"/>
      <c r="G13" s="13"/>
      <c r="H13" s="13">
        <f>SUM(H5:H9)</f>
        <v>1200000</v>
      </c>
    </row>
    <row r="16" spans="1:8" ht="22.5">
      <c r="A16" s="644" t="s">
        <v>1141</v>
      </c>
      <c r="B16" s="644"/>
      <c r="C16" s="644"/>
      <c r="D16" s="644"/>
      <c r="E16" s="644"/>
      <c r="F16" s="644"/>
      <c r="G16" s="644"/>
      <c r="H16" s="644"/>
    </row>
    <row r="17" spans="1:12" ht="21.75">
      <c r="A17" s="645" t="s">
        <v>653</v>
      </c>
      <c r="B17" s="647" t="s">
        <v>654</v>
      </c>
      <c r="C17" s="645" t="s">
        <v>655</v>
      </c>
      <c r="D17" s="645" t="s">
        <v>12</v>
      </c>
      <c r="E17" s="647" t="s">
        <v>656</v>
      </c>
      <c r="F17" s="645" t="s">
        <v>657</v>
      </c>
      <c r="G17" s="647" t="s">
        <v>658</v>
      </c>
      <c r="H17" s="3" t="s">
        <v>659</v>
      </c>
    </row>
    <row r="18" spans="1:12" ht="21.75">
      <c r="A18" s="646"/>
      <c r="B18" s="646"/>
      <c r="C18" s="646"/>
      <c r="D18" s="646"/>
      <c r="E18" s="648"/>
      <c r="F18" s="646"/>
      <c r="G18" s="646"/>
      <c r="H18" s="6" t="s">
        <v>660</v>
      </c>
    </row>
    <row r="19" spans="1:12" ht="22.5">
      <c r="A19" s="7">
        <v>1</v>
      </c>
      <c r="B19" s="7" t="s">
        <v>152</v>
      </c>
      <c r="C19" s="7" t="s">
        <v>1142</v>
      </c>
      <c r="D19" s="7" t="s">
        <v>1143</v>
      </c>
      <c r="E19" s="9" t="s">
        <v>661</v>
      </c>
      <c r="F19" s="10" t="s">
        <v>1144</v>
      </c>
      <c r="G19" s="9" t="s">
        <v>1145</v>
      </c>
      <c r="H19" s="9">
        <v>700000</v>
      </c>
      <c r="I19" s="146" t="s">
        <v>1319</v>
      </c>
    </row>
    <row r="20" spans="1:12" ht="22.5">
      <c r="A20" s="7"/>
      <c r="B20" s="7"/>
      <c r="C20" s="7" t="s">
        <v>679</v>
      </c>
      <c r="D20" s="7" t="s">
        <v>1320</v>
      </c>
      <c r="E20" s="9" t="s">
        <v>1146</v>
      </c>
      <c r="F20" s="10" t="s">
        <v>1144</v>
      </c>
      <c r="G20" s="9" t="s">
        <v>1145</v>
      </c>
      <c r="H20" s="9">
        <v>700000</v>
      </c>
    </row>
    <row r="21" spans="1:12" ht="22.5">
      <c r="A21" s="7"/>
      <c r="B21" s="7"/>
      <c r="C21" s="7"/>
      <c r="D21" s="7" t="s">
        <v>1147</v>
      </c>
      <c r="E21" s="9" t="s">
        <v>1148</v>
      </c>
      <c r="F21" s="10" t="s">
        <v>1144</v>
      </c>
      <c r="G21" s="9" t="s">
        <v>1145</v>
      </c>
      <c r="H21" s="9">
        <v>700000</v>
      </c>
    </row>
    <row r="22" spans="1:12" ht="22.5">
      <c r="A22" s="7"/>
      <c r="B22" s="7"/>
      <c r="C22" s="7"/>
      <c r="D22" s="7"/>
      <c r="E22" s="9"/>
      <c r="F22" s="10"/>
      <c r="G22" s="9"/>
      <c r="H22" s="9"/>
    </row>
    <row r="23" spans="1:12" ht="22.5">
      <c r="A23" s="7"/>
      <c r="B23" s="7"/>
      <c r="C23" s="7"/>
      <c r="D23" s="7"/>
      <c r="E23" s="9"/>
      <c r="F23" s="10"/>
      <c r="G23" s="9"/>
      <c r="H23" s="9"/>
    </row>
    <row r="24" spans="1:12" ht="22.5">
      <c r="A24" s="7"/>
      <c r="B24" s="7"/>
      <c r="C24" s="7"/>
      <c r="D24" s="7"/>
      <c r="E24" s="9"/>
      <c r="F24" s="10"/>
      <c r="G24" s="9"/>
      <c r="H24" s="9"/>
    </row>
    <row r="25" spans="1:12" ht="22.5">
      <c r="A25" s="7"/>
      <c r="B25" s="7"/>
      <c r="C25" s="7"/>
      <c r="D25" s="7"/>
      <c r="E25" s="9"/>
      <c r="F25" s="10"/>
      <c r="G25" s="9"/>
      <c r="H25" s="9"/>
    </row>
    <row r="26" spans="1:12" ht="22.5">
      <c r="A26" s="7"/>
      <c r="B26" s="7"/>
      <c r="C26" s="7"/>
      <c r="D26" s="7"/>
      <c r="E26" s="9"/>
      <c r="F26" s="10"/>
      <c r="G26" s="9"/>
      <c r="H26" s="9"/>
    </row>
    <row r="27" spans="1:12" ht="22.5">
      <c r="A27" s="166"/>
      <c r="B27" s="166"/>
      <c r="C27" s="166"/>
      <c r="D27" s="166"/>
      <c r="E27" s="167"/>
      <c r="F27" s="168"/>
      <c r="G27" s="167"/>
      <c r="H27" s="167">
        <f>SUM(H19:H23)</f>
        <v>2100000</v>
      </c>
    </row>
    <row r="31" spans="1:12" ht="21.75">
      <c r="A31" s="644" t="s">
        <v>77</v>
      </c>
      <c r="B31" s="644"/>
      <c r="C31" s="644"/>
      <c r="D31" s="644"/>
      <c r="E31" s="644"/>
      <c r="F31" s="644"/>
      <c r="G31" s="644"/>
      <c r="H31" s="644"/>
      <c r="J31" s="561" t="s">
        <v>807</v>
      </c>
      <c r="K31" s="561" t="s">
        <v>651</v>
      </c>
      <c r="L31" s="572" t="s">
        <v>652</v>
      </c>
    </row>
    <row r="32" spans="1:12" ht="21.75">
      <c r="A32" s="645" t="s">
        <v>653</v>
      </c>
      <c r="B32" s="647" t="s">
        <v>654</v>
      </c>
      <c r="C32" s="645" t="s">
        <v>655</v>
      </c>
      <c r="D32" s="645" t="s">
        <v>12</v>
      </c>
      <c r="E32" s="647" t="s">
        <v>656</v>
      </c>
      <c r="F32" s="645" t="s">
        <v>657</v>
      </c>
      <c r="G32" s="647" t="s">
        <v>658</v>
      </c>
      <c r="H32" s="3" t="s">
        <v>659</v>
      </c>
      <c r="J32" s="463" t="s">
        <v>1321</v>
      </c>
      <c r="K32" s="463" t="s">
        <v>1322</v>
      </c>
      <c r="L32" s="481">
        <v>120000</v>
      </c>
    </row>
    <row r="33" spans="1:12" ht="21.75">
      <c r="A33" s="646"/>
      <c r="B33" s="646"/>
      <c r="C33" s="646"/>
      <c r="D33" s="646"/>
      <c r="E33" s="648"/>
      <c r="F33" s="646"/>
      <c r="G33" s="646"/>
      <c r="H33" s="6" t="s">
        <v>660</v>
      </c>
      <c r="K33" s="463" t="s">
        <v>1323</v>
      </c>
      <c r="L33" s="481">
        <v>10000</v>
      </c>
    </row>
    <row r="34" spans="1:12" ht="21.6" customHeight="1">
      <c r="A34" s="7">
        <v>1</v>
      </c>
      <c r="B34" s="7" t="s">
        <v>1324</v>
      </c>
      <c r="C34" s="7" t="s">
        <v>78</v>
      </c>
      <c r="D34" s="7" t="s">
        <v>1147</v>
      </c>
      <c r="E34" s="9" t="s">
        <v>661</v>
      </c>
      <c r="F34" s="10" t="s">
        <v>1325</v>
      </c>
      <c r="G34" s="9" t="s">
        <v>789</v>
      </c>
      <c r="H34" s="9">
        <v>700000</v>
      </c>
      <c r="I34" s="146" t="s">
        <v>664</v>
      </c>
      <c r="K34" s="463" t="s">
        <v>1326</v>
      </c>
      <c r="L34" s="481">
        <v>15000</v>
      </c>
    </row>
    <row r="35" spans="1:12" ht="21.6" customHeight="1">
      <c r="A35" s="7"/>
      <c r="B35" s="7"/>
      <c r="C35" s="7" t="s">
        <v>679</v>
      </c>
      <c r="D35" s="7"/>
      <c r="E35" s="9" t="s">
        <v>1327</v>
      </c>
      <c r="F35" s="10" t="s">
        <v>1325</v>
      </c>
      <c r="G35" s="9" t="s">
        <v>789</v>
      </c>
      <c r="H35" s="9">
        <v>700000</v>
      </c>
      <c r="I35" s="146" t="s">
        <v>664</v>
      </c>
      <c r="K35" s="463" t="s">
        <v>1328</v>
      </c>
      <c r="L35" s="481">
        <v>70000</v>
      </c>
    </row>
    <row r="36" spans="1:12" ht="21.6" customHeight="1">
      <c r="A36" s="7"/>
      <c r="B36" s="7"/>
      <c r="C36" s="7"/>
      <c r="D36" s="7"/>
      <c r="E36" s="9" t="s">
        <v>81</v>
      </c>
      <c r="F36" s="10" t="s">
        <v>1329</v>
      </c>
      <c r="G36" s="9" t="s">
        <v>1140</v>
      </c>
      <c r="H36" s="9">
        <v>2800000</v>
      </c>
      <c r="I36" s="146" t="s">
        <v>664</v>
      </c>
      <c r="K36" s="463" t="s">
        <v>959</v>
      </c>
      <c r="L36" s="481">
        <v>5000</v>
      </c>
    </row>
    <row r="37" spans="1:12" ht="21.6" customHeight="1">
      <c r="A37" s="7"/>
      <c r="B37" s="7"/>
      <c r="C37" s="7"/>
      <c r="D37" s="7"/>
      <c r="E37" s="9"/>
      <c r="F37" s="10"/>
      <c r="G37" s="9"/>
      <c r="H37" s="9"/>
      <c r="K37" s="463" t="s">
        <v>1330</v>
      </c>
      <c r="L37" s="481">
        <v>25000</v>
      </c>
    </row>
    <row r="38" spans="1:12" ht="21.6" customHeight="1">
      <c r="A38" s="7"/>
      <c r="B38" s="7"/>
      <c r="C38" s="7"/>
      <c r="D38" s="7"/>
      <c r="E38" s="9"/>
      <c r="F38" s="10"/>
      <c r="G38" s="9"/>
      <c r="H38" s="9"/>
      <c r="K38" s="463" t="s">
        <v>937</v>
      </c>
      <c r="L38" s="481">
        <v>40000</v>
      </c>
    </row>
    <row r="39" spans="1:12" ht="21.6" customHeight="1">
      <c r="A39" s="7"/>
      <c r="B39" s="7"/>
      <c r="C39" s="7"/>
      <c r="D39" s="7"/>
      <c r="E39" s="9"/>
      <c r="F39" s="10"/>
      <c r="G39" s="9"/>
      <c r="H39" s="9"/>
      <c r="J39" s="463" t="s">
        <v>1331</v>
      </c>
      <c r="K39" s="463" t="s">
        <v>1332</v>
      </c>
      <c r="L39" s="481">
        <v>195000</v>
      </c>
    </row>
    <row r="40" spans="1:12" ht="21.6" customHeight="1">
      <c r="A40" s="7"/>
      <c r="B40" s="7"/>
      <c r="C40" s="7"/>
      <c r="D40" s="7"/>
      <c r="E40" s="9"/>
      <c r="F40" s="10"/>
      <c r="G40" s="9"/>
      <c r="H40" s="9"/>
      <c r="J40" s="463" t="s">
        <v>1331</v>
      </c>
      <c r="K40" s="463" t="s">
        <v>1333</v>
      </c>
      <c r="L40" s="481">
        <v>50000</v>
      </c>
    </row>
    <row r="41" spans="1:12" ht="21.6" customHeight="1">
      <c r="A41" s="7"/>
      <c r="B41" s="7"/>
      <c r="C41" s="7"/>
      <c r="D41" s="7"/>
      <c r="E41" s="9"/>
      <c r="F41" s="10"/>
      <c r="G41" s="9"/>
      <c r="H41" s="9"/>
    </row>
    <row r="42" spans="1:12" ht="22.5">
      <c r="A42" s="166"/>
      <c r="B42" s="166"/>
      <c r="C42" s="166"/>
      <c r="D42" s="166"/>
      <c r="E42" s="167"/>
      <c r="F42" s="168"/>
      <c r="G42" s="167"/>
      <c r="H42" s="167">
        <f>SUM(H34:H38)</f>
        <v>4200000</v>
      </c>
    </row>
    <row r="43" spans="1:12">
      <c r="J43" s="570"/>
      <c r="K43" s="570" t="s">
        <v>964</v>
      </c>
      <c r="L43" s="571">
        <f>SUM(L32:L41)</f>
        <v>530000</v>
      </c>
    </row>
  </sheetData>
  <mergeCells count="24">
    <mergeCell ref="A16:H16"/>
    <mergeCell ref="A17:A18"/>
    <mergeCell ref="B17:B18"/>
    <mergeCell ref="C17:C18"/>
    <mergeCell ref="D17:D18"/>
    <mergeCell ref="E17:E18"/>
    <mergeCell ref="F17:F18"/>
    <mergeCell ref="G17:G18"/>
    <mergeCell ref="A2:H2"/>
    <mergeCell ref="A3:A4"/>
    <mergeCell ref="B3:B4"/>
    <mergeCell ref="C3:C4"/>
    <mergeCell ref="D3:D4"/>
    <mergeCell ref="E3:E4"/>
    <mergeCell ref="F3:F4"/>
    <mergeCell ref="G3:G4"/>
    <mergeCell ref="A31:H31"/>
    <mergeCell ref="A32:A33"/>
    <mergeCell ref="B32:B33"/>
    <mergeCell ref="C32:C33"/>
    <mergeCell ref="D32:D33"/>
    <mergeCell ref="E32:E33"/>
    <mergeCell ref="F32:F33"/>
    <mergeCell ref="G32:G33"/>
  </mergeCells>
  <hyperlinks>
    <hyperlink ref="A1" location="Name!A1" display="Name!A1" xr:uid="{62BB58F2-364E-4D14-B507-FD2099EC6996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B838-7C2C-4C1A-8AE9-0288E11AEEE2}">
  <dimension ref="A1:L56"/>
  <sheetViews>
    <sheetView topLeftCell="A7" workbookViewId="0">
      <selection activeCell="A21" sqref="A21"/>
    </sheetView>
  </sheetViews>
  <sheetFormatPr defaultRowHeight="15"/>
  <cols>
    <col min="3" max="4" width="22.5703125" customWidth="1"/>
    <col min="5" max="5" width="21.42578125" customWidth="1"/>
    <col min="6" max="6" width="9.7109375" customWidth="1"/>
    <col min="7" max="7" width="12.28515625" customWidth="1"/>
    <col min="8" max="8" width="16.7109375" customWidth="1"/>
    <col min="9" max="9" width="15.7109375" customWidth="1"/>
    <col min="10" max="10" width="14.5703125" customWidth="1"/>
  </cols>
  <sheetData>
    <row r="1" spans="1:12">
      <c r="A1" s="410" t="s">
        <v>648</v>
      </c>
    </row>
    <row r="2" spans="1:12" ht="18.75">
      <c r="A2" s="651" t="s">
        <v>1334</v>
      </c>
      <c r="B2" s="651"/>
      <c r="C2" s="651"/>
      <c r="D2" s="651"/>
      <c r="E2" s="651"/>
      <c r="F2" s="651"/>
      <c r="G2" s="651"/>
      <c r="H2" s="651"/>
      <c r="I2" s="651"/>
      <c r="J2" s="651"/>
      <c r="K2" s="51"/>
      <c r="L2" s="51"/>
    </row>
    <row r="3" spans="1:12" ht="28.5">
      <c r="A3" s="16" t="s">
        <v>818</v>
      </c>
      <c r="B3" s="17" t="s">
        <v>697</v>
      </c>
      <c r="C3" s="17" t="s">
        <v>12</v>
      </c>
      <c r="D3" s="17"/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1176</v>
      </c>
      <c r="J3" s="16" t="s">
        <v>27</v>
      </c>
      <c r="K3" s="51"/>
      <c r="L3" s="51"/>
    </row>
    <row r="4" spans="1:12" ht="18">
      <c r="A4" s="18">
        <v>1</v>
      </c>
      <c r="B4" s="18" t="s">
        <v>102</v>
      </c>
      <c r="C4" s="18" t="s">
        <v>101</v>
      </c>
      <c r="D4" s="34"/>
      <c r="E4" s="96" t="s">
        <v>703</v>
      </c>
      <c r="F4" s="20" t="s">
        <v>1335</v>
      </c>
      <c r="G4" s="21" t="s">
        <v>1336</v>
      </c>
      <c r="H4" s="21">
        <v>500000</v>
      </c>
      <c r="I4" s="21"/>
      <c r="J4" s="21"/>
      <c r="K4" s="51"/>
      <c r="L4" s="51"/>
    </row>
    <row r="5" spans="1:12" ht="18">
      <c r="A5" s="18"/>
      <c r="B5" s="18"/>
      <c r="C5" s="18" t="s">
        <v>1337</v>
      </c>
      <c r="D5" s="224"/>
      <c r="E5" s="97" t="s">
        <v>1338</v>
      </c>
      <c r="F5" s="20" t="s">
        <v>1335</v>
      </c>
      <c r="G5" s="21" t="s">
        <v>1336</v>
      </c>
      <c r="H5" s="21">
        <v>500000</v>
      </c>
      <c r="I5" s="21"/>
      <c r="J5" s="21"/>
      <c r="K5" s="51"/>
      <c r="L5" s="51"/>
    </row>
    <row r="6" spans="1:12" ht="18">
      <c r="A6" s="18"/>
      <c r="B6" s="18" t="s">
        <v>152</v>
      </c>
      <c r="C6" s="18" t="s">
        <v>381</v>
      </c>
      <c r="D6" s="224"/>
      <c r="E6" s="98" t="s">
        <v>1339</v>
      </c>
      <c r="F6" s="20" t="s">
        <v>1340</v>
      </c>
      <c r="G6" s="21" t="s">
        <v>1341</v>
      </c>
      <c r="H6" s="21">
        <v>500000</v>
      </c>
      <c r="I6" s="21"/>
      <c r="J6" s="21"/>
      <c r="K6" s="51"/>
      <c r="L6" s="51"/>
    </row>
    <row r="7" spans="1:12" ht="18">
      <c r="A7" s="18"/>
      <c r="B7" s="18"/>
      <c r="C7" s="18"/>
      <c r="D7" s="224"/>
      <c r="E7" s="98" t="s">
        <v>1342</v>
      </c>
      <c r="F7" s="20" t="s">
        <v>1343</v>
      </c>
      <c r="G7" s="21" t="s">
        <v>1344</v>
      </c>
      <c r="H7" s="21">
        <v>500000</v>
      </c>
      <c r="I7" s="21"/>
      <c r="J7" s="21"/>
      <c r="K7" s="51"/>
      <c r="L7" s="51"/>
    </row>
    <row r="8" spans="1:12" ht="18">
      <c r="A8" s="18"/>
      <c r="B8" s="18"/>
      <c r="C8" s="18"/>
      <c r="D8" s="224"/>
      <c r="E8" s="98" t="s">
        <v>1345</v>
      </c>
      <c r="F8" s="20" t="s">
        <v>1346</v>
      </c>
      <c r="G8" s="21" t="s">
        <v>1347</v>
      </c>
      <c r="H8" s="21">
        <v>500000</v>
      </c>
      <c r="I8" s="21"/>
      <c r="J8" s="21"/>
      <c r="K8" s="51"/>
      <c r="L8" s="51"/>
    </row>
    <row r="9" spans="1:12" ht="18">
      <c r="A9" s="18"/>
      <c r="B9" s="18"/>
      <c r="C9" s="18"/>
      <c r="D9" s="224"/>
      <c r="E9" s="98" t="s">
        <v>1348</v>
      </c>
      <c r="F9" s="20" t="s">
        <v>1349</v>
      </c>
      <c r="G9" s="21" t="s">
        <v>1350</v>
      </c>
      <c r="H9" s="21">
        <v>500000</v>
      </c>
      <c r="I9" s="21"/>
      <c r="J9" s="21"/>
      <c r="K9" s="51"/>
      <c r="L9" s="51"/>
    </row>
    <row r="10" spans="1:12" ht="18">
      <c r="A10" s="18"/>
      <c r="B10" s="18"/>
      <c r="C10" s="18"/>
      <c r="D10" s="224"/>
      <c r="E10" s="98" t="s">
        <v>1351</v>
      </c>
      <c r="F10" s="20" t="s">
        <v>1352</v>
      </c>
      <c r="G10" s="21" t="s">
        <v>1353</v>
      </c>
      <c r="H10" s="21">
        <v>600000</v>
      </c>
      <c r="I10" s="21"/>
      <c r="J10" s="21"/>
      <c r="K10" s="51"/>
      <c r="L10" s="51"/>
    </row>
    <row r="11" spans="1:12" ht="18">
      <c r="A11" s="18"/>
      <c r="B11" s="18"/>
      <c r="C11" s="18"/>
      <c r="D11" s="224"/>
      <c r="E11" s="98" t="s">
        <v>1354</v>
      </c>
      <c r="F11" s="20" t="s">
        <v>1355</v>
      </c>
      <c r="G11" s="21" t="s">
        <v>1356</v>
      </c>
      <c r="H11" s="21">
        <v>600000</v>
      </c>
      <c r="I11" s="21"/>
      <c r="J11" s="21"/>
      <c r="K11" s="51"/>
      <c r="L11" s="51"/>
    </row>
    <row r="12" spans="1:12" ht="18">
      <c r="A12" s="18"/>
      <c r="B12" s="18"/>
      <c r="C12" s="18"/>
      <c r="D12" s="224"/>
      <c r="E12" s="98" t="s">
        <v>1357</v>
      </c>
      <c r="F12" s="20" t="s">
        <v>1358</v>
      </c>
      <c r="G12" s="21" t="s">
        <v>908</v>
      </c>
      <c r="H12" s="21">
        <v>600000</v>
      </c>
      <c r="I12" s="21"/>
      <c r="J12" s="21"/>
      <c r="K12" s="51"/>
      <c r="L12" s="51"/>
    </row>
    <row r="13" spans="1:12" ht="18">
      <c r="A13" s="18"/>
      <c r="B13" s="18"/>
      <c r="C13" s="18"/>
      <c r="D13" s="224"/>
      <c r="E13" s="98" t="s">
        <v>1359</v>
      </c>
      <c r="F13" s="20" t="s">
        <v>1360</v>
      </c>
      <c r="G13" s="21" t="s">
        <v>1361</v>
      </c>
      <c r="H13" s="21">
        <v>1200000</v>
      </c>
      <c r="I13" s="21"/>
      <c r="J13" s="21"/>
      <c r="K13" s="51"/>
      <c r="L13" s="51"/>
    </row>
    <row r="14" spans="1:12" ht="18">
      <c r="A14" s="18"/>
      <c r="B14" s="18"/>
      <c r="C14" s="18"/>
      <c r="D14" s="224"/>
      <c r="E14" s="98" t="s">
        <v>1362</v>
      </c>
      <c r="F14" s="20" t="s">
        <v>1363</v>
      </c>
      <c r="G14" s="21" t="s">
        <v>1364</v>
      </c>
      <c r="H14" s="21">
        <v>1800000</v>
      </c>
      <c r="I14" s="21"/>
      <c r="J14" s="21"/>
      <c r="K14" s="51"/>
      <c r="L14" s="51"/>
    </row>
    <row r="15" spans="1:12" ht="18">
      <c r="A15" s="18"/>
      <c r="B15" s="18"/>
      <c r="C15" s="18"/>
      <c r="D15" s="224"/>
      <c r="E15" s="98"/>
      <c r="F15" s="20"/>
      <c r="G15" s="21"/>
      <c r="H15" s="21"/>
      <c r="I15" s="21"/>
      <c r="J15" s="21"/>
      <c r="K15" s="51"/>
      <c r="L15" s="51"/>
    </row>
    <row r="16" spans="1:12" ht="18">
      <c r="A16" s="18"/>
      <c r="B16" s="18"/>
      <c r="C16" s="18"/>
      <c r="D16" s="224"/>
      <c r="E16" s="98"/>
      <c r="F16" s="20"/>
      <c r="G16" s="21"/>
      <c r="H16" s="21"/>
      <c r="I16" s="21"/>
      <c r="J16" s="21"/>
      <c r="K16" s="51"/>
      <c r="L16" s="51"/>
    </row>
    <row r="17" spans="1:12" ht="18">
      <c r="A17" s="18"/>
      <c r="B17" s="18"/>
      <c r="C17" s="18"/>
      <c r="D17" s="18"/>
      <c r="E17" s="21"/>
      <c r="F17" s="21"/>
      <c r="G17" s="21"/>
      <c r="H17" s="50">
        <f>SUM(H4:H16)</f>
        <v>7800000</v>
      </c>
      <c r="I17" s="50"/>
      <c r="J17" s="21"/>
      <c r="K17" s="51"/>
      <c r="L17" s="51"/>
    </row>
    <row r="21" spans="1:12">
      <c r="A21" s="410" t="s">
        <v>648</v>
      </c>
    </row>
    <row r="22" spans="1:12" ht="18.75">
      <c r="A22" s="651" t="s">
        <v>613</v>
      </c>
      <c r="B22" s="651"/>
      <c r="C22" s="651"/>
      <c r="D22" s="651"/>
      <c r="E22" s="651"/>
      <c r="F22" s="651"/>
      <c r="G22" s="651"/>
      <c r="H22" s="651"/>
      <c r="I22" s="651"/>
      <c r="J22" s="651"/>
      <c r="K22" s="51"/>
    </row>
    <row r="23" spans="1:12" ht="28.5">
      <c r="A23" s="16" t="s">
        <v>818</v>
      </c>
      <c r="B23" s="17" t="s">
        <v>697</v>
      </c>
      <c r="C23" s="17" t="s">
        <v>12</v>
      </c>
      <c r="D23" s="17" t="s">
        <v>15</v>
      </c>
      <c r="E23" s="16" t="s">
        <v>699</v>
      </c>
      <c r="F23" s="16" t="s">
        <v>657</v>
      </c>
      <c r="G23" s="17" t="s">
        <v>700</v>
      </c>
      <c r="H23" s="16" t="s">
        <v>660</v>
      </c>
      <c r="I23" s="16" t="s">
        <v>1176</v>
      </c>
      <c r="J23" s="16" t="s">
        <v>27</v>
      </c>
      <c r="K23" s="51"/>
    </row>
    <row r="24" spans="1:12" ht="18">
      <c r="A24" s="18">
        <v>1</v>
      </c>
      <c r="B24" s="18" t="s">
        <v>1365</v>
      </c>
      <c r="C24" s="18" t="s">
        <v>381</v>
      </c>
      <c r="D24" s="34" t="s">
        <v>383</v>
      </c>
      <c r="E24" s="96" t="s">
        <v>661</v>
      </c>
      <c r="F24" s="20" t="s">
        <v>1366</v>
      </c>
      <c r="G24" s="21" t="s">
        <v>1367</v>
      </c>
      <c r="H24" s="21">
        <v>800000</v>
      </c>
      <c r="I24" s="21"/>
      <c r="J24" s="42" t="s">
        <v>799</v>
      </c>
      <c r="K24" s="51"/>
    </row>
    <row r="25" spans="1:12" ht="18">
      <c r="A25" s="18"/>
      <c r="B25" s="18" t="s">
        <v>152</v>
      </c>
      <c r="C25" s="18"/>
      <c r="D25" s="224"/>
      <c r="E25" s="97" t="s">
        <v>1368</v>
      </c>
      <c r="F25" s="20" t="s">
        <v>1366</v>
      </c>
      <c r="G25" s="21" t="s">
        <v>1367</v>
      </c>
      <c r="H25" s="21">
        <v>800000</v>
      </c>
      <c r="I25" s="21"/>
      <c r="J25" s="42" t="s">
        <v>799</v>
      </c>
      <c r="K25" s="51"/>
    </row>
    <row r="26" spans="1:12" ht="18">
      <c r="A26" s="18"/>
      <c r="B26" s="18"/>
      <c r="C26" s="18"/>
      <c r="D26" s="224"/>
      <c r="E26" s="98" t="s">
        <v>1369</v>
      </c>
      <c r="F26" s="20" t="s">
        <v>1370</v>
      </c>
      <c r="G26" s="21" t="s">
        <v>1113</v>
      </c>
      <c r="H26" s="21">
        <v>4000000</v>
      </c>
      <c r="I26" s="21"/>
      <c r="J26" s="42" t="s">
        <v>799</v>
      </c>
      <c r="K26" s="51"/>
    </row>
    <row r="27" spans="1:12" ht="18">
      <c r="A27" s="18"/>
      <c r="B27" s="18"/>
      <c r="C27" s="18"/>
      <c r="D27" s="224"/>
      <c r="E27" s="98" t="s">
        <v>1076</v>
      </c>
      <c r="F27" s="20"/>
      <c r="G27" s="21" t="s">
        <v>1113</v>
      </c>
      <c r="H27" s="21">
        <v>-674000</v>
      </c>
      <c r="I27" s="21"/>
      <c r="J27" s="21"/>
      <c r="K27" s="51"/>
    </row>
    <row r="28" spans="1:12" ht="18">
      <c r="A28" s="18"/>
      <c r="B28" s="18"/>
      <c r="C28" s="18"/>
      <c r="D28" s="224"/>
      <c r="E28" s="98"/>
      <c r="F28" s="20"/>
      <c r="G28" s="21"/>
      <c r="H28" s="21"/>
      <c r="I28" s="21"/>
      <c r="J28" s="21" t="s">
        <v>1371</v>
      </c>
      <c r="K28" s="51"/>
    </row>
    <row r="29" spans="1:12" ht="18">
      <c r="A29" s="18"/>
      <c r="B29" s="18"/>
      <c r="C29" s="18"/>
      <c r="D29" s="224"/>
      <c r="E29" s="98"/>
      <c r="F29" s="20"/>
      <c r="G29" s="21"/>
      <c r="H29" s="21"/>
      <c r="I29" s="21"/>
      <c r="J29" s="21"/>
      <c r="K29" s="51"/>
    </row>
    <row r="30" spans="1:12" ht="18">
      <c r="A30" s="18"/>
      <c r="B30" s="18"/>
      <c r="C30" s="18"/>
      <c r="D30" s="224"/>
      <c r="E30" s="98"/>
      <c r="F30" s="20"/>
      <c r="G30" s="21"/>
      <c r="H30" s="21"/>
      <c r="I30" s="21"/>
      <c r="J30" s="21"/>
      <c r="K30" s="51"/>
    </row>
    <row r="31" spans="1:12" ht="18">
      <c r="A31" s="18"/>
      <c r="B31" s="18"/>
      <c r="C31" s="18"/>
      <c r="D31" s="224"/>
      <c r="E31" s="98"/>
      <c r="F31" s="20"/>
      <c r="G31" s="21"/>
      <c r="H31" s="21"/>
      <c r="I31" s="21"/>
      <c r="J31" s="21"/>
      <c r="K31" s="51"/>
    </row>
    <row r="32" spans="1:12" ht="18">
      <c r="A32" s="18"/>
      <c r="B32" s="18"/>
      <c r="C32" s="18"/>
      <c r="D32" s="224"/>
      <c r="E32" s="98"/>
      <c r="F32" s="20"/>
      <c r="G32" s="21"/>
      <c r="H32" s="21"/>
      <c r="I32" s="21"/>
      <c r="J32" s="21"/>
      <c r="K32" s="51"/>
    </row>
    <row r="33" spans="1:11" ht="18">
      <c r="A33" s="18"/>
      <c r="B33" s="18"/>
      <c r="C33" s="18"/>
      <c r="D33" s="224"/>
      <c r="E33" s="98"/>
      <c r="F33" s="20"/>
      <c r="G33" s="21"/>
      <c r="H33" s="21"/>
      <c r="I33" s="21"/>
      <c r="J33" s="21"/>
      <c r="K33" s="51"/>
    </row>
    <row r="34" spans="1:11" ht="18">
      <c r="A34" s="18"/>
      <c r="B34" s="18"/>
      <c r="C34" s="18"/>
      <c r="D34" s="224"/>
      <c r="E34" s="98"/>
      <c r="F34" s="20"/>
      <c r="G34" s="21"/>
      <c r="H34" s="21"/>
      <c r="I34" s="21"/>
      <c r="J34" s="21"/>
      <c r="K34" s="51"/>
    </row>
    <row r="35" spans="1:11" ht="18">
      <c r="A35" s="18"/>
      <c r="B35" s="18"/>
      <c r="C35" s="18"/>
      <c r="D35" s="224"/>
      <c r="E35" s="98"/>
      <c r="F35" s="20"/>
      <c r="G35" s="21"/>
      <c r="H35" s="21"/>
      <c r="I35" s="21"/>
      <c r="J35" s="21"/>
      <c r="K35" s="51"/>
    </row>
    <row r="36" spans="1:11" ht="18">
      <c r="A36" s="18"/>
      <c r="B36" s="18"/>
      <c r="C36" s="18"/>
      <c r="D36" s="224"/>
      <c r="E36" s="98"/>
      <c r="F36" s="20"/>
      <c r="G36" s="21"/>
      <c r="H36" s="21"/>
      <c r="I36" s="21"/>
      <c r="J36" s="21"/>
      <c r="K36" s="51"/>
    </row>
    <row r="37" spans="1:11" ht="18">
      <c r="A37" s="18"/>
      <c r="B37" s="18"/>
      <c r="C37" s="18"/>
      <c r="D37" s="18"/>
      <c r="E37" s="21"/>
      <c r="F37" s="21"/>
      <c r="G37" s="21"/>
      <c r="H37" s="50">
        <f>SUM(H24:H36)</f>
        <v>4926000</v>
      </c>
      <c r="I37" s="50"/>
      <c r="J37" s="21"/>
      <c r="K37" s="51"/>
    </row>
    <row r="41" spans="1:11" ht="18.75">
      <c r="A41" s="651" t="s">
        <v>382</v>
      </c>
      <c r="B41" s="651"/>
      <c r="C41" s="651"/>
      <c r="D41" s="651"/>
      <c r="E41" s="651"/>
      <c r="F41" s="651"/>
      <c r="G41" s="651"/>
      <c r="H41" s="651"/>
      <c r="I41" s="651"/>
      <c r="J41" s="651"/>
    </row>
    <row r="42" spans="1:11" ht="28.5">
      <c r="A42" s="16" t="s">
        <v>818</v>
      </c>
      <c r="B42" s="17" t="s">
        <v>697</v>
      </c>
      <c r="C42" s="17" t="s">
        <v>12</v>
      </c>
      <c r="D42" s="17" t="s">
        <v>15</v>
      </c>
      <c r="E42" s="16" t="s">
        <v>699</v>
      </c>
      <c r="F42" s="16" t="s">
        <v>657</v>
      </c>
      <c r="G42" s="17" t="s">
        <v>700</v>
      </c>
      <c r="H42" s="16" t="s">
        <v>660</v>
      </c>
      <c r="I42" s="16" t="s">
        <v>1176</v>
      </c>
      <c r="J42" s="16" t="s">
        <v>27</v>
      </c>
    </row>
    <row r="43" spans="1:11">
      <c r="A43" s="18">
        <v>1</v>
      </c>
      <c r="B43" s="18" t="s">
        <v>1365</v>
      </c>
      <c r="C43" s="18" t="s">
        <v>381</v>
      </c>
      <c r="D43" s="34" t="s">
        <v>383</v>
      </c>
      <c r="E43" s="96" t="s">
        <v>661</v>
      </c>
      <c r="F43" s="20" t="s">
        <v>1372</v>
      </c>
      <c r="G43" s="21" t="s">
        <v>803</v>
      </c>
      <c r="H43" s="21">
        <v>800000</v>
      </c>
      <c r="I43" s="21"/>
      <c r="J43" s="21" t="s">
        <v>664</v>
      </c>
    </row>
    <row r="44" spans="1:11">
      <c r="A44" s="18"/>
      <c r="B44" s="18" t="s">
        <v>152</v>
      </c>
      <c r="C44" s="18"/>
      <c r="D44" s="224"/>
      <c r="E44" s="97" t="s">
        <v>385</v>
      </c>
      <c r="F44" s="20" t="s">
        <v>1372</v>
      </c>
      <c r="G44" s="21" t="s">
        <v>803</v>
      </c>
      <c r="H44" s="21">
        <v>2400000</v>
      </c>
      <c r="I44" s="21"/>
      <c r="J44" s="21" t="s">
        <v>664</v>
      </c>
    </row>
    <row r="45" spans="1:11">
      <c r="A45" s="18"/>
      <c r="B45" s="18"/>
      <c r="C45" s="18"/>
      <c r="D45" s="224"/>
      <c r="E45" s="98"/>
      <c r="F45" s="20"/>
      <c r="G45" s="21"/>
      <c r="H45" s="21"/>
      <c r="I45" s="21"/>
      <c r="J45" s="42"/>
    </row>
    <row r="46" spans="1:11">
      <c r="A46" s="18"/>
      <c r="B46" s="18"/>
      <c r="C46" s="18"/>
      <c r="D46" s="224"/>
      <c r="E46" s="98"/>
      <c r="F46" s="20"/>
      <c r="G46" s="21"/>
      <c r="H46" s="21"/>
      <c r="I46" s="21"/>
      <c r="J46" s="21"/>
    </row>
    <row r="47" spans="1:11">
      <c r="A47" s="18"/>
      <c r="B47" s="18"/>
      <c r="C47" s="18"/>
      <c r="D47" s="224"/>
      <c r="E47" s="98"/>
      <c r="F47" s="20"/>
      <c r="G47" s="21"/>
      <c r="H47" s="21"/>
      <c r="I47" s="21"/>
      <c r="J47" s="21"/>
    </row>
    <row r="48" spans="1:11">
      <c r="A48" s="18"/>
      <c r="B48" s="18"/>
      <c r="C48" s="18"/>
      <c r="D48" s="224"/>
      <c r="E48" s="98"/>
      <c r="F48" s="20"/>
      <c r="G48" s="21"/>
      <c r="H48" s="21"/>
      <c r="I48" s="21"/>
      <c r="J48" s="21"/>
    </row>
    <row r="49" spans="1:10">
      <c r="A49" s="18"/>
      <c r="B49" s="18"/>
      <c r="C49" s="18"/>
      <c r="D49" s="224"/>
      <c r="E49" s="98"/>
      <c r="F49" s="20"/>
      <c r="G49" s="21"/>
      <c r="H49" s="21"/>
      <c r="I49" s="21"/>
      <c r="J49" s="21"/>
    </row>
    <row r="50" spans="1:10">
      <c r="A50" s="18"/>
      <c r="B50" s="18"/>
      <c r="C50" s="18"/>
      <c r="D50" s="224"/>
      <c r="E50" s="98"/>
      <c r="F50" s="20"/>
      <c r="G50" s="21"/>
      <c r="H50" s="21"/>
      <c r="I50" s="21"/>
      <c r="J50" s="21"/>
    </row>
    <row r="51" spans="1:10">
      <c r="A51" s="18"/>
      <c r="B51" s="18"/>
      <c r="C51" s="18"/>
      <c r="D51" s="224"/>
      <c r="E51" s="98"/>
      <c r="F51" s="20"/>
      <c r="G51" s="21"/>
      <c r="H51" s="21"/>
      <c r="I51" s="21"/>
      <c r="J51" s="21"/>
    </row>
    <row r="52" spans="1:10">
      <c r="A52" s="18"/>
      <c r="B52" s="18"/>
      <c r="C52" s="18"/>
      <c r="D52" s="224"/>
      <c r="E52" s="98"/>
      <c r="F52" s="20"/>
      <c r="G52" s="21"/>
      <c r="H52" s="21"/>
      <c r="I52" s="21"/>
      <c r="J52" s="21"/>
    </row>
    <row r="53" spans="1:10">
      <c r="A53" s="18"/>
      <c r="B53" s="18"/>
      <c r="C53" s="18"/>
      <c r="D53" s="224"/>
      <c r="E53" s="98"/>
      <c r="F53" s="20"/>
      <c r="G53" s="21"/>
      <c r="H53" s="21"/>
      <c r="I53" s="21"/>
      <c r="J53" s="21"/>
    </row>
    <row r="54" spans="1:10">
      <c r="A54" s="18"/>
      <c r="B54" s="18"/>
      <c r="C54" s="18"/>
      <c r="D54" s="224"/>
      <c r="E54" s="98"/>
      <c r="F54" s="20"/>
      <c r="G54" s="21"/>
      <c r="H54" s="21"/>
      <c r="I54" s="21"/>
      <c r="J54" s="21"/>
    </row>
    <row r="55" spans="1:10">
      <c r="A55" s="18"/>
      <c r="B55" s="18"/>
      <c r="C55" s="18"/>
      <c r="D55" s="224"/>
      <c r="E55" s="98"/>
      <c r="F55" s="20"/>
      <c r="G55" s="21"/>
      <c r="H55" s="21"/>
      <c r="I55" s="21"/>
      <c r="J55" s="21"/>
    </row>
    <row r="56" spans="1:10">
      <c r="A56" s="99"/>
      <c r="B56" s="99"/>
      <c r="C56" s="99"/>
      <c r="D56" s="99"/>
      <c r="E56" s="102"/>
      <c r="F56" s="102"/>
      <c r="G56" s="102"/>
      <c r="H56" s="406">
        <f>SUM(H43:H55)</f>
        <v>3200000</v>
      </c>
      <c r="I56" s="406"/>
      <c r="J56" s="102"/>
    </row>
  </sheetData>
  <mergeCells count="3">
    <mergeCell ref="A2:J2"/>
    <mergeCell ref="A22:J22"/>
    <mergeCell ref="A41:J41"/>
  </mergeCells>
  <hyperlinks>
    <hyperlink ref="A1" location="Name!A1" display="Name!A1" xr:uid="{B184E09A-FB01-402D-9A6C-C5314BDC5392}"/>
    <hyperlink ref="A21" location="Name!A1" display="Name!A1" xr:uid="{4CBF745D-47D1-40D7-8C7D-DB4EA264A03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98D3-A29C-4109-962B-AA0F23D8944A}">
  <dimension ref="A1:H13"/>
  <sheetViews>
    <sheetView workbookViewId="0"/>
  </sheetViews>
  <sheetFormatPr defaultRowHeight="15"/>
  <cols>
    <col min="2" max="2" width="17" customWidth="1"/>
    <col min="3" max="3" width="22.42578125" customWidth="1"/>
    <col min="5" max="5" width="23" bestFit="1" customWidth="1"/>
    <col min="8" max="8" width="12.140625" bestFit="1" customWidth="1"/>
  </cols>
  <sheetData>
    <row r="1" spans="1:8">
      <c r="A1" s="410" t="s">
        <v>648</v>
      </c>
    </row>
    <row r="2" spans="1:8" ht="21.75">
      <c r="A2" s="644" t="s">
        <v>1373</v>
      </c>
      <c r="B2" s="644"/>
      <c r="C2" s="644"/>
      <c r="D2" s="644"/>
      <c r="E2" s="644"/>
      <c r="F2" s="644"/>
      <c r="G2" s="644"/>
      <c r="H2" s="644"/>
    </row>
    <row r="3" spans="1:8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8" ht="21.75">
      <c r="A4" s="646"/>
      <c r="B4" s="646"/>
      <c r="C4" s="646"/>
      <c r="D4" s="646"/>
      <c r="E4" s="648"/>
      <c r="F4" s="646"/>
      <c r="G4" s="646"/>
      <c r="H4" s="6" t="s">
        <v>660</v>
      </c>
    </row>
    <row r="5" spans="1:8" ht="21.75">
      <c r="A5" s="7">
        <v>1</v>
      </c>
      <c r="B5" s="7" t="s">
        <v>1374</v>
      </c>
      <c r="C5" s="7" t="s">
        <v>1375</v>
      </c>
      <c r="D5" s="7" t="s">
        <v>1376</v>
      </c>
      <c r="E5" s="9" t="s">
        <v>661</v>
      </c>
      <c r="F5" s="10" t="s">
        <v>1377</v>
      </c>
      <c r="G5" s="9" t="s">
        <v>1378</v>
      </c>
      <c r="H5" s="9">
        <v>1300000</v>
      </c>
    </row>
    <row r="6" spans="1:8" ht="21.75">
      <c r="A6" s="7"/>
      <c r="B6" s="7"/>
      <c r="C6" s="7" t="s">
        <v>679</v>
      </c>
      <c r="D6" s="7"/>
      <c r="E6" s="9" t="s">
        <v>1379</v>
      </c>
      <c r="F6" s="10" t="s">
        <v>1377</v>
      </c>
      <c r="G6" s="9" t="s">
        <v>1378</v>
      </c>
      <c r="H6" s="9">
        <v>1300000</v>
      </c>
    </row>
    <row r="7" spans="1:8" ht="21.75">
      <c r="A7" s="7"/>
      <c r="B7" s="7"/>
      <c r="C7" s="7"/>
      <c r="D7" s="7"/>
      <c r="E7" s="9" t="s">
        <v>1380</v>
      </c>
      <c r="F7" s="10" t="s">
        <v>1377</v>
      </c>
      <c r="G7" s="9" t="s">
        <v>1378</v>
      </c>
      <c r="H7" s="9">
        <v>1300000</v>
      </c>
    </row>
    <row r="8" spans="1:8" ht="21.75">
      <c r="A8" s="7"/>
      <c r="B8" s="7"/>
      <c r="C8" s="7"/>
      <c r="D8" s="7"/>
      <c r="E8" s="9"/>
      <c r="F8" s="10"/>
      <c r="G8" s="9"/>
      <c r="H8" s="9"/>
    </row>
    <row r="9" spans="1:8" ht="21.75">
      <c r="A9" s="7"/>
      <c r="B9" s="7"/>
      <c r="C9" s="7"/>
      <c r="D9" s="7"/>
      <c r="E9" s="9"/>
      <c r="F9" s="10"/>
      <c r="G9" s="9"/>
      <c r="H9" s="9"/>
    </row>
    <row r="10" spans="1:8" ht="21.75">
      <c r="A10" s="7"/>
      <c r="B10" s="7"/>
      <c r="C10" s="7"/>
      <c r="D10" s="7"/>
      <c r="E10" s="9"/>
      <c r="F10" s="10"/>
      <c r="G10" s="9"/>
      <c r="H10" s="9"/>
    </row>
    <row r="11" spans="1:8" ht="21.75">
      <c r="A11" s="7"/>
      <c r="B11" s="7"/>
      <c r="C11" s="7"/>
      <c r="D11" s="7"/>
      <c r="E11" s="9"/>
      <c r="F11" s="10"/>
      <c r="G11" s="9"/>
      <c r="H11" s="9"/>
    </row>
    <row r="12" spans="1:8" ht="21.75">
      <c r="A12" s="7"/>
      <c r="B12" s="7"/>
      <c r="C12" s="7"/>
      <c r="D12" s="7"/>
      <c r="E12" s="9"/>
      <c r="F12" s="10"/>
      <c r="G12" s="9"/>
      <c r="H12" s="9"/>
    </row>
    <row r="13" spans="1:8" ht="21.75">
      <c r="A13" s="166"/>
      <c r="B13" s="166"/>
      <c r="C13" s="166"/>
      <c r="D13" s="166"/>
      <c r="E13" s="167"/>
      <c r="F13" s="168"/>
      <c r="G13" s="167"/>
      <c r="H13" s="167">
        <f>SUM(H5:H9)</f>
        <v>3900000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651285A7-8555-49A9-ADF4-9ED20D115B9F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D13E-F9B8-4603-A371-F9AB59355DAA}">
  <dimension ref="A1:I13"/>
  <sheetViews>
    <sheetView workbookViewId="0"/>
  </sheetViews>
  <sheetFormatPr defaultRowHeight="15"/>
  <cols>
    <col min="3" max="3" width="17" customWidth="1"/>
    <col min="4" max="4" width="14.5703125" customWidth="1"/>
    <col min="5" max="5" width="24.140625" customWidth="1"/>
    <col min="7" max="7" width="12.7109375" customWidth="1"/>
    <col min="8" max="8" width="18.7109375" customWidth="1"/>
    <col min="9" max="9" width="29.28515625" customWidth="1"/>
  </cols>
  <sheetData>
    <row r="1" spans="1:9">
      <c r="A1" s="410" t="s">
        <v>648</v>
      </c>
    </row>
    <row r="2" spans="1:9" ht="21.75">
      <c r="A2" s="644" t="s">
        <v>1381</v>
      </c>
      <c r="B2" s="644"/>
      <c r="C2" s="644"/>
      <c r="D2" s="644"/>
      <c r="E2" s="644"/>
      <c r="F2" s="644"/>
      <c r="G2" s="644"/>
      <c r="H2" s="644"/>
    </row>
    <row r="3" spans="1:9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9" ht="21.75">
      <c r="A4" s="646"/>
      <c r="B4" s="646"/>
      <c r="C4" s="646"/>
      <c r="D4" s="646"/>
      <c r="E4" s="648"/>
      <c r="F4" s="646"/>
      <c r="G4" s="646"/>
      <c r="H4" s="6" t="s">
        <v>660</v>
      </c>
    </row>
    <row r="5" spans="1:9" ht="21.75">
      <c r="A5" s="7">
        <v>1</v>
      </c>
      <c r="B5" s="7" t="s">
        <v>152</v>
      </c>
      <c r="C5" s="7" t="s">
        <v>474</v>
      </c>
      <c r="D5" s="7" t="s">
        <v>0</v>
      </c>
      <c r="E5" s="9" t="s">
        <v>1382</v>
      </c>
      <c r="F5" s="10" t="s">
        <v>1383</v>
      </c>
      <c r="G5" s="9" t="s">
        <v>1384</v>
      </c>
      <c r="H5" s="9">
        <v>600000</v>
      </c>
    </row>
    <row r="6" spans="1:9" ht="21.75">
      <c r="A6" s="7"/>
      <c r="B6" s="7"/>
      <c r="C6" s="7" t="s">
        <v>679</v>
      </c>
      <c r="D6" s="7"/>
      <c r="E6" s="9" t="s">
        <v>1385</v>
      </c>
      <c r="F6" s="10" t="s">
        <v>1386</v>
      </c>
      <c r="G6" s="9" t="s">
        <v>1384</v>
      </c>
      <c r="H6" s="9">
        <v>600000</v>
      </c>
    </row>
    <row r="7" spans="1:9" ht="21.75">
      <c r="A7" s="7"/>
      <c r="B7" s="7"/>
      <c r="C7" s="7"/>
      <c r="D7" s="7"/>
      <c r="E7" s="9" t="s">
        <v>1387</v>
      </c>
      <c r="F7" s="10" t="s">
        <v>1388</v>
      </c>
      <c r="G7" s="9" t="s">
        <v>1389</v>
      </c>
      <c r="H7" s="9">
        <v>600000</v>
      </c>
      <c r="I7" s="146" t="s">
        <v>1390</v>
      </c>
    </row>
    <row r="8" spans="1:9" ht="21.75">
      <c r="A8" s="7"/>
      <c r="B8" s="7"/>
      <c r="C8" s="7"/>
      <c r="D8" s="7"/>
      <c r="E8" s="9" t="s">
        <v>1391</v>
      </c>
      <c r="F8" s="10" t="s">
        <v>1388</v>
      </c>
      <c r="G8" s="9" t="s">
        <v>1389</v>
      </c>
      <c r="H8" s="9">
        <v>3200000</v>
      </c>
      <c r="I8" s="146" t="s">
        <v>1390</v>
      </c>
    </row>
    <row r="9" spans="1:9" ht="21.75">
      <c r="A9" s="7"/>
      <c r="B9" s="7"/>
      <c r="C9" s="7"/>
      <c r="D9" s="7"/>
      <c r="E9" s="9"/>
      <c r="F9" s="10"/>
      <c r="G9" s="9"/>
      <c r="H9" s="9"/>
    </row>
    <row r="10" spans="1:9" ht="21.75">
      <c r="A10" s="7"/>
      <c r="B10" s="7"/>
      <c r="C10" s="7"/>
      <c r="D10" s="7"/>
      <c r="E10" s="9"/>
      <c r="F10" s="10"/>
      <c r="G10" s="9"/>
      <c r="H10" s="9"/>
    </row>
    <row r="11" spans="1:9" ht="21.75">
      <c r="A11" s="7"/>
      <c r="B11" s="7"/>
      <c r="C11" s="7"/>
      <c r="D11" s="7"/>
      <c r="E11" s="9"/>
      <c r="F11" s="10"/>
      <c r="G11" s="9"/>
      <c r="H11" s="9"/>
    </row>
    <row r="12" spans="1:9" ht="21.75">
      <c r="A12" s="7"/>
      <c r="B12" s="7"/>
      <c r="C12" s="7"/>
      <c r="D12" s="7"/>
      <c r="E12" s="9"/>
      <c r="F12" s="10"/>
      <c r="G12" s="9"/>
      <c r="H12" s="9"/>
    </row>
    <row r="13" spans="1:9" ht="21.75">
      <c r="A13" s="166"/>
      <c r="B13" s="166"/>
      <c r="C13" s="166"/>
      <c r="D13" s="166"/>
      <c r="E13" s="167"/>
      <c r="F13" s="168"/>
      <c r="G13" s="167"/>
      <c r="H13" s="167">
        <f>SUM(H5:H9)</f>
        <v>5000000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CA9AEC7A-9601-4483-A6C4-2AF31C0E30B3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E0B0-20FD-4E2C-B4DC-B221A796582A}">
  <dimension ref="A1:O52"/>
  <sheetViews>
    <sheetView workbookViewId="0"/>
  </sheetViews>
  <sheetFormatPr defaultColWidth="9.140625" defaultRowHeight="18"/>
  <cols>
    <col min="1" max="1" width="11.28515625" style="51" customWidth="1"/>
    <col min="2" max="4" width="15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21.5703125" style="51" customWidth="1"/>
    <col min="10" max="10" width="5" style="114" customWidth="1"/>
    <col min="11" max="11" width="6" style="51" customWidth="1"/>
    <col min="12" max="12" width="13.7109375" style="51" customWidth="1"/>
    <col min="13" max="13" width="52.85546875" style="51" customWidth="1"/>
    <col min="14" max="14" width="25.28515625" style="104" customWidth="1"/>
    <col min="15" max="15" width="17.140625" style="51" customWidth="1"/>
    <col min="16" max="16384" width="9.140625" style="51"/>
  </cols>
  <sheetData>
    <row r="1" spans="1:15">
      <c r="A1" s="411" t="s">
        <v>648</v>
      </c>
    </row>
    <row r="2" spans="1:15" ht="21.75">
      <c r="A2" s="651" t="s">
        <v>1392</v>
      </c>
      <c r="B2" s="651"/>
      <c r="C2" s="651"/>
      <c r="D2" s="651"/>
      <c r="E2" s="651"/>
      <c r="F2" s="651"/>
      <c r="G2" s="651"/>
      <c r="H2" s="651"/>
      <c r="I2" s="651"/>
      <c r="J2" s="121"/>
      <c r="K2" s="644" t="s">
        <v>973</v>
      </c>
      <c r="L2" s="644"/>
      <c r="M2" s="644"/>
      <c r="N2" s="644"/>
      <c r="O2" s="644"/>
    </row>
    <row r="3" spans="1:15" ht="28.5">
      <c r="A3" s="16" t="s">
        <v>11</v>
      </c>
      <c r="B3" s="17" t="s">
        <v>697</v>
      </c>
      <c r="C3" s="17" t="s">
        <v>1393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  <c r="J3" s="121"/>
      <c r="K3" s="654" t="s">
        <v>653</v>
      </c>
      <c r="L3" s="659" t="s">
        <v>974</v>
      </c>
      <c r="M3" s="661" t="s">
        <v>975</v>
      </c>
      <c r="N3" s="662" t="s">
        <v>976</v>
      </c>
      <c r="O3" s="664" t="s">
        <v>977</v>
      </c>
    </row>
    <row r="4" spans="1:15" ht="21.75">
      <c r="A4" s="18">
        <v>1</v>
      </c>
      <c r="B4" s="18" t="s">
        <v>152</v>
      </c>
      <c r="C4" s="18" t="s">
        <v>555</v>
      </c>
      <c r="D4" s="18" t="s">
        <v>1394</v>
      </c>
      <c r="E4" s="34" t="s">
        <v>703</v>
      </c>
      <c r="F4" s="20" t="s">
        <v>1395</v>
      </c>
      <c r="G4" s="18" t="s">
        <v>1396</v>
      </c>
      <c r="H4" s="21">
        <v>500000</v>
      </c>
      <c r="I4" s="21"/>
      <c r="J4" s="121"/>
      <c r="K4" s="655"/>
      <c r="L4" s="660"/>
      <c r="M4" s="660"/>
      <c r="N4" s="663"/>
      <c r="O4" s="665"/>
    </row>
    <row r="5" spans="1:15" ht="21.75">
      <c r="A5" s="18">
        <v>2</v>
      </c>
      <c r="B5" s="18"/>
      <c r="C5" s="18"/>
      <c r="D5" s="18"/>
      <c r="E5" s="318" t="s">
        <v>1397</v>
      </c>
      <c r="F5" s="20" t="s">
        <v>1398</v>
      </c>
      <c r="G5" s="18" t="s">
        <v>1396</v>
      </c>
      <c r="H5" s="21">
        <v>500000</v>
      </c>
      <c r="I5" s="21"/>
      <c r="J5" s="121"/>
      <c r="K5" s="122">
        <v>1</v>
      </c>
      <c r="L5" s="123"/>
      <c r="M5" s="124" t="s">
        <v>1399</v>
      </c>
      <c r="N5" s="125">
        <v>81000</v>
      </c>
      <c r="O5" s="126"/>
    </row>
    <row r="6" spans="1:15" ht="21.75">
      <c r="A6" s="18">
        <v>3</v>
      </c>
      <c r="B6" s="18"/>
      <c r="C6" s="18"/>
      <c r="D6" s="18"/>
      <c r="E6" s="610" t="s">
        <v>1400</v>
      </c>
      <c r="F6" s="20" t="s">
        <v>1401</v>
      </c>
      <c r="G6" s="18" t="s">
        <v>1396</v>
      </c>
      <c r="H6" s="21">
        <v>500000</v>
      </c>
      <c r="I6" s="21"/>
      <c r="J6" s="121"/>
      <c r="K6" s="122"/>
      <c r="L6" s="123"/>
      <c r="M6" s="127"/>
      <c r="N6" s="125"/>
      <c r="O6" s="126"/>
    </row>
    <row r="7" spans="1:15" ht="21.75">
      <c r="A7" s="18">
        <v>4</v>
      </c>
      <c r="B7" s="18"/>
      <c r="C7" s="18"/>
      <c r="D7" s="18"/>
      <c r="E7" s="610" t="s">
        <v>1402</v>
      </c>
      <c r="F7" s="20" t="s">
        <v>1403</v>
      </c>
      <c r="G7" s="18" t="s">
        <v>1404</v>
      </c>
      <c r="H7" s="21">
        <v>500000</v>
      </c>
      <c r="I7" s="21"/>
      <c r="J7" s="121"/>
      <c r="K7" s="122"/>
      <c r="L7" s="123"/>
      <c r="M7" s="127"/>
      <c r="N7" s="125"/>
      <c r="O7" s="126"/>
    </row>
    <row r="8" spans="1:15" ht="21.75">
      <c r="A8" s="18">
        <v>5</v>
      </c>
      <c r="B8" s="18"/>
      <c r="C8" s="18"/>
      <c r="D8" s="18"/>
      <c r="E8" s="610" t="s">
        <v>1405</v>
      </c>
      <c r="F8" s="20" t="s">
        <v>1406</v>
      </c>
      <c r="G8" s="18" t="s">
        <v>1404</v>
      </c>
      <c r="H8" s="21">
        <v>500000</v>
      </c>
      <c r="I8" s="21"/>
      <c r="J8" s="121"/>
      <c r="K8" s="122"/>
      <c r="L8" s="123"/>
      <c r="M8" s="123"/>
      <c r="N8" s="125"/>
      <c r="O8" s="126"/>
    </row>
    <row r="9" spans="1:15" ht="21.75">
      <c r="A9" s="18">
        <v>6</v>
      </c>
      <c r="B9" s="18"/>
      <c r="C9" s="18"/>
      <c r="D9" s="18"/>
      <c r="E9" s="610" t="s">
        <v>1407</v>
      </c>
      <c r="F9" s="20" t="s">
        <v>1408</v>
      </c>
      <c r="G9" s="18" t="s">
        <v>1227</v>
      </c>
      <c r="H9" s="21">
        <v>1000000</v>
      </c>
      <c r="I9" s="21"/>
      <c r="J9" s="121"/>
      <c r="K9" s="122"/>
      <c r="L9" s="123"/>
      <c r="M9" s="123"/>
      <c r="N9" s="125"/>
      <c r="O9" s="126"/>
    </row>
    <row r="10" spans="1:15" ht="21.75">
      <c r="A10" s="18">
        <v>7</v>
      </c>
      <c r="B10" s="18"/>
      <c r="C10" s="18"/>
      <c r="D10" s="18"/>
      <c r="E10" s="610" t="s">
        <v>1409</v>
      </c>
      <c r="F10" s="20" t="s">
        <v>1410</v>
      </c>
      <c r="G10" s="18" t="s">
        <v>1411</v>
      </c>
      <c r="H10" s="21">
        <v>1000000</v>
      </c>
      <c r="I10" s="21" t="s">
        <v>1412</v>
      </c>
      <c r="J10" s="121"/>
      <c r="K10" s="122"/>
      <c r="L10" s="123"/>
      <c r="M10" s="123"/>
      <c r="N10" s="125"/>
      <c r="O10" s="126"/>
    </row>
    <row r="11" spans="1:15" ht="21.75">
      <c r="A11" s="18">
        <v>8</v>
      </c>
      <c r="B11" s="18"/>
      <c r="C11" s="18"/>
      <c r="D11" s="18"/>
      <c r="E11" s="610" t="s">
        <v>1413</v>
      </c>
      <c r="F11" s="20" t="s">
        <v>1414</v>
      </c>
      <c r="G11" s="18" t="s">
        <v>1415</v>
      </c>
      <c r="H11" s="21">
        <v>1000000</v>
      </c>
      <c r="I11" s="21" t="s">
        <v>1416</v>
      </c>
      <c r="J11" s="121"/>
      <c r="K11" s="122"/>
      <c r="L11" s="123"/>
      <c r="M11" s="123"/>
      <c r="N11" s="125"/>
      <c r="O11" s="126"/>
    </row>
    <row r="12" spans="1:15" ht="21.75">
      <c r="A12" s="18">
        <v>9</v>
      </c>
      <c r="B12" s="18"/>
      <c r="C12" s="18"/>
      <c r="D12" s="18"/>
      <c r="E12" s="610" t="s">
        <v>1417</v>
      </c>
      <c r="F12" s="20" t="s">
        <v>1418</v>
      </c>
      <c r="G12" s="18" t="s">
        <v>1419</v>
      </c>
      <c r="H12" s="21">
        <v>1000000</v>
      </c>
      <c r="I12" s="21" t="s">
        <v>1420</v>
      </c>
      <c r="J12" s="121"/>
      <c r="K12" s="122"/>
      <c r="L12" s="123"/>
      <c r="M12" s="123"/>
      <c r="N12" s="125"/>
      <c r="O12" s="126"/>
    </row>
    <row r="13" spans="1:15" ht="21.75">
      <c r="A13" s="18">
        <v>10</v>
      </c>
      <c r="B13" s="18"/>
      <c r="C13" s="18"/>
      <c r="D13" s="18"/>
      <c r="E13" s="610" t="s">
        <v>1421</v>
      </c>
      <c r="F13" s="20" t="s">
        <v>1422</v>
      </c>
      <c r="G13" s="18" t="s">
        <v>1423</v>
      </c>
      <c r="H13" s="21">
        <v>1750000</v>
      </c>
      <c r="I13" s="21" t="s">
        <v>1424</v>
      </c>
      <c r="J13" s="121"/>
      <c r="K13" s="122"/>
      <c r="L13" s="123"/>
      <c r="M13" s="123"/>
      <c r="N13" s="125"/>
      <c r="O13" s="126"/>
    </row>
    <row r="14" spans="1:15" ht="21.75">
      <c r="A14" s="18">
        <v>11</v>
      </c>
      <c r="B14" s="18"/>
      <c r="C14" s="18"/>
      <c r="D14" s="18"/>
      <c r="E14" s="610" t="s">
        <v>1425</v>
      </c>
      <c r="F14" s="20" t="s">
        <v>1426</v>
      </c>
      <c r="G14" s="18" t="s">
        <v>1427</v>
      </c>
      <c r="H14" s="21">
        <v>2000000</v>
      </c>
      <c r="I14" s="21" t="s">
        <v>1428</v>
      </c>
      <c r="J14" s="121"/>
      <c r="K14" s="122"/>
      <c r="L14" s="123"/>
      <c r="M14" s="123"/>
      <c r="N14" s="125"/>
      <c r="O14" s="126"/>
    </row>
    <row r="15" spans="1:15" ht="21.75">
      <c r="A15" s="18">
        <v>12</v>
      </c>
      <c r="B15" s="18"/>
      <c r="C15" s="18"/>
      <c r="D15" s="18"/>
      <c r="E15" s="610" t="s">
        <v>1429</v>
      </c>
      <c r="F15" s="20" t="s">
        <v>1430</v>
      </c>
      <c r="G15" s="18" t="s">
        <v>1431</v>
      </c>
      <c r="H15" s="21">
        <v>1000000</v>
      </c>
      <c r="I15" s="21" t="s">
        <v>1432</v>
      </c>
      <c r="J15" s="121"/>
      <c r="K15" s="122"/>
      <c r="L15" s="123"/>
      <c r="M15" s="123"/>
      <c r="N15" s="125"/>
      <c r="O15" s="126"/>
    </row>
    <row r="16" spans="1:15" ht="21.75">
      <c r="A16" s="18">
        <v>13</v>
      </c>
      <c r="B16" s="18"/>
      <c r="C16" s="18"/>
      <c r="D16" s="18"/>
      <c r="E16" s="610" t="s">
        <v>1433</v>
      </c>
      <c r="F16" s="20" t="s">
        <v>1434</v>
      </c>
      <c r="G16" s="18" t="s">
        <v>1435</v>
      </c>
      <c r="H16" s="21">
        <v>1500000</v>
      </c>
      <c r="I16" s="683" t="s">
        <v>1436</v>
      </c>
      <c r="J16" s="121"/>
      <c r="K16" s="122"/>
      <c r="L16" s="123"/>
      <c r="M16" s="123"/>
      <c r="N16" s="125"/>
      <c r="O16" s="126"/>
    </row>
    <row r="17" spans="1:15" ht="21.75">
      <c r="A17" s="18">
        <v>14</v>
      </c>
      <c r="B17" s="18"/>
      <c r="C17" s="18"/>
      <c r="D17" s="18"/>
      <c r="E17" s="610" t="s">
        <v>1437</v>
      </c>
      <c r="F17" s="20" t="s">
        <v>1438</v>
      </c>
      <c r="G17" s="18" t="s">
        <v>1435</v>
      </c>
      <c r="H17" s="21">
        <v>2000000</v>
      </c>
      <c r="I17" s="684"/>
      <c r="J17" s="121"/>
      <c r="K17" s="122"/>
      <c r="L17" s="123"/>
      <c r="M17" s="123"/>
      <c r="N17" s="125"/>
      <c r="O17" s="126"/>
    </row>
    <row r="18" spans="1:15" ht="21.75">
      <c r="A18" s="18">
        <v>15</v>
      </c>
      <c r="B18" s="18"/>
      <c r="C18" s="18"/>
      <c r="D18" s="18"/>
      <c r="E18" s="610" t="s">
        <v>1439</v>
      </c>
      <c r="F18" s="20" t="s">
        <v>1440</v>
      </c>
      <c r="G18" s="18" t="s">
        <v>1441</v>
      </c>
      <c r="H18" s="21">
        <v>2500000</v>
      </c>
      <c r="I18" s="21" t="s">
        <v>1442</v>
      </c>
      <c r="J18" s="121"/>
      <c r="K18" s="122"/>
      <c r="L18" s="123"/>
      <c r="M18" s="123"/>
      <c r="N18" s="125"/>
      <c r="O18" s="126"/>
    </row>
    <row r="19" spans="1:15" ht="21.75">
      <c r="A19" s="18">
        <v>16</v>
      </c>
      <c r="B19" s="18"/>
      <c r="C19" s="18"/>
      <c r="D19" s="18"/>
      <c r="E19" s="610" t="s">
        <v>1443</v>
      </c>
      <c r="F19" s="20" t="s">
        <v>1444</v>
      </c>
      <c r="G19" s="18" t="s">
        <v>1445</v>
      </c>
      <c r="H19" s="21">
        <v>3000000</v>
      </c>
      <c r="I19" s="21"/>
      <c r="J19" s="121"/>
      <c r="K19" s="122"/>
      <c r="L19" s="123"/>
      <c r="M19" s="123"/>
      <c r="N19" s="125"/>
      <c r="O19" s="126"/>
    </row>
    <row r="20" spans="1:15" ht="21.75">
      <c r="A20" s="18">
        <v>17</v>
      </c>
      <c r="B20" s="18"/>
      <c r="C20" s="18"/>
      <c r="D20" s="18"/>
      <c r="E20" s="610" t="s">
        <v>1446</v>
      </c>
      <c r="F20" s="20" t="s">
        <v>1447</v>
      </c>
      <c r="G20" s="18" t="s">
        <v>1448</v>
      </c>
      <c r="H20" s="21">
        <v>3000000</v>
      </c>
      <c r="I20" s="21" t="s">
        <v>1449</v>
      </c>
      <c r="J20" s="121"/>
      <c r="K20" s="122"/>
      <c r="L20" s="123"/>
      <c r="M20" s="123"/>
      <c r="N20" s="125"/>
      <c r="O20" s="126"/>
    </row>
    <row r="21" spans="1:15" ht="21.75">
      <c r="A21" s="18">
        <v>18</v>
      </c>
      <c r="B21" s="18"/>
      <c r="C21" s="18"/>
      <c r="D21" s="18"/>
      <c r="E21" s="610" t="s">
        <v>1450</v>
      </c>
      <c r="F21" s="20" t="s">
        <v>1451</v>
      </c>
      <c r="G21" s="18" t="s">
        <v>846</v>
      </c>
      <c r="H21" s="21">
        <v>3300000</v>
      </c>
      <c r="I21" s="21"/>
      <c r="J21" s="121"/>
      <c r="K21" s="122"/>
      <c r="L21" s="123"/>
      <c r="M21" s="123"/>
      <c r="N21" s="125"/>
      <c r="O21" s="126"/>
    </row>
    <row r="22" spans="1:15" ht="21.75">
      <c r="A22" s="18">
        <v>19</v>
      </c>
      <c r="B22" s="18"/>
      <c r="C22" s="18"/>
      <c r="D22" s="18"/>
      <c r="E22" s="610" t="s">
        <v>1452</v>
      </c>
      <c r="F22" s="20" t="s">
        <v>1453</v>
      </c>
      <c r="G22" s="18" t="s">
        <v>1454</v>
      </c>
      <c r="H22" s="21">
        <v>1800000</v>
      </c>
      <c r="I22" s="21"/>
      <c r="J22" s="121"/>
      <c r="K22" s="122"/>
      <c r="L22" s="123"/>
      <c r="M22" s="123"/>
      <c r="N22" s="125"/>
      <c r="O22" s="126"/>
    </row>
    <row r="23" spans="1:15" ht="21.75">
      <c r="A23" s="18">
        <v>20</v>
      </c>
      <c r="B23" s="18"/>
      <c r="C23" s="18"/>
      <c r="D23" s="18"/>
      <c r="E23" s="610" t="s">
        <v>1455</v>
      </c>
      <c r="F23" s="20" t="s">
        <v>1456</v>
      </c>
      <c r="G23" s="18" t="s">
        <v>1457</v>
      </c>
      <c r="H23" s="21">
        <v>600000</v>
      </c>
      <c r="I23" s="21"/>
      <c r="J23" s="121"/>
      <c r="K23" s="122"/>
      <c r="L23" s="123"/>
      <c r="M23" s="123"/>
      <c r="N23" s="125"/>
      <c r="O23" s="126"/>
    </row>
    <row r="24" spans="1:15" ht="21.75">
      <c r="A24" s="18">
        <v>21</v>
      </c>
      <c r="B24" s="18"/>
      <c r="C24" s="18"/>
      <c r="D24" s="18"/>
      <c r="E24" s="610" t="s">
        <v>1458</v>
      </c>
      <c r="F24" s="20" t="s">
        <v>1456</v>
      </c>
      <c r="G24" s="18" t="s">
        <v>1457</v>
      </c>
      <c r="H24" s="21">
        <v>600000</v>
      </c>
      <c r="I24" s="21"/>
      <c r="J24" s="121"/>
      <c r="K24" s="122"/>
      <c r="L24" s="123"/>
      <c r="M24" s="123"/>
      <c r="N24" s="125"/>
      <c r="O24" s="126"/>
    </row>
    <row r="25" spans="1:15" ht="21.75">
      <c r="A25" s="18">
        <v>22</v>
      </c>
      <c r="B25" s="18"/>
      <c r="C25" s="18"/>
      <c r="D25" s="18"/>
      <c r="E25" s="610" t="s">
        <v>1459</v>
      </c>
      <c r="F25" s="20" t="s">
        <v>1456</v>
      </c>
      <c r="G25" s="18" t="s">
        <v>1457</v>
      </c>
      <c r="H25" s="21">
        <v>600000</v>
      </c>
      <c r="I25" s="21"/>
      <c r="J25" s="121"/>
      <c r="K25" s="122"/>
      <c r="L25" s="123"/>
      <c r="M25" s="123"/>
      <c r="N25" s="125"/>
      <c r="O25" s="126"/>
    </row>
    <row r="26" spans="1:15" ht="21.75">
      <c r="A26" s="18">
        <v>23</v>
      </c>
      <c r="B26" s="18"/>
      <c r="C26" s="18"/>
      <c r="D26" s="18"/>
      <c r="E26" s="610" t="s">
        <v>1460</v>
      </c>
      <c r="F26" s="20" t="s">
        <v>1461</v>
      </c>
      <c r="G26" s="18" t="s">
        <v>672</v>
      </c>
      <c r="H26" s="21">
        <v>4800000</v>
      </c>
      <c r="I26" s="21" t="s">
        <v>891</v>
      </c>
      <c r="J26" s="121"/>
      <c r="K26" s="122"/>
      <c r="L26" s="123"/>
      <c r="M26" s="123"/>
      <c r="N26" s="125"/>
      <c r="O26" s="126"/>
    </row>
    <row r="27" spans="1:15" ht="21.75">
      <c r="A27" s="18">
        <v>24</v>
      </c>
      <c r="B27" s="18"/>
      <c r="C27" s="18"/>
      <c r="D27" s="18"/>
      <c r="E27" s="610" t="s">
        <v>684</v>
      </c>
      <c r="F27" s="20" t="s">
        <v>1462</v>
      </c>
      <c r="G27" s="18" t="s">
        <v>1463</v>
      </c>
      <c r="H27" s="21">
        <v>-500000</v>
      </c>
      <c r="I27" s="618" t="s">
        <v>1464</v>
      </c>
      <c r="J27" s="121"/>
      <c r="K27" s="122"/>
      <c r="L27" s="123"/>
      <c r="M27" s="123"/>
      <c r="N27" s="125"/>
      <c r="O27" s="126"/>
    </row>
    <row r="28" spans="1:15" ht="21.75">
      <c r="A28" s="18">
        <v>25</v>
      </c>
      <c r="B28" s="18"/>
      <c r="C28" s="18"/>
      <c r="D28" s="18"/>
      <c r="E28" s="610" t="s">
        <v>686</v>
      </c>
      <c r="F28" s="20" t="s">
        <v>1462</v>
      </c>
      <c r="G28" s="18" t="s">
        <v>1463</v>
      </c>
      <c r="H28" s="21">
        <v>450000</v>
      </c>
      <c r="I28" s="21"/>
      <c r="J28" s="121"/>
      <c r="K28" s="122"/>
      <c r="L28" s="123"/>
      <c r="M28" s="123"/>
      <c r="N28" s="125"/>
      <c r="O28" s="126"/>
    </row>
    <row r="29" spans="1:15" ht="21.75">
      <c r="A29" s="18"/>
      <c r="B29" s="18"/>
      <c r="C29" s="18"/>
      <c r="D29" s="18"/>
      <c r="E29" s="610"/>
      <c r="F29" s="20"/>
      <c r="G29" s="18"/>
      <c r="H29" s="21"/>
      <c r="I29" s="21"/>
      <c r="J29" s="121"/>
      <c r="K29" s="122"/>
      <c r="L29" s="123"/>
      <c r="M29" s="123"/>
      <c r="N29" s="125"/>
      <c r="O29" s="126"/>
    </row>
    <row r="30" spans="1:15" ht="21.75">
      <c r="A30" s="18"/>
      <c r="B30" s="18"/>
      <c r="C30" s="18"/>
      <c r="D30" s="18"/>
      <c r="E30" s="610"/>
      <c r="F30" s="20"/>
      <c r="G30" s="18"/>
      <c r="H30" s="21"/>
      <c r="I30" s="21"/>
      <c r="J30" s="121"/>
      <c r="K30" s="122"/>
      <c r="L30" s="123"/>
      <c r="M30" s="123"/>
      <c r="N30" s="125"/>
      <c r="O30" s="126"/>
    </row>
    <row r="31" spans="1:15" ht="21.75">
      <c r="A31" s="18"/>
      <c r="B31" s="18"/>
      <c r="C31" s="18"/>
      <c r="D31" s="18"/>
      <c r="E31" s="610"/>
      <c r="F31" s="20"/>
      <c r="G31" s="18"/>
      <c r="H31" s="21"/>
      <c r="I31" s="21"/>
      <c r="J31" s="121"/>
      <c r="K31" s="122"/>
      <c r="L31" s="123"/>
      <c r="M31" s="123"/>
      <c r="N31" s="125"/>
      <c r="O31" s="126"/>
    </row>
    <row r="32" spans="1:15" ht="21.75">
      <c r="A32" s="18"/>
      <c r="B32" s="18"/>
      <c r="C32" s="18"/>
      <c r="D32" s="18"/>
      <c r="E32" s="610"/>
      <c r="F32" s="20"/>
      <c r="G32" s="18"/>
      <c r="H32" s="21"/>
      <c r="I32" s="21"/>
      <c r="J32" s="121"/>
      <c r="K32" s="122"/>
      <c r="L32" s="123"/>
      <c r="M32" s="123"/>
      <c r="N32" s="125"/>
      <c r="O32" s="126"/>
    </row>
    <row r="33" spans="1:15" ht="21.75">
      <c r="A33" s="99"/>
      <c r="B33" s="99"/>
      <c r="C33" s="99"/>
      <c r="D33" s="99"/>
      <c r="E33" s="99"/>
      <c r="F33" s="102"/>
      <c r="G33" s="99"/>
      <c r="H33" s="406">
        <f>SUM(H4:H32)</f>
        <v>34900000</v>
      </c>
      <c r="I33" s="102"/>
      <c r="J33" s="121"/>
      <c r="K33" s="183"/>
      <c r="L33" s="184"/>
      <c r="M33" s="184"/>
      <c r="N33" s="185">
        <f>SUM(N5:N32)</f>
        <v>81000</v>
      </c>
      <c r="O33" s="194">
        <f>H33-N33</f>
        <v>34819000</v>
      </c>
    </row>
    <row r="34" spans="1:15" ht="21.75">
      <c r="J34" s="121"/>
      <c r="K34" s="122"/>
      <c r="L34" s="123"/>
      <c r="M34" s="123"/>
      <c r="N34" s="125"/>
      <c r="O34" s="126"/>
    </row>
    <row r="35" spans="1:15" ht="21.75">
      <c r="J35" s="121"/>
      <c r="K35" s="122"/>
      <c r="L35" s="123"/>
      <c r="M35" s="123"/>
      <c r="N35" s="125"/>
      <c r="O35" s="126"/>
    </row>
    <row r="36" spans="1:15" ht="21.75">
      <c r="J36" s="121"/>
      <c r="K36" s="122"/>
      <c r="L36" s="123"/>
      <c r="M36" s="123"/>
      <c r="N36" s="125"/>
      <c r="O36" s="126"/>
    </row>
    <row r="37" spans="1:15" ht="21.75">
      <c r="A37" s="651" t="s">
        <v>1465</v>
      </c>
      <c r="B37" s="651"/>
      <c r="C37" s="651"/>
      <c r="D37" s="651"/>
      <c r="E37" s="651"/>
      <c r="F37" s="651"/>
      <c r="G37" s="651"/>
      <c r="H37" s="651"/>
      <c r="I37" s="651"/>
      <c r="J37" s="121"/>
      <c r="K37" s="122"/>
      <c r="L37" s="123"/>
      <c r="M37" s="123"/>
      <c r="N37" s="125"/>
      <c r="O37" s="126"/>
    </row>
    <row r="38" spans="1:15" s="181" customFormat="1" ht="28.5">
      <c r="A38" s="16" t="s">
        <v>11</v>
      </c>
      <c r="B38" s="17" t="s">
        <v>697</v>
      </c>
      <c r="C38" s="17" t="s">
        <v>1393</v>
      </c>
      <c r="D38" s="17" t="s">
        <v>12</v>
      </c>
      <c r="E38" s="16" t="s">
        <v>699</v>
      </c>
      <c r="F38" s="16" t="s">
        <v>657</v>
      </c>
      <c r="G38" s="17" t="s">
        <v>700</v>
      </c>
      <c r="H38" s="16" t="s">
        <v>660</v>
      </c>
      <c r="I38" s="16" t="s">
        <v>27</v>
      </c>
      <c r="J38" s="121"/>
      <c r="K38" s="136"/>
      <c r="L38" s="127"/>
      <c r="M38" s="127"/>
      <c r="N38" s="137"/>
      <c r="O38" s="138"/>
    </row>
    <row r="39" spans="1:15" ht="21.75">
      <c r="A39" s="18">
        <v>1</v>
      </c>
      <c r="B39" s="18" t="s">
        <v>152</v>
      </c>
      <c r="C39" s="18" t="s">
        <v>555</v>
      </c>
      <c r="D39" s="18" t="s">
        <v>1394</v>
      </c>
      <c r="E39" s="34" t="s">
        <v>556</v>
      </c>
      <c r="F39" s="20" t="s">
        <v>1466</v>
      </c>
      <c r="G39" s="18" t="s">
        <v>1467</v>
      </c>
      <c r="H39" s="21">
        <v>500000</v>
      </c>
      <c r="I39" s="21" t="s">
        <v>664</v>
      </c>
      <c r="J39" s="121"/>
      <c r="K39" s="122"/>
      <c r="L39" s="123"/>
      <c r="M39" s="123"/>
      <c r="N39" s="125"/>
      <c r="O39" s="126"/>
    </row>
    <row r="40" spans="1:15" ht="21.75">
      <c r="A40" s="18"/>
      <c r="B40" s="18"/>
      <c r="C40" s="18"/>
      <c r="D40" s="18"/>
      <c r="E40" s="318"/>
      <c r="F40" s="20"/>
      <c r="G40" s="18"/>
      <c r="H40" s="21"/>
      <c r="I40" s="21"/>
      <c r="J40" s="121"/>
      <c r="K40" s="122"/>
      <c r="L40" s="123"/>
      <c r="M40" s="123"/>
      <c r="N40" s="125"/>
      <c r="O40" s="126"/>
    </row>
    <row r="41" spans="1:15" ht="21.75">
      <c r="A41" s="18"/>
      <c r="B41" s="18"/>
      <c r="C41" s="18"/>
      <c r="D41" s="18"/>
      <c r="E41" s="610"/>
      <c r="F41" s="20"/>
      <c r="G41" s="18"/>
      <c r="H41" s="21"/>
      <c r="I41" s="21"/>
      <c r="J41" s="121"/>
      <c r="K41" s="122"/>
      <c r="L41" s="123"/>
      <c r="M41" s="123"/>
      <c r="N41" s="125"/>
      <c r="O41" s="126"/>
    </row>
    <row r="42" spans="1:15" ht="21.75">
      <c r="A42" s="18"/>
      <c r="B42" s="18"/>
      <c r="C42" s="18"/>
      <c r="D42" s="18"/>
      <c r="E42" s="610"/>
      <c r="F42" s="20"/>
      <c r="G42" s="18"/>
      <c r="H42" s="21"/>
      <c r="I42" s="21"/>
      <c r="J42" s="121"/>
      <c r="K42" s="122"/>
      <c r="L42" s="123"/>
      <c r="M42" s="123"/>
      <c r="N42" s="125"/>
      <c r="O42" s="126"/>
    </row>
    <row r="43" spans="1:15" ht="21.75">
      <c r="A43" s="18"/>
      <c r="B43" s="18"/>
      <c r="C43" s="18"/>
      <c r="D43" s="18"/>
      <c r="E43" s="610"/>
      <c r="F43" s="20"/>
      <c r="G43" s="18"/>
      <c r="H43" s="21"/>
      <c r="I43" s="21"/>
      <c r="J43" s="121"/>
      <c r="K43" s="122"/>
      <c r="L43" s="123"/>
      <c r="M43" s="123"/>
      <c r="N43" s="125"/>
      <c r="O43" s="126"/>
    </row>
    <row r="44" spans="1:15" ht="21.75">
      <c r="A44" s="18"/>
      <c r="B44" s="18"/>
      <c r="C44" s="18"/>
      <c r="D44" s="18"/>
      <c r="E44" s="610"/>
      <c r="F44" s="20"/>
      <c r="G44" s="18"/>
      <c r="H44" s="21"/>
      <c r="I44" s="21"/>
      <c r="J44" s="121"/>
      <c r="K44" s="122"/>
      <c r="L44" s="123"/>
      <c r="M44" s="123"/>
      <c r="N44" s="125"/>
      <c r="O44" s="126"/>
    </row>
    <row r="45" spans="1:15" ht="21.75">
      <c r="A45" s="18"/>
      <c r="B45" s="18"/>
      <c r="C45" s="18"/>
      <c r="D45" s="18"/>
      <c r="E45" s="610"/>
      <c r="F45" s="20"/>
      <c r="G45" s="18"/>
      <c r="H45" s="21"/>
      <c r="I45" s="21"/>
      <c r="J45" s="121"/>
      <c r="K45" s="122"/>
      <c r="L45" s="123"/>
      <c r="M45" s="123"/>
      <c r="N45" s="125"/>
      <c r="O45" s="126"/>
    </row>
    <row r="46" spans="1:15" ht="21.75">
      <c r="A46" s="18"/>
      <c r="B46" s="18"/>
      <c r="C46" s="18"/>
      <c r="D46" s="18"/>
      <c r="E46" s="610"/>
      <c r="F46" s="20"/>
      <c r="G46" s="18"/>
      <c r="H46" s="21"/>
      <c r="I46" s="21"/>
      <c r="J46" s="121"/>
      <c r="K46" s="122"/>
      <c r="L46" s="123"/>
      <c r="M46" s="123"/>
      <c r="N46" s="125"/>
      <c r="O46" s="126"/>
    </row>
    <row r="47" spans="1:15" ht="21.75">
      <c r="A47" s="18"/>
      <c r="B47" s="18"/>
      <c r="C47" s="18"/>
      <c r="D47" s="18"/>
      <c r="E47" s="610"/>
      <c r="F47" s="20"/>
      <c r="G47" s="18"/>
      <c r="H47" s="21"/>
      <c r="I47" s="21"/>
      <c r="J47" s="121"/>
      <c r="K47" s="139"/>
      <c r="L47" s="140"/>
      <c r="M47" s="140"/>
      <c r="N47" s="141"/>
      <c r="O47" s="142"/>
    </row>
    <row r="48" spans="1:15" ht="21.75">
      <c r="A48" s="18"/>
      <c r="B48" s="18"/>
      <c r="C48" s="18"/>
      <c r="D48" s="18"/>
      <c r="E48" s="610"/>
      <c r="F48" s="20"/>
      <c r="G48" s="18"/>
      <c r="H48" s="21"/>
      <c r="I48" s="21"/>
      <c r="J48" s="121"/>
      <c r="K48" s="143"/>
      <c r="L48" s="143"/>
      <c r="M48" s="143"/>
      <c r="N48" s="251"/>
    </row>
    <row r="49" spans="1:9">
      <c r="A49" s="18"/>
      <c r="B49" s="18"/>
      <c r="C49" s="18"/>
      <c r="D49" s="18"/>
      <c r="E49" s="610"/>
      <c r="F49" s="20"/>
      <c r="G49" s="18"/>
      <c r="H49" s="21"/>
      <c r="I49" s="21"/>
    </row>
    <row r="50" spans="1:9">
      <c r="A50" s="18"/>
      <c r="B50" s="18"/>
      <c r="C50" s="18"/>
      <c r="D50" s="18"/>
      <c r="E50" s="610"/>
      <c r="F50" s="20"/>
      <c r="G50" s="18"/>
      <c r="H50" s="21"/>
      <c r="I50" s="21"/>
    </row>
    <row r="51" spans="1:9">
      <c r="A51" s="99"/>
      <c r="B51" s="99"/>
      <c r="C51" s="99"/>
      <c r="D51" s="99"/>
      <c r="E51" s="634"/>
      <c r="F51" s="101"/>
      <c r="G51" s="99"/>
      <c r="H51" s="102"/>
      <c r="I51" s="681"/>
    </row>
    <row r="52" spans="1:9">
      <c r="A52" s="99"/>
      <c r="B52" s="99"/>
      <c r="C52" s="99"/>
      <c r="D52" s="99"/>
      <c r="E52" s="634"/>
      <c r="F52" s="101"/>
      <c r="G52" s="99"/>
      <c r="H52" s="102">
        <f>SUM(H39:H50)</f>
        <v>500000</v>
      </c>
      <c r="I52" s="682"/>
    </row>
  </sheetData>
  <mergeCells count="10">
    <mergeCell ref="A37:I37"/>
    <mergeCell ref="I51:I52"/>
    <mergeCell ref="I16:I17"/>
    <mergeCell ref="A2:I2"/>
    <mergeCell ref="K2:O2"/>
    <mergeCell ref="K3:K4"/>
    <mergeCell ref="L3:L4"/>
    <mergeCell ref="M3:M4"/>
    <mergeCell ref="N3:N4"/>
    <mergeCell ref="O3:O4"/>
  </mergeCells>
  <hyperlinks>
    <hyperlink ref="A1" location="Name!A1" display="Name!A1" xr:uid="{D3BCC7E4-E283-495C-BC97-4A153B9797FC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AF9B-18AF-48EF-B8AE-BFEF8B290F93}">
  <dimension ref="A1:N92"/>
  <sheetViews>
    <sheetView workbookViewId="0">
      <selection activeCell="B1" sqref="B1"/>
    </sheetView>
  </sheetViews>
  <sheetFormatPr defaultColWidth="9.140625" defaultRowHeight="18"/>
  <cols>
    <col min="1" max="1" width="6.140625" style="51" customWidth="1"/>
    <col min="2" max="3" width="15.42578125" style="51" customWidth="1"/>
    <col min="4" max="4" width="27" style="51" customWidth="1"/>
    <col min="5" max="5" width="21.42578125" style="51" customWidth="1"/>
    <col min="6" max="6" width="12.7109375" style="51" customWidth="1"/>
    <col min="7" max="7" width="14" style="104" customWidth="1"/>
    <col min="8" max="8" width="14.140625" style="104" customWidth="1"/>
    <col min="9" max="9" width="27.140625" style="114" customWidth="1"/>
    <col min="10" max="10" width="6" style="51" customWidth="1"/>
    <col min="11" max="11" width="13.7109375" style="51" customWidth="1"/>
    <col min="12" max="12" width="18.7109375" style="51" customWidth="1"/>
    <col min="13" max="13" width="44.42578125" style="104" customWidth="1"/>
    <col min="14" max="14" width="13.140625" style="104" bestFit="1" customWidth="1"/>
    <col min="15" max="16384" width="9.140625" style="51"/>
  </cols>
  <sheetData>
    <row r="1" spans="1:14">
      <c r="B1" s="411" t="s">
        <v>648</v>
      </c>
    </row>
    <row r="2" spans="1:14" ht="21.75">
      <c r="A2" s="651" t="s">
        <v>1468</v>
      </c>
      <c r="B2" s="651"/>
      <c r="C2" s="651"/>
      <c r="D2" s="651"/>
      <c r="E2" s="651"/>
      <c r="F2" s="651"/>
      <c r="G2" s="651"/>
      <c r="H2" s="651"/>
      <c r="I2" s="121"/>
      <c r="J2" s="644" t="s">
        <v>973</v>
      </c>
      <c r="K2" s="644"/>
      <c r="L2" s="644"/>
      <c r="M2" s="644"/>
      <c r="N2" s="644"/>
    </row>
    <row r="3" spans="1:14" ht="28.5">
      <c r="A3" s="16" t="s">
        <v>1469</v>
      </c>
      <c r="B3" s="17" t="s">
        <v>697</v>
      </c>
      <c r="C3" s="17" t="s">
        <v>12</v>
      </c>
      <c r="D3" s="16" t="s">
        <v>699</v>
      </c>
      <c r="E3" s="16" t="s">
        <v>657</v>
      </c>
      <c r="F3" s="17" t="s">
        <v>700</v>
      </c>
      <c r="G3" s="16" t="s">
        <v>660</v>
      </c>
      <c r="H3" s="16" t="s">
        <v>27</v>
      </c>
      <c r="I3" s="121"/>
      <c r="J3" s="654" t="s">
        <v>653</v>
      </c>
      <c r="K3" s="659" t="s">
        <v>974</v>
      </c>
      <c r="L3" s="661" t="s">
        <v>975</v>
      </c>
      <c r="M3" s="662" t="s">
        <v>976</v>
      </c>
      <c r="N3" s="686" t="s">
        <v>977</v>
      </c>
    </row>
    <row r="4" spans="1:14" ht="21.75">
      <c r="A4" s="18">
        <v>1</v>
      </c>
      <c r="B4" s="18" t="s">
        <v>152</v>
      </c>
      <c r="C4" s="18" t="s">
        <v>1470</v>
      </c>
      <c r="D4" s="34" t="s">
        <v>703</v>
      </c>
      <c r="E4" s="20" t="s">
        <v>1471</v>
      </c>
      <c r="F4" s="18" t="s">
        <v>1472</v>
      </c>
      <c r="G4" s="21">
        <v>500000</v>
      </c>
      <c r="H4" s="21"/>
      <c r="I4" s="121"/>
      <c r="J4" s="655"/>
      <c r="K4" s="660"/>
      <c r="L4" s="660"/>
      <c r="M4" s="663"/>
      <c r="N4" s="687"/>
    </row>
    <row r="5" spans="1:14" ht="21.75">
      <c r="A5" s="18"/>
      <c r="B5" s="18"/>
      <c r="C5" s="18"/>
      <c r="D5" s="19" t="s">
        <v>1473</v>
      </c>
      <c r="E5" s="20" t="s">
        <v>1471</v>
      </c>
      <c r="F5" s="18" t="s">
        <v>1472</v>
      </c>
      <c r="G5" s="21">
        <v>1000000</v>
      </c>
      <c r="H5" s="21"/>
      <c r="I5" s="121"/>
      <c r="J5" s="122"/>
      <c r="K5" s="123" t="s">
        <v>1474</v>
      </c>
      <c r="L5" s="127" t="s">
        <v>1475</v>
      </c>
      <c r="M5" s="125">
        <v>207000</v>
      </c>
      <c r="N5" s="69"/>
    </row>
    <row r="6" spans="1:14" ht="21.75">
      <c r="A6" s="18"/>
      <c r="B6" s="18"/>
      <c r="C6" s="18"/>
      <c r="D6" s="22" t="s">
        <v>1476</v>
      </c>
      <c r="E6" s="20" t="s">
        <v>1477</v>
      </c>
      <c r="F6" s="18" t="s">
        <v>1478</v>
      </c>
      <c r="G6" s="21">
        <v>1000000</v>
      </c>
      <c r="H6" s="21"/>
      <c r="I6" s="121"/>
      <c r="J6" s="122"/>
      <c r="K6" s="123" t="s">
        <v>1479</v>
      </c>
      <c r="L6" s="127" t="s">
        <v>1480</v>
      </c>
      <c r="M6" s="125">
        <v>3000</v>
      </c>
      <c r="N6" s="69"/>
    </row>
    <row r="7" spans="1:14" ht="21.75">
      <c r="A7" s="383"/>
      <c r="B7" s="383"/>
      <c r="C7" s="383"/>
      <c r="D7" s="384" t="s">
        <v>1481</v>
      </c>
      <c r="E7" s="385" t="s">
        <v>1482</v>
      </c>
      <c r="F7" s="383" t="s">
        <v>1483</v>
      </c>
      <c r="G7" s="386">
        <v>-500000</v>
      </c>
      <c r="H7" s="386" t="s">
        <v>703</v>
      </c>
      <c r="I7" s="121"/>
      <c r="J7" s="122"/>
      <c r="K7" s="123"/>
      <c r="L7" s="127" t="s">
        <v>1484</v>
      </c>
      <c r="M7" s="125">
        <v>126000</v>
      </c>
      <c r="N7" s="69"/>
    </row>
    <row r="8" spans="1:14" s="181" customFormat="1" ht="21.75">
      <c r="A8" s="387"/>
      <c r="B8" s="387"/>
      <c r="C8" s="387"/>
      <c r="D8" s="387"/>
      <c r="E8" s="388"/>
      <c r="F8" s="387"/>
      <c r="G8" s="389"/>
      <c r="H8" s="388"/>
      <c r="I8" s="121"/>
      <c r="J8" s="136"/>
      <c r="K8" s="127"/>
      <c r="L8" s="127" t="s">
        <v>1485</v>
      </c>
      <c r="M8" s="137">
        <v>30000</v>
      </c>
      <c r="N8" s="552"/>
    </row>
    <row r="9" spans="1:14" ht="21.75">
      <c r="A9" s="390"/>
      <c r="B9" s="390"/>
      <c r="C9" s="390"/>
      <c r="D9" s="390"/>
      <c r="E9" s="390"/>
      <c r="F9" s="390"/>
      <c r="G9" s="391"/>
      <c r="H9" s="391"/>
      <c r="I9" s="121"/>
      <c r="J9" s="122"/>
      <c r="K9" s="123"/>
      <c r="L9" s="127" t="s">
        <v>1486</v>
      </c>
      <c r="M9" s="125">
        <v>3000</v>
      </c>
      <c r="N9" s="69"/>
    </row>
    <row r="10" spans="1:14" ht="21.75">
      <c r="A10" s="390"/>
      <c r="B10" s="390"/>
      <c r="C10" s="390"/>
      <c r="D10" s="390"/>
      <c r="E10" s="390"/>
      <c r="F10" s="390"/>
      <c r="G10" s="391"/>
      <c r="H10" s="391"/>
      <c r="I10" s="121"/>
      <c r="J10" s="122"/>
      <c r="K10" s="123" t="s">
        <v>1472</v>
      </c>
      <c r="L10" s="127" t="s">
        <v>21</v>
      </c>
      <c r="M10" s="125">
        <v>164830</v>
      </c>
      <c r="N10" s="69"/>
    </row>
    <row r="11" spans="1:14" ht="21.75">
      <c r="A11" s="390"/>
      <c r="B11" s="390"/>
      <c r="C11" s="390"/>
      <c r="D11" s="390"/>
      <c r="E11" s="390"/>
      <c r="F11" s="390"/>
      <c r="G11" s="391"/>
      <c r="H11" s="391"/>
      <c r="I11" s="121"/>
      <c r="J11" s="122"/>
      <c r="K11" s="123" t="s">
        <v>1487</v>
      </c>
      <c r="L11" s="123" t="s">
        <v>1399</v>
      </c>
      <c r="M11" s="125">
        <v>81000</v>
      </c>
      <c r="N11" s="69"/>
    </row>
    <row r="12" spans="1:14" ht="21.75">
      <c r="A12" s="390"/>
      <c r="B12" s="390"/>
      <c r="C12" s="390"/>
      <c r="D12" s="390"/>
      <c r="E12" s="390"/>
      <c r="F12" s="390"/>
      <c r="G12" s="391"/>
      <c r="H12" s="391"/>
      <c r="I12" s="121"/>
      <c r="J12" s="136"/>
      <c r="K12" s="127"/>
      <c r="L12" s="127"/>
      <c r="M12" s="137"/>
      <c r="N12" s="553"/>
    </row>
    <row r="13" spans="1:14" ht="21.75">
      <c r="A13" s="390"/>
      <c r="B13" s="390"/>
      <c r="C13" s="390"/>
      <c r="D13" s="390" t="s">
        <v>1488</v>
      </c>
      <c r="E13" s="390"/>
      <c r="F13" s="390"/>
      <c r="G13" s="391"/>
      <c r="H13" s="391"/>
      <c r="I13" s="121"/>
      <c r="J13" s="122"/>
      <c r="K13" s="123"/>
      <c r="L13" s="123"/>
      <c r="M13" s="125"/>
      <c r="N13" s="69"/>
    </row>
    <row r="14" spans="1:14" ht="21.75">
      <c r="A14" s="390"/>
      <c r="B14" s="390"/>
      <c r="C14" s="390"/>
      <c r="D14" s="390"/>
      <c r="E14" s="390"/>
      <c r="F14" s="390"/>
      <c r="G14" s="391"/>
      <c r="H14" s="391"/>
      <c r="I14" s="121"/>
      <c r="J14" s="122"/>
      <c r="K14" s="123"/>
      <c r="L14" s="123"/>
      <c r="M14" s="125"/>
      <c r="N14" s="69"/>
    </row>
    <row r="15" spans="1:14" ht="21.75">
      <c r="A15" s="392"/>
      <c r="B15" s="392"/>
      <c r="C15" s="392"/>
      <c r="D15" s="392"/>
      <c r="E15" s="392"/>
      <c r="F15" s="392"/>
      <c r="G15" s="393">
        <f>SUM(G4:G14)</f>
        <v>2000000</v>
      </c>
      <c r="H15" s="393"/>
      <c r="I15" s="121"/>
      <c r="J15" s="183"/>
      <c r="K15" s="184"/>
      <c r="L15" s="184"/>
      <c r="M15" s="185">
        <f>SUM(M5:M14)</f>
        <v>614830</v>
      </c>
      <c r="N15" s="554">
        <f>G15-M15</f>
        <v>1385170</v>
      </c>
    </row>
    <row r="16" spans="1:14" ht="21.75">
      <c r="A16" s="688" t="s">
        <v>1489</v>
      </c>
      <c r="B16" s="688"/>
      <c r="C16" s="688"/>
      <c r="D16" s="688"/>
      <c r="E16" s="688"/>
      <c r="F16" s="688"/>
      <c r="G16" s="688"/>
      <c r="H16" s="689"/>
      <c r="I16" s="25"/>
      <c r="J16" s="394"/>
      <c r="K16" s="395"/>
      <c r="L16" s="395"/>
      <c r="M16" s="396"/>
      <c r="N16" s="555"/>
    </row>
    <row r="17" spans="1:14" ht="21.75">
      <c r="A17" s="35">
        <v>1</v>
      </c>
      <c r="B17" s="35" t="s">
        <v>152</v>
      </c>
      <c r="C17" s="35" t="s">
        <v>1470</v>
      </c>
      <c r="D17" s="35" t="s">
        <v>1490</v>
      </c>
      <c r="E17" s="36" t="s">
        <v>1491</v>
      </c>
      <c r="F17" s="35" t="s">
        <v>1492</v>
      </c>
      <c r="G17" s="37">
        <v>500000</v>
      </c>
      <c r="H17" s="94"/>
      <c r="I17" s="397"/>
      <c r="J17" s="398"/>
      <c r="K17" s="398"/>
      <c r="L17" s="398"/>
      <c r="M17" s="399"/>
      <c r="N17" s="94"/>
    </row>
    <row r="18" spans="1:14" ht="21.75">
      <c r="A18" s="35"/>
      <c r="B18" s="35"/>
      <c r="C18" s="35"/>
      <c r="D18" s="38" t="s">
        <v>1493</v>
      </c>
      <c r="E18" s="36" t="s">
        <v>1494</v>
      </c>
      <c r="F18" s="35" t="s">
        <v>1495</v>
      </c>
      <c r="G18" s="37">
        <v>1000000</v>
      </c>
      <c r="H18" s="94"/>
      <c r="I18" s="397"/>
      <c r="J18" s="29"/>
      <c r="K18" s="29"/>
      <c r="L18" s="29"/>
      <c r="M18" s="400"/>
      <c r="N18" s="31"/>
    </row>
    <row r="19" spans="1:14" ht="21.75">
      <c r="A19" s="93"/>
      <c r="B19" s="93"/>
      <c r="C19" s="93"/>
      <c r="D19" s="93" t="s">
        <v>1496</v>
      </c>
      <c r="E19" s="401" t="s">
        <v>1497</v>
      </c>
      <c r="F19" s="93" t="s">
        <v>1498</v>
      </c>
      <c r="G19" s="94">
        <v>500000</v>
      </c>
      <c r="H19" s="94"/>
      <c r="I19" s="397"/>
      <c r="J19" s="398"/>
      <c r="K19" s="398"/>
      <c r="L19" s="398"/>
      <c r="M19" s="399"/>
      <c r="N19" s="94"/>
    </row>
    <row r="20" spans="1:14" ht="21.75">
      <c r="A20" s="93"/>
      <c r="B20" s="93"/>
      <c r="C20" s="93"/>
      <c r="D20" s="93" t="s">
        <v>1499</v>
      </c>
      <c r="E20" s="401" t="s">
        <v>1500</v>
      </c>
      <c r="F20" s="93" t="s">
        <v>1501</v>
      </c>
      <c r="G20" s="94">
        <v>500000</v>
      </c>
      <c r="H20" s="94"/>
      <c r="I20" s="397"/>
      <c r="J20" s="398"/>
      <c r="K20" s="398"/>
      <c r="L20" s="398"/>
      <c r="M20" s="399"/>
      <c r="N20" s="94"/>
    </row>
    <row r="21" spans="1:14" ht="21.75">
      <c r="A21" s="93"/>
      <c r="B21" s="93"/>
      <c r="C21" s="93"/>
      <c r="D21" s="93" t="s">
        <v>1502</v>
      </c>
      <c r="E21" s="401" t="s">
        <v>1500</v>
      </c>
      <c r="F21" s="93" t="s">
        <v>1501</v>
      </c>
      <c r="G21" s="94">
        <v>500000</v>
      </c>
      <c r="H21" s="94"/>
      <c r="I21" s="397"/>
      <c r="J21" s="398"/>
      <c r="K21" s="398"/>
      <c r="L21" s="398"/>
      <c r="M21" s="399"/>
      <c r="N21" s="94"/>
    </row>
    <row r="22" spans="1:14" ht="21.75">
      <c r="A22" s="93"/>
      <c r="B22" s="93"/>
      <c r="C22" s="93"/>
      <c r="D22" s="93" t="s">
        <v>1503</v>
      </c>
      <c r="E22" s="401" t="s">
        <v>1500</v>
      </c>
      <c r="F22" s="93" t="s">
        <v>1501</v>
      </c>
      <c r="G22" s="94">
        <v>111000</v>
      </c>
      <c r="H22" s="94" t="s">
        <v>1504</v>
      </c>
      <c r="I22" s="397"/>
      <c r="J22" s="398"/>
      <c r="K22" s="398"/>
      <c r="L22" s="398"/>
      <c r="M22" s="399"/>
      <c r="N22" s="94"/>
    </row>
    <row r="23" spans="1:14" ht="21.75">
      <c r="A23" s="93"/>
      <c r="B23" s="93"/>
      <c r="C23" s="93"/>
      <c r="D23" s="93"/>
      <c r="E23" s="93"/>
      <c r="F23" s="93"/>
      <c r="G23" s="94"/>
      <c r="H23" s="402"/>
      <c r="I23" s="397"/>
      <c r="J23" s="398"/>
      <c r="K23" s="398"/>
      <c r="L23" s="398"/>
      <c r="M23" s="399"/>
      <c r="N23" s="94"/>
    </row>
    <row r="24" spans="1:14" ht="21.75">
      <c r="A24" s="93"/>
      <c r="B24" s="93"/>
      <c r="C24" s="93"/>
      <c r="D24" s="93"/>
      <c r="E24" s="93"/>
      <c r="F24" s="93"/>
      <c r="G24" s="94"/>
      <c r="H24" s="94"/>
      <c r="I24" s="397"/>
      <c r="J24" s="398"/>
      <c r="K24" s="398"/>
      <c r="L24" s="398"/>
      <c r="M24" s="399"/>
      <c r="N24" s="94"/>
    </row>
    <row r="25" spans="1:14" ht="21.75">
      <c r="A25" s="93"/>
      <c r="B25" s="93"/>
      <c r="C25" s="93"/>
      <c r="D25" s="93"/>
      <c r="E25" s="93"/>
      <c r="F25" s="93"/>
      <c r="G25" s="94"/>
      <c r="H25" s="94"/>
      <c r="I25" s="397"/>
      <c r="J25" s="398"/>
      <c r="K25" s="398"/>
      <c r="L25" s="398"/>
      <c r="M25" s="399"/>
      <c r="N25" s="94"/>
    </row>
    <row r="26" spans="1:14" ht="21.75">
      <c r="A26" s="93"/>
      <c r="B26" s="93"/>
      <c r="C26" s="93"/>
      <c r="D26" s="93"/>
      <c r="E26" s="93"/>
      <c r="F26" s="93"/>
      <c r="G26" s="94"/>
      <c r="H26" s="94"/>
      <c r="I26" s="397"/>
      <c r="J26" s="398"/>
      <c r="K26" s="398"/>
      <c r="L26" s="398"/>
      <c r="M26" s="399"/>
      <c r="N26" s="94"/>
    </row>
    <row r="27" spans="1:14" ht="21.75">
      <c r="A27" s="93"/>
      <c r="B27" s="93"/>
      <c r="C27" s="93"/>
      <c r="D27" s="93"/>
      <c r="E27" s="93"/>
      <c r="F27" s="93"/>
      <c r="G27" s="94"/>
      <c r="H27" s="94"/>
      <c r="I27" s="397"/>
      <c r="J27" s="398"/>
      <c r="K27" s="398"/>
      <c r="L27" s="398"/>
      <c r="M27" s="399"/>
      <c r="N27" s="94"/>
    </row>
    <row r="28" spans="1:14" ht="21.75">
      <c r="A28" s="651" t="s">
        <v>1505</v>
      </c>
      <c r="B28" s="651"/>
      <c r="C28" s="651"/>
      <c r="D28" s="651"/>
      <c r="E28" s="651"/>
      <c r="F28" s="651"/>
      <c r="G28" s="651"/>
      <c r="H28" s="651"/>
      <c r="I28" s="651"/>
      <c r="J28" s="143"/>
      <c r="K28" s="143"/>
      <c r="L28" s="143"/>
      <c r="M28" s="251"/>
    </row>
    <row r="29" spans="1:14" ht="28.5">
      <c r="A29" s="16" t="s">
        <v>11</v>
      </c>
      <c r="B29" s="17" t="s">
        <v>697</v>
      </c>
      <c r="C29" s="17" t="s">
        <v>698</v>
      </c>
      <c r="D29" s="17" t="s">
        <v>12</v>
      </c>
      <c r="E29" s="16" t="s">
        <v>699</v>
      </c>
      <c r="F29" s="16" t="s">
        <v>657</v>
      </c>
      <c r="G29" s="17" t="s">
        <v>700</v>
      </c>
      <c r="H29" s="16" t="s">
        <v>660</v>
      </c>
      <c r="I29" s="16" t="s">
        <v>27</v>
      </c>
    </row>
    <row r="30" spans="1:14" ht="21.75">
      <c r="A30" s="18">
        <v>1</v>
      </c>
      <c r="B30" s="18" t="s">
        <v>152</v>
      </c>
      <c r="C30" s="7" t="s">
        <v>1506</v>
      </c>
      <c r="D30" s="7" t="s">
        <v>1507</v>
      </c>
      <c r="E30" s="34" t="s">
        <v>703</v>
      </c>
      <c r="F30" s="20" t="s">
        <v>1508</v>
      </c>
      <c r="G30" s="18" t="s">
        <v>1509</v>
      </c>
      <c r="H30" s="21">
        <v>500000</v>
      </c>
      <c r="I30" s="21" t="s">
        <v>1510</v>
      </c>
    </row>
    <row r="31" spans="1:14">
      <c r="A31" s="18"/>
      <c r="B31" s="18"/>
      <c r="C31" s="18"/>
      <c r="D31" s="18"/>
      <c r="E31" s="19" t="s">
        <v>1511</v>
      </c>
      <c r="F31" s="20" t="s">
        <v>1508</v>
      </c>
      <c r="G31" s="18" t="s">
        <v>1509</v>
      </c>
      <c r="H31" s="21">
        <v>500000</v>
      </c>
      <c r="I31" s="21"/>
    </row>
    <row r="32" spans="1:14" ht="21.75">
      <c r="A32" s="18"/>
      <c r="B32" s="18"/>
      <c r="C32" s="18"/>
      <c r="D32" s="18"/>
      <c r="E32" s="7" t="s">
        <v>1512</v>
      </c>
      <c r="F32" s="20" t="s">
        <v>1513</v>
      </c>
      <c r="G32" s="18" t="s">
        <v>1514</v>
      </c>
      <c r="H32" s="21">
        <v>1000000</v>
      </c>
      <c r="I32" s="21"/>
    </row>
    <row r="33" spans="1:10">
      <c r="A33" s="18"/>
      <c r="B33" s="18"/>
      <c r="C33" s="18"/>
      <c r="D33" s="18"/>
      <c r="E33" s="18" t="s">
        <v>1515</v>
      </c>
      <c r="F33" s="20" t="s">
        <v>1516</v>
      </c>
      <c r="G33" s="18" t="s">
        <v>1517</v>
      </c>
      <c r="H33" s="21">
        <v>500000</v>
      </c>
      <c r="I33" s="21"/>
      <c r="J33" s="51">
        <v>1942</v>
      </c>
    </row>
    <row r="34" spans="1:10">
      <c r="A34" s="18"/>
      <c r="B34" s="18"/>
      <c r="C34" s="18"/>
      <c r="D34" s="18"/>
      <c r="E34" s="18" t="s">
        <v>1518</v>
      </c>
      <c r="F34" s="20"/>
      <c r="G34" s="18"/>
      <c r="H34" s="21"/>
      <c r="I34" s="21">
        <v>500000</v>
      </c>
    </row>
    <row r="35" spans="1:10">
      <c r="A35" s="18"/>
      <c r="B35" s="18"/>
      <c r="C35" s="18"/>
      <c r="D35" s="18"/>
      <c r="E35" s="18" t="s">
        <v>1006</v>
      </c>
      <c r="F35" s="20"/>
      <c r="G35" s="18"/>
      <c r="H35" s="21"/>
      <c r="I35" s="21">
        <v>-250000</v>
      </c>
    </row>
    <row r="36" spans="1:10">
      <c r="A36" s="18"/>
      <c r="B36" s="18"/>
      <c r="C36" s="18"/>
      <c r="D36" s="18"/>
      <c r="E36" s="355" t="s">
        <v>1519</v>
      </c>
      <c r="F36" s="20"/>
      <c r="G36" s="18"/>
      <c r="H36" s="21"/>
      <c r="I36" s="21">
        <v>500000</v>
      </c>
    </row>
    <row r="37" spans="1:10">
      <c r="A37" s="18"/>
      <c r="B37" s="18"/>
      <c r="C37" s="18"/>
      <c r="D37" s="18"/>
      <c r="E37" s="18" t="s">
        <v>1520</v>
      </c>
      <c r="F37" s="20"/>
      <c r="G37" s="18"/>
      <c r="H37" s="21"/>
      <c r="I37" s="21">
        <v>250000</v>
      </c>
    </row>
    <row r="38" spans="1:10">
      <c r="A38" s="18"/>
      <c r="B38" s="18"/>
      <c r="C38" s="18"/>
      <c r="D38" s="18"/>
      <c r="E38" s="18"/>
      <c r="F38" s="20"/>
      <c r="G38" s="18"/>
      <c r="H38" s="21"/>
      <c r="I38" s="21"/>
    </row>
    <row r="39" spans="1:10">
      <c r="A39" s="18"/>
      <c r="B39" s="18"/>
      <c r="C39" s="18"/>
      <c r="D39" s="18"/>
      <c r="E39" s="18"/>
      <c r="F39" s="21"/>
      <c r="G39" s="18"/>
      <c r="H39" s="21"/>
      <c r="I39" s="21"/>
    </row>
    <row r="40" spans="1:10">
      <c r="A40" s="18"/>
      <c r="B40" s="18"/>
      <c r="C40" s="18"/>
      <c r="D40" s="18"/>
      <c r="E40" s="18"/>
      <c r="F40" s="21"/>
      <c r="G40" s="18"/>
      <c r="H40" s="21"/>
      <c r="I40" s="21"/>
    </row>
    <row r="41" spans="1:10">
      <c r="A41" s="18"/>
      <c r="B41" s="18"/>
      <c r="C41" s="18"/>
      <c r="D41" s="18"/>
      <c r="E41" s="18"/>
      <c r="F41" s="21"/>
      <c r="G41" s="18"/>
      <c r="H41" s="21"/>
      <c r="I41" s="21"/>
    </row>
    <row r="42" spans="1:10">
      <c r="A42" s="18"/>
      <c r="B42" s="18"/>
      <c r="C42" s="18"/>
      <c r="D42" s="18"/>
      <c r="E42" s="18"/>
      <c r="F42" s="21"/>
      <c r="G42" s="18"/>
      <c r="H42" s="21">
        <f>SUM(H30:H41)</f>
        <v>2500000</v>
      </c>
      <c r="I42" s="21"/>
    </row>
    <row r="43" spans="1:10">
      <c r="A43" s="431"/>
      <c r="B43" s="433" t="s">
        <v>648</v>
      </c>
      <c r="C43" s="431"/>
      <c r="D43" s="431"/>
      <c r="E43" s="431"/>
      <c r="F43" s="432"/>
      <c r="G43" s="431"/>
      <c r="H43" s="432"/>
      <c r="I43" s="432"/>
    </row>
    <row r="44" spans="1:10">
      <c r="A44" s="685" t="s">
        <v>1521</v>
      </c>
      <c r="B44" s="685"/>
      <c r="C44" s="685"/>
      <c r="D44" s="685"/>
      <c r="E44" s="685"/>
      <c r="F44" s="685"/>
      <c r="G44" s="685"/>
      <c r="H44" s="685"/>
      <c r="I44" s="685"/>
    </row>
    <row r="45" spans="1:10" ht="43.5">
      <c r="A45" s="33" t="s">
        <v>11</v>
      </c>
      <c r="B45" s="145" t="s">
        <v>697</v>
      </c>
      <c r="C45" s="145" t="s">
        <v>698</v>
      </c>
      <c r="D45" s="145" t="s">
        <v>12</v>
      </c>
      <c r="E45" s="33" t="s">
        <v>699</v>
      </c>
      <c r="F45" s="33" t="s">
        <v>657</v>
      </c>
      <c r="G45" s="145" t="s">
        <v>700</v>
      </c>
      <c r="H45" s="33" t="s">
        <v>660</v>
      </c>
      <c r="I45" s="33" t="s">
        <v>27</v>
      </c>
    </row>
    <row r="46" spans="1:10" ht="21.75">
      <c r="A46" s="7">
        <v>1</v>
      </c>
      <c r="B46" s="7" t="s">
        <v>152</v>
      </c>
      <c r="C46" s="7" t="s">
        <v>1506</v>
      </c>
      <c r="D46" s="7" t="s">
        <v>1507</v>
      </c>
      <c r="E46" s="403" t="s">
        <v>703</v>
      </c>
      <c r="F46" s="147" t="s">
        <v>1522</v>
      </c>
      <c r="G46" s="7" t="s">
        <v>1523</v>
      </c>
      <c r="H46" s="9">
        <v>500000</v>
      </c>
      <c r="I46" s="9"/>
    </row>
    <row r="47" spans="1:10" ht="21.75">
      <c r="A47" s="7"/>
      <c r="B47" s="7"/>
      <c r="C47" s="7"/>
      <c r="D47" s="7"/>
      <c r="E47" s="404" t="s">
        <v>1524</v>
      </c>
      <c r="F47" s="147" t="s">
        <v>1522</v>
      </c>
      <c r="G47" s="7" t="s">
        <v>1523</v>
      </c>
      <c r="H47" s="9">
        <v>500000</v>
      </c>
      <c r="I47" s="9"/>
    </row>
    <row r="48" spans="1:10" ht="21.75">
      <c r="A48" s="7"/>
      <c r="B48" s="7"/>
      <c r="C48" s="7"/>
      <c r="D48" s="7"/>
      <c r="E48" s="7" t="s">
        <v>1525</v>
      </c>
      <c r="F48" s="147" t="s">
        <v>1526</v>
      </c>
      <c r="G48" s="7" t="s">
        <v>1527</v>
      </c>
      <c r="H48" s="9">
        <v>1500000</v>
      </c>
      <c r="I48" s="9"/>
    </row>
    <row r="49" spans="1:9" ht="21.75">
      <c r="A49" s="7"/>
      <c r="B49" s="7"/>
      <c r="C49" s="7"/>
      <c r="D49" s="7"/>
      <c r="E49" s="7" t="s">
        <v>1066</v>
      </c>
      <c r="F49" s="147" t="s">
        <v>1526</v>
      </c>
      <c r="G49" s="7" t="s">
        <v>1527</v>
      </c>
      <c r="H49" s="9">
        <v>-500000</v>
      </c>
      <c r="I49" s="9"/>
    </row>
    <row r="50" spans="1:9" ht="21.75">
      <c r="A50" s="7"/>
      <c r="B50" s="7"/>
      <c r="C50" s="7"/>
      <c r="D50" s="7"/>
      <c r="E50" s="7"/>
      <c r="F50" s="147"/>
      <c r="G50" s="7"/>
      <c r="H50" s="9"/>
      <c r="I50" s="9"/>
    </row>
    <row r="51" spans="1:9" ht="21.75">
      <c r="A51" s="7"/>
      <c r="B51" s="7"/>
      <c r="C51" s="7"/>
      <c r="D51" s="7"/>
      <c r="E51" s="7"/>
      <c r="F51" s="147"/>
      <c r="G51" s="7"/>
      <c r="H51" s="9"/>
      <c r="I51" s="9"/>
    </row>
    <row r="52" spans="1:9" ht="21.75">
      <c r="A52" s="7"/>
      <c r="B52" s="7"/>
      <c r="C52" s="7"/>
      <c r="D52" s="7"/>
      <c r="E52" s="405"/>
      <c r="F52" s="147"/>
      <c r="G52" s="7"/>
      <c r="H52" s="9"/>
      <c r="I52" s="9"/>
    </row>
    <row r="53" spans="1:9" ht="21.75">
      <c r="A53" s="7"/>
      <c r="B53" s="7"/>
      <c r="C53" s="7"/>
      <c r="D53" s="7"/>
      <c r="E53" s="7"/>
      <c r="F53" s="147"/>
      <c r="G53" s="7"/>
      <c r="H53" s="9"/>
      <c r="I53" s="9"/>
    </row>
    <row r="54" spans="1:9" ht="21.75">
      <c r="A54" s="7"/>
      <c r="B54" s="7"/>
      <c r="C54" s="7"/>
      <c r="D54" s="7"/>
      <c r="E54" s="7"/>
      <c r="F54" s="147"/>
      <c r="G54" s="7"/>
      <c r="H54" s="9"/>
      <c r="I54" s="9"/>
    </row>
    <row r="55" spans="1:9" ht="21.75">
      <c r="A55" s="7"/>
      <c r="B55" s="7"/>
      <c r="C55" s="7"/>
      <c r="D55" s="7"/>
      <c r="E55" s="7"/>
      <c r="F55" s="9"/>
      <c r="G55" s="7"/>
      <c r="H55" s="9"/>
      <c r="I55" s="9"/>
    </row>
    <row r="56" spans="1:9" ht="21.75">
      <c r="A56" s="7"/>
      <c r="B56" s="7"/>
      <c r="C56" s="7"/>
      <c r="D56" s="7"/>
      <c r="E56" s="7"/>
      <c r="F56" s="9"/>
      <c r="G56" s="7"/>
      <c r="H56" s="9"/>
      <c r="I56" s="9"/>
    </row>
    <row r="57" spans="1:9" ht="21.75">
      <c r="A57" s="7"/>
      <c r="B57" s="7"/>
      <c r="C57" s="7"/>
      <c r="D57" s="7"/>
      <c r="E57" s="7"/>
      <c r="F57" s="9"/>
      <c r="G57" s="7"/>
      <c r="H57" s="9"/>
      <c r="I57" s="9"/>
    </row>
    <row r="58" spans="1:9" ht="21.75">
      <c r="A58" s="7"/>
      <c r="B58" s="7"/>
      <c r="C58" s="7"/>
      <c r="D58" s="7"/>
      <c r="E58" s="7"/>
      <c r="F58" s="9"/>
      <c r="G58" s="7"/>
      <c r="H58" s="9">
        <f>SUM(H46:H57)</f>
        <v>2000000</v>
      </c>
      <c r="I58" s="9"/>
    </row>
    <row r="61" spans="1:9">
      <c r="A61" s="685" t="s">
        <v>1528</v>
      </c>
      <c r="B61" s="685"/>
      <c r="C61" s="685"/>
      <c r="D61" s="685"/>
      <c r="E61" s="685"/>
      <c r="F61" s="685"/>
      <c r="G61" s="685"/>
      <c r="H61" s="685"/>
      <c r="I61" s="685"/>
    </row>
    <row r="62" spans="1:9" ht="43.5">
      <c r="A62" s="33" t="s">
        <v>11</v>
      </c>
      <c r="B62" s="145" t="s">
        <v>697</v>
      </c>
      <c r="C62" s="145" t="s">
        <v>698</v>
      </c>
      <c r="D62" s="145" t="s">
        <v>12</v>
      </c>
      <c r="E62" s="33" t="s">
        <v>699</v>
      </c>
      <c r="F62" s="33" t="s">
        <v>657</v>
      </c>
      <c r="G62" s="145" t="s">
        <v>700</v>
      </c>
      <c r="H62" s="33" t="s">
        <v>660</v>
      </c>
      <c r="I62" s="33" t="s">
        <v>27</v>
      </c>
    </row>
    <row r="63" spans="1:9" ht="21.75">
      <c r="A63" s="7">
        <v>1</v>
      </c>
      <c r="B63" s="7" t="s">
        <v>152</v>
      </c>
      <c r="C63" s="7" t="s">
        <v>549</v>
      </c>
      <c r="D63" s="7" t="s">
        <v>1529</v>
      </c>
      <c r="E63" s="403" t="s">
        <v>703</v>
      </c>
      <c r="F63" s="147" t="s">
        <v>1530</v>
      </c>
      <c r="G63" s="7" t="s">
        <v>1531</v>
      </c>
      <c r="H63" s="9">
        <v>600000</v>
      </c>
      <c r="I63" s="9" t="s">
        <v>891</v>
      </c>
    </row>
    <row r="64" spans="1:9" ht="21.75">
      <c r="A64" s="7"/>
      <c r="B64" s="7"/>
      <c r="C64" s="7"/>
      <c r="D64" s="7"/>
      <c r="E64" s="404" t="s">
        <v>1532</v>
      </c>
      <c r="F64" s="147" t="s">
        <v>1530</v>
      </c>
      <c r="G64" s="7" t="s">
        <v>1531</v>
      </c>
      <c r="H64" s="9">
        <v>600000</v>
      </c>
      <c r="I64" s="9" t="s">
        <v>891</v>
      </c>
    </row>
    <row r="65" spans="1:14" ht="21.75">
      <c r="A65" s="7"/>
      <c r="B65" s="7"/>
      <c r="C65" s="7"/>
      <c r="D65" s="7"/>
      <c r="E65" s="7" t="s">
        <v>1533</v>
      </c>
      <c r="F65" s="147" t="s">
        <v>1534</v>
      </c>
      <c r="G65" s="7" t="s">
        <v>1535</v>
      </c>
      <c r="H65" s="9">
        <v>4200000</v>
      </c>
      <c r="I65" s="9" t="s">
        <v>1536</v>
      </c>
    </row>
    <row r="66" spans="1:14" ht="21.75">
      <c r="A66" s="7"/>
      <c r="B66" s="7"/>
      <c r="C66" s="7"/>
      <c r="D66" s="7"/>
      <c r="E66" s="7" t="s">
        <v>684</v>
      </c>
      <c r="F66" s="147"/>
      <c r="G66" s="7" t="s">
        <v>1535</v>
      </c>
      <c r="H66" s="9">
        <v>-600000</v>
      </c>
      <c r="I66" s="9"/>
    </row>
    <row r="67" spans="1:14" ht="21.75">
      <c r="A67" s="7"/>
      <c r="B67" s="7"/>
      <c r="C67" s="7"/>
      <c r="D67" s="7"/>
      <c r="E67" s="7" t="s">
        <v>686</v>
      </c>
      <c r="F67" s="147"/>
      <c r="G67" s="7" t="s">
        <v>1535</v>
      </c>
      <c r="H67" s="9">
        <v>950000</v>
      </c>
      <c r="I67" s="9"/>
    </row>
    <row r="68" spans="1:14" ht="21.75">
      <c r="A68" s="7"/>
      <c r="B68" s="7"/>
      <c r="C68" s="7"/>
      <c r="D68" s="7"/>
      <c r="E68" s="7"/>
      <c r="F68" s="147"/>
      <c r="G68" s="7"/>
      <c r="H68" s="9"/>
      <c r="I68" s="9"/>
    </row>
    <row r="69" spans="1:14" ht="21.75">
      <c r="A69" s="7"/>
      <c r="B69" s="7"/>
      <c r="C69" s="7"/>
      <c r="D69" s="7"/>
      <c r="E69" s="405"/>
      <c r="F69" s="147"/>
      <c r="G69" s="7"/>
      <c r="H69" s="9"/>
      <c r="I69" s="9"/>
    </row>
    <row r="70" spans="1:14" ht="21.75">
      <c r="A70" s="7"/>
      <c r="B70" s="7"/>
      <c r="C70" s="7"/>
      <c r="D70" s="7"/>
      <c r="E70" s="7"/>
      <c r="F70" s="147"/>
      <c r="G70" s="7"/>
      <c r="H70" s="9"/>
      <c r="I70" s="9"/>
    </row>
    <row r="71" spans="1:14" ht="21.75">
      <c r="A71" s="7"/>
      <c r="B71" s="7"/>
      <c r="C71" s="7"/>
      <c r="D71" s="7"/>
      <c r="E71" s="7"/>
      <c r="F71" s="147"/>
      <c r="G71" s="7"/>
      <c r="H71" s="9"/>
      <c r="I71" s="9"/>
    </row>
    <row r="72" spans="1:14" ht="21.75">
      <c r="A72" s="7"/>
      <c r="B72" s="7"/>
      <c r="C72" s="7"/>
      <c r="D72" s="7"/>
      <c r="E72" s="7"/>
      <c r="F72" s="9"/>
      <c r="G72" s="7"/>
      <c r="H72" s="9"/>
      <c r="I72" s="9"/>
    </row>
    <row r="73" spans="1:14" ht="21.75">
      <c r="A73" s="7"/>
      <c r="B73" s="7"/>
      <c r="C73" s="7"/>
      <c r="D73" s="7"/>
      <c r="E73" s="7"/>
      <c r="F73" s="9"/>
      <c r="G73" s="7"/>
      <c r="H73" s="9"/>
      <c r="I73" s="9"/>
    </row>
    <row r="74" spans="1:14" ht="21.75">
      <c r="A74" s="7"/>
      <c r="B74" s="7"/>
      <c r="C74" s="7"/>
      <c r="D74" s="7"/>
      <c r="E74" s="7"/>
      <c r="F74" s="9"/>
      <c r="G74" s="7"/>
      <c r="H74" s="9"/>
      <c r="I74" s="9"/>
    </row>
    <row r="75" spans="1:14" ht="21.75">
      <c r="A75" s="7"/>
      <c r="B75" s="7"/>
      <c r="C75" s="7"/>
      <c r="D75" s="7"/>
      <c r="E75" s="7"/>
      <c r="F75" s="9"/>
      <c r="G75" s="7"/>
      <c r="H75" s="9">
        <f>SUM(H63:H74)</f>
        <v>5750000</v>
      </c>
      <c r="I75" s="9"/>
    </row>
    <row r="78" spans="1:14" ht="24.6" customHeight="1">
      <c r="A78" s="685" t="s">
        <v>548</v>
      </c>
      <c r="B78" s="685"/>
      <c r="C78" s="685"/>
      <c r="D78" s="685"/>
      <c r="E78" s="685"/>
      <c r="F78" s="685"/>
      <c r="G78" s="685"/>
      <c r="H78" s="685"/>
      <c r="I78" s="685"/>
      <c r="M78" s="558" t="s">
        <v>649</v>
      </c>
    </row>
    <row r="79" spans="1:14" ht="43.5">
      <c r="A79" s="33" t="s">
        <v>11</v>
      </c>
      <c r="B79" s="145" t="s">
        <v>697</v>
      </c>
      <c r="C79" s="145" t="s">
        <v>698</v>
      </c>
      <c r="D79" s="145" t="s">
        <v>12</v>
      </c>
      <c r="E79" s="33" t="s">
        <v>699</v>
      </c>
      <c r="F79" s="33" t="s">
        <v>657</v>
      </c>
      <c r="G79" s="145" t="s">
        <v>700</v>
      </c>
      <c r="H79" s="33" t="s">
        <v>660</v>
      </c>
      <c r="I79" s="33" t="s">
        <v>27</v>
      </c>
      <c r="L79" s="556" t="s">
        <v>807</v>
      </c>
      <c r="M79" s="557" t="s">
        <v>651</v>
      </c>
      <c r="N79" s="557" t="s">
        <v>652</v>
      </c>
    </row>
    <row r="80" spans="1:14" ht="21.75">
      <c r="A80" s="7">
        <v>1</v>
      </c>
      <c r="B80" s="7" t="s">
        <v>152</v>
      </c>
      <c r="C80" s="7" t="s">
        <v>549</v>
      </c>
      <c r="D80" s="7" t="s">
        <v>1529</v>
      </c>
      <c r="E80" s="403" t="s">
        <v>661</v>
      </c>
      <c r="F80" s="147" t="s">
        <v>1537</v>
      </c>
      <c r="G80" s="7" t="s">
        <v>788</v>
      </c>
      <c r="H80" s="9">
        <v>800000</v>
      </c>
      <c r="I80" s="9" t="s">
        <v>664</v>
      </c>
      <c r="L80" s="556"/>
      <c r="M80" s="557"/>
      <c r="N80" s="557"/>
    </row>
    <row r="81" spans="1:14" ht="21.75">
      <c r="A81" s="7"/>
      <c r="B81" s="7"/>
      <c r="C81" s="7"/>
      <c r="D81" s="7"/>
      <c r="E81" s="404" t="s">
        <v>1538</v>
      </c>
      <c r="F81" s="147" t="s">
        <v>1537</v>
      </c>
      <c r="G81" s="7" t="s">
        <v>788</v>
      </c>
      <c r="H81" s="9">
        <v>800000</v>
      </c>
      <c r="I81" s="9" t="s">
        <v>664</v>
      </c>
      <c r="L81" s="51" t="s">
        <v>793</v>
      </c>
      <c r="M81" s="104" t="s">
        <v>1539</v>
      </c>
      <c r="N81" s="104">
        <v>170000</v>
      </c>
    </row>
    <row r="82" spans="1:14" ht="21.75">
      <c r="A82" s="7"/>
      <c r="B82" s="7"/>
      <c r="C82" s="7"/>
      <c r="D82" s="7"/>
      <c r="E82" s="7" t="s">
        <v>524</v>
      </c>
      <c r="F82" s="147" t="s">
        <v>1540</v>
      </c>
      <c r="G82" s="7" t="s">
        <v>692</v>
      </c>
      <c r="H82" s="9">
        <v>800000</v>
      </c>
      <c r="I82" s="9" t="s">
        <v>1541</v>
      </c>
      <c r="L82" s="51" t="s">
        <v>771</v>
      </c>
      <c r="M82" s="104" t="s">
        <v>1542</v>
      </c>
      <c r="N82" s="104">
        <v>90000</v>
      </c>
    </row>
    <row r="83" spans="1:14" ht="21.75">
      <c r="A83" s="7"/>
      <c r="B83" s="7"/>
      <c r="C83" s="7"/>
      <c r="D83" s="7"/>
      <c r="E83" s="7" t="s">
        <v>1543</v>
      </c>
      <c r="F83" s="147" t="s">
        <v>1544</v>
      </c>
      <c r="G83" s="7" t="s">
        <v>1545</v>
      </c>
      <c r="H83" s="9">
        <v>800000</v>
      </c>
      <c r="I83" s="9" t="s">
        <v>1546</v>
      </c>
      <c r="L83" s="51" t="s">
        <v>771</v>
      </c>
      <c r="M83" s="104" t="s">
        <v>1547</v>
      </c>
      <c r="N83" s="104">
        <v>60000</v>
      </c>
    </row>
    <row r="84" spans="1:14" ht="21.75">
      <c r="A84" s="7"/>
      <c r="B84" s="7"/>
      <c r="C84" s="7"/>
      <c r="D84" s="7"/>
      <c r="E84" s="7" t="s">
        <v>551</v>
      </c>
      <c r="F84" s="147" t="s">
        <v>1548</v>
      </c>
      <c r="G84" s="7" t="s">
        <v>803</v>
      </c>
      <c r="H84" s="9">
        <v>800000</v>
      </c>
      <c r="I84" s="9" t="s">
        <v>1549</v>
      </c>
      <c r="L84" s="51" t="s">
        <v>771</v>
      </c>
      <c r="M84" s="104" t="s">
        <v>1550</v>
      </c>
      <c r="N84" s="104">
        <v>65000</v>
      </c>
    </row>
    <row r="85" spans="1:14" ht="21.75">
      <c r="A85" s="7"/>
      <c r="B85" s="7"/>
      <c r="C85" s="7"/>
      <c r="D85" s="7"/>
      <c r="E85" s="7"/>
      <c r="F85" s="147"/>
      <c r="G85" s="7"/>
      <c r="H85" s="9"/>
      <c r="I85" s="9"/>
    </row>
    <row r="86" spans="1:14" ht="21.75">
      <c r="A86" s="7"/>
      <c r="B86" s="7"/>
      <c r="C86" s="7"/>
      <c r="D86" s="7"/>
      <c r="E86" s="405"/>
      <c r="F86" s="147"/>
      <c r="G86" s="7"/>
      <c r="H86" s="9"/>
      <c r="I86" s="9"/>
    </row>
    <row r="87" spans="1:14" ht="21.75">
      <c r="A87" s="7"/>
      <c r="B87" s="7"/>
      <c r="C87" s="7"/>
      <c r="D87" s="7"/>
      <c r="E87" s="7"/>
      <c r="F87" s="147"/>
      <c r="G87" s="7"/>
      <c r="H87" s="9"/>
      <c r="I87" s="9"/>
    </row>
    <row r="88" spans="1:14" ht="21.75">
      <c r="A88" s="7"/>
      <c r="B88" s="7"/>
      <c r="C88" s="7"/>
      <c r="D88" s="7"/>
      <c r="E88" s="7"/>
      <c r="F88" s="147"/>
      <c r="G88" s="7"/>
      <c r="H88" s="9"/>
      <c r="I88" s="9"/>
    </row>
    <row r="89" spans="1:14" ht="21.75">
      <c r="A89" s="7"/>
      <c r="B89" s="7"/>
      <c r="C89" s="7"/>
      <c r="D89" s="7"/>
      <c r="E89" s="7"/>
      <c r="F89" s="9"/>
      <c r="G89" s="7"/>
      <c r="H89" s="9"/>
      <c r="I89" s="9"/>
    </row>
    <row r="90" spans="1:14" ht="21.75">
      <c r="A90" s="7"/>
      <c r="B90" s="7"/>
      <c r="C90" s="7"/>
      <c r="D90" s="7"/>
      <c r="E90" s="7"/>
      <c r="F90" s="9"/>
      <c r="G90" s="7"/>
      <c r="H90" s="9"/>
      <c r="I90" s="9"/>
    </row>
    <row r="91" spans="1:14" ht="21.75">
      <c r="A91" s="7"/>
      <c r="B91" s="7"/>
      <c r="C91" s="7"/>
      <c r="D91" s="7"/>
      <c r="E91" s="7"/>
      <c r="F91" s="9"/>
      <c r="G91" s="7"/>
      <c r="H91" s="9"/>
      <c r="I91" s="9"/>
    </row>
    <row r="92" spans="1:14" ht="21.75">
      <c r="A92" s="7"/>
      <c r="B92" s="7"/>
      <c r="C92" s="7"/>
      <c r="D92" s="7"/>
      <c r="E92" s="7"/>
      <c r="F92" s="9"/>
      <c r="G92" s="7"/>
      <c r="H92" s="9">
        <f>SUM(H80:H91)</f>
        <v>4000000</v>
      </c>
      <c r="I92" s="9"/>
      <c r="L92" s="114"/>
      <c r="M92" s="559" t="s">
        <v>665</v>
      </c>
      <c r="N92" s="559">
        <f>SUM(N81:N90)</f>
        <v>385000</v>
      </c>
    </row>
  </sheetData>
  <mergeCells count="12">
    <mergeCell ref="A78:I78"/>
    <mergeCell ref="J2:N2"/>
    <mergeCell ref="J3:J4"/>
    <mergeCell ref="K3:K4"/>
    <mergeCell ref="L3:L4"/>
    <mergeCell ref="M3:M4"/>
    <mergeCell ref="N3:N4"/>
    <mergeCell ref="A61:I61"/>
    <mergeCell ref="A16:H16"/>
    <mergeCell ref="A28:I28"/>
    <mergeCell ref="A44:I44"/>
    <mergeCell ref="A2:H2"/>
  </mergeCells>
  <hyperlinks>
    <hyperlink ref="B1" location="Name!A1" display="Name!A1" xr:uid="{D9547C60-F04A-4EDB-9AE9-BB098A220BB1}"/>
    <hyperlink ref="B43" location="Name!A1" display="Name!A1" xr:uid="{CC5D4F61-5251-49F7-A39A-1E15227C169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511E-70C6-43C2-A69E-EE7FE40851DE}">
  <dimension ref="A1:Q46"/>
  <sheetViews>
    <sheetView workbookViewId="0">
      <selection activeCell="B1" sqref="B1"/>
    </sheetView>
  </sheetViews>
  <sheetFormatPr defaultRowHeight="21.75"/>
  <cols>
    <col min="3" max="3" width="17.7109375" customWidth="1"/>
    <col min="4" max="4" width="11.85546875" customWidth="1"/>
    <col min="5" max="5" width="22.28515625" customWidth="1"/>
    <col min="6" max="6" width="11.85546875" customWidth="1"/>
    <col min="7" max="7" width="11.85546875" style="229" customWidth="1"/>
    <col min="8" max="8" width="16.42578125" style="229" customWidth="1"/>
    <col min="9" max="9" width="11.85546875" customWidth="1"/>
    <col min="10" max="10" width="51.140625" customWidth="1"/>
    <col min="11" max="11" width="47.28515625" customWidth="1"/>
    <col min="12" max="12" width="50.28515625" style="25" customWidth="1"/>
    <col min="13" max="13" width="29.85546875" style="229" customWidth="1"/>
    <col min="14" max="14" width="19" customWidth="1"/>
    <col min="15" max="15" width="17.7109375" style="229" bestFit="1" customWidth="1"/>
  </cols>
  <sheetData>
    <row r="1" spans="1:15">
      <c r="A1" s="410" t="s">
        <v>648</v>
      </c>
      <c r="B1" s="410" t="s">
        <v>648</v>
      </c>
    </row>
    <row r="2" spans="1:15">
      <c r="A2" s="651" t="s">
        <v>1551</v>
      </c>
      <c r="B2" s="651"/>
      <c r="C2" s="651"/>
      <c r="D2" s="651"/>
      <c r="E2" s="651"/>
      <c r="F2" s="651"/>
      <c r="G2" s="651"/>
      <c r="H2" s="651"/>
      <c r="I2" s="651"/>
    </row>
    <row r="3" spans="1:15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  <c r="L3" s="374" t="s">
        <v>1552</v>
      </c>
      <c r="M3" s="374"/>
      <c r="N3" s="375" t="s">
        <v>1553</v>
      </c>
    </row>
    <row r="4" spans="1:15" s="25" customFormat="1">
      <c r="A4" s="26">
        <v>1</v>
      </c>
      <c r="B4" s="26" t="s">
        <v>152</v>
      </c>
      <c r="C4" s="26" t="s">
        <v>535</v>
      </c>
      <c r="D4" s="26" t="s">
        <v>1554</v>
      </c>
      <c r="E4" s="26" t="s">
        <v>703</v>
      </c>
      <c r="F4" s="27" t="s">
        <v>1555</v>
      </c>
      <c r="G4" s="28" t="s">
        <v>1556</v>
      </c>
      <c r="H4" s="28">
        <v>500000</v>
      </c>
      <c r="I4" s="28"/>
      <c r="L4" s="376" t="s">
        <v>1557</v>
      </c>
      <c r="M4" s="376" t="s">
        <v>1558</v>
      </c>
      <c r="N4" s="377">
        <v>3000</v>
      </c>
      <c r="O4" s="234"/>
    </row>
    <row r="5" spans="1:15" s="25" customFormat="1">
      <c r="A5" s="26"/>
      <c r="B5" s="26"/>
      <c r="C5" s="26"/>
      <c r="D5" s="26"/>
      <c r="E5" s="152" t="s">
        <v>1559</v>
      </c>
      <c r="F5" s="27" t="s">
        <v>1555</v>
      </c>
      <c r="G5" s="28" t="s">
        <v>1556</v>
      </c>
      <c r="H5" s="28">
        <v>1000000</v>
      </c>
      <c r="I5" s="28"/>
      <c r="J5" s="25">
        <v>2</v>
      </c>
      <c r="L5" s="376" t="s">
        <v>1404</v>
      </c>
      <c r="M5" s="376" t="s">
        <v>1560</v>
      </c>
      <c r="N5" s="377">
        <v>96000</v>
      </c>
      <c r="O5" s="234"/>
    </row>
    <row r="6" spans="1:15" s="25" customFormat="1">
      <c r="A6" s="26"/>
      <c r="B6" s="26"/>
      <c r="C6" s="26"/>
      <c r="D6" s="26"/>
      <c r="E6" s="26" t="s">
        <v>1561</v>
      </c>
      <c r="F6" s="27" t="s">
        <v>1562</v>
      </c>
      <c r="G6" s="28" t="s">
        <v>1563</v>
      </c>
      <c r="H6" s="28">
        <v>500000</v>
      </c>
      <c r="I6" s="28"/>
      <c r="J6" s="25">
        <v>1</v>
      </c>
      <c r="L6" s="376" t="s">
        <v>1564</v>
      </c>
      <c r="M6" s="376" t="s">
        <v>1565</v>
      </c>
      <c r="N6" s="377">
        <v>379500</v>
      </c>
      <c r="O6" s="234"/>
    </row>
    <row r="7" spans="1:15" s="25" customFormat="1">
      <c r="A7" s="29"/>
      <c r="B7" s="29"/>
      <c r="C7" s="29"/>
      <c r="D7" s="29"/>
      <c r="E7" s="378" t="s">
        <v>1566</v>
      </c>
      <c r="F7" s="20" t="s">
        <v>1567</v>
      </c>
      <c r="G7" s="18" t="s">
        <v>1568</v>
      </c>
      <c r="H7" s="21">
        <v>500000</v>
      </c>
      <c r="I7" s="29"/>
      <c r="L7" s="376" t="s">
        <v>1569</v>
      </c>
      <c r="M7" s="376" t="s">
        <v>1570</v>
      </c>
      <c r="N7" s="377">
        <v>150000</v>
      </c>
      <c r="O7" s="234"/>
    </row>
    <row r="8" spans="1:15" s="25" customFormat="1">
      <c r="A8" s="29"/>
      <c r="B8" s="29"/>
      <c r="C8" s="29"/>
      <c r="D8" s="29"/>
      <c r="E8" s="29" t="s">
        <v>1066</v>
      </c>
      <c r="F8" s="29"/>
      <c r="G8" s="31" t="s">
        <v>1571</v>
      </c>
      <c r="H8" s="31">
        <v>-500000</v>
      </c>
      <c r="I8" s="29"/>
      <c r="L8" s="376" t="s">
        <v>1572</v>
      </c>
      <c r="M8" s="376" t="s">
        <v>1573</v>
      </c>
      <c r="N8" s="377">
        <v>50000</v>
      </c>
      <c r="O8" s="234"/>
    </row>
    <row r="9" spans="1:15" s="25" customFormat="1">
      <c r="A9" s="29"/>
      <c r="B9" s="29"/>
      <c r="C9" s="29"/>
      <c r="D9" s="29"/>
      <c r="E9" s="29" t="s">
        <v>1574</v>
      </c>
      <c r="F9" s="30" t="s">
        <v>1575</v>
      </c>
      <c r="G9" s="31" t="s">
        <v>1576</v>
      </c>
      <c r="H9" s="31">
        <v>500000</v>
      </c>
      <c r="I9" s="29"/>
      <c r="L9" s="376"/>
      <c r="M9" s="376" t="s">
        <v>1577</v>
      </c>
      <c r="N9" s="377">
        <v>36000</v>
      </c>
      <c r="O9" s="234"/>
    </row>
    <row r="10" spans="1:15" s="25" customFormat="1">
      <c r="A10" s="29"/>
      <c r="B10" s="29"/>
      <c r="C10" s="29"/>
      <c r="D10" s="29"/>
      <c r="E10" s="29" t="s">
        <v>1578</v>
      </c>
      <c r="F10" s="30" t="s">
        <v>1579</v>
      </c>
      <c r="G10" s="31" t="s">
        <v>1580</v>
      </c>
      <c r="H10" s="31">
        <v>500000</v>
      </c>
      <c r="I10" s="29"/>
      <c r="L10" s="376"/>
      <c r="M10" s="376" t="s">
        <v>1581</v>
      </c>
      <c r="N10" s="377">
        <v>100000</v>
      </c>
      <c r="O10" s="234"/>
    </row>
    <row r="11" spans="1:15" s="25" customFormat="1">
      <c r="A11" s="29"/>
      <c r="B11" s="29"/>
      <c r="C11" s="29"/>
      <c r="D11" s="29"/>
      <c r="E11" s="29" t="s">
        <v>1582</v>
      </c>
      <c r="F11" s="30" t="s">
        <v>1583</v>
      </c>
      <c r="G11" s="31" t="s">
        <v>1584</v>
      </c>
      <c r="H11" s="31">
        <v>500000</v>
      </c>
      <c r="I11" s="29"/>
      <c r="L11" s="376"/>
      <c r="M11" s="376"/>
      <c r="N11" s="377"/>
      <c r="O11" s="234"/>
    </row>
    <row r="12" spans="1:15" s="25" customFormat="1">
      <c r="A12" s="29"/>
      <c r="B12" s="29"/>
      <c r="C12" s="29"/>
      <c r="D12" s="29"/>
      <c r="E12" s="29" t="s">
        <v>1585</v>
      </c>
      <c r="F12" s="30" t="s">
        <v>1586</v>
      </c>
      <c r="G12" s="31" t="s">
        <v>987</v>
      </c>
      <c r="H12" s="31">
        <v>500000</v>
      </c>
      <c r="I12" s="29"/>
      <c r="L12" s="376"/>
      <c r="M12" s="376"/>
      <c r="N12" s="377"/>
      <c r="O12" s="234"/>
    </row>
    <row r="13" spans="1:15" s="25" customFormat="1">
      <c r="A13" s="29"/>
      <c r="B13" s="29"/>
      <c r="C13" s="29"/>
      <c r="D13" s="29"/>
      <c r="E13" s="29" t="s">
        <v>1587</v>
      </c>
      <c r="F13" s="30" t="s">
        <v>1588</v>
      </c>
      <c r="G13" s="31" t="s">
        <v>1589</v>
      </c>
      <c r="H13" s="31">
        <v>500000</v>
      </c>
      <c r="I13" s="29"/>
      <c r="J13" s="25" t="s">
        <v>1590</v>
      </c>
      <c r="L13" s="376"/>
      <c r="M13" s="376"/>
      <c r="N13" s="377"/>
      <c r="O13" s="234"/>
    </row>
    <row r="14" spans="1:15" s="25" customFormat="1">
      <c r="A14" s="29"/>
      <c r="B14" s="29"/>
      <c r="C14" s="29"/>
      <c r="D14" s="29"/>
      <c r="E14" s="29" t="s">
        <v>1591</v>
      </c>
      <c r="F14" s="30" t="s">
        <v>1592</v>
      </c>
      <c r="G14" s="31" t="s">
        <v>1593</v>
      </c>
      <c r="H14" s="31">
        <v>500000</v>
      </c>
      <c r="I14" s="29"/>
      <c r="J14" s="25" t="s">
        <v>1590</v>
      </c>
      <c r="L14" s="376"/>
      <c r="M14" s="376"/>
      <c r="N14" s="377"/>
      <c r="O14" s="234"/>
    </row>
    <row r="15" spans="1:15" s="25" customFormat="1">
      <c r="A15" s="29"/>
      <c r="B15" s="29"/>
      <c r="C15" s="29"/>
      <c r="D15" s="29"/>
      <c r="E15" s="29" t="s">
        <v>1594</v>
      </c>
      <c r="F15" s="30" t="s">
        <v>1595</v>
      </c>
      <c r="G15" s="31" t="s">
        <v>996</v>
      </c>
      <c r="H15" s="31">
        <v>500000</v>
      </c>
      <c r="I15" s="29"/>
      <c r="J15" s="25" t="s">
        <v>1590</v>
      </c>
      <c r="L15" s="376"/>
      <c r="M15" s="376"/>
      <c r="N15" s="377"/>
      <c r="O15" s="234"/>
    </row>
    <row r="16" spans="1:15" s="25" customFormat="1">
      <c r="A16" s="29"/>
      <c r="B16" s="29"/>
      <c r="C16" s="29"/>
      <c r="D16" s="29"/>
      <c r="E16" s="29" t="s">
        <v>1596</v>
      </c>
      <c r="F16" s="30" t="s">
        <v>1597</v>
      </c>
      <c r="G16" s="31" t="s">
        <v>996</v>
      </c>
      <c r="H16" s="31">
        <v>500000</v>
      </c>
      <c r="I16" s="29"/>
      <c r="J16" s="25" t="s">
        <v>1598</v>
      </c>
      <c r="L16" s="376"/>
      <c r="M16" s="376"/>
      <c r="N16" s="377"/>
      <c r="O16" s="234"/>
    </row>
    <row r="17" spans="1:17" s="25" customFormat="1">
      <c r="A17" s="29"/>
      <c r="B17" s="29"/>
      <c r="C17" s="29"/>
      <c r="D17" s="29"/>
      <c r="E17" s="29" t="s">
        <v>1599</v>
      </c>
      <c r="F17" s="30" t="s">
        <v>1600</v>
      </c>
      <c r="G17" s="31" t="s">
        <v>1601</v>
      </c>
      <c r="H17" s="31">
        <v>500000</v>
      </c>
      <c r="I17" s="29"/>
      <c r="J17" s="25" t="s">
        <v>1602</v>
      </c>
      <c r="L17" s="376"/>
      <c r="M17" s="376"/>
      <c r="N17" s="377"/>
      <c r="O17" s="234"/>
    </row>
    <row r="18" spans="1:17" s="25" customFormat="1">
      <c r="A18" s="29"/>
      <c r="B18" s="29"/>
      <c r="C18" s="29"/>
      <c r="D18" s="29"/>
      <c r="E18" s="29" t="s">
        <v>1603</v>
      </c>
      <c r="F18" s="30" t="s">
        <v>1604</v>
      </c>
      <c r="G18" s="31" t="s">
        <v>1605</v>
      </c>
      <c r="H18" s="31">
        <v>500000</v>
      </c>
      <c r="I18" s="29"/>
      <c r="J18" s="25" t="s">
        <v>1606</v>
      </c>
      <c r="L18" s="376"/>
      <c r="M18" s="376"/>
      <c r="N18" s="377"/>
      <c r="O18" s="234"/>
    </row>
    <row r="19" spans="1:17" s="25" customFormat="1">
      <c r="A19" s="29"/>
      <c r="B19" s="29"/>
      <c r="C19" s="29"/>
      <c r="D19" s="29"/>
      <c r="E19" s="29" t="s">
        <v>1006</v>
      </c>
      <c r="F19" s="30" t="s">
        <v>1604</v>
      </c>
      <c r="G19" s="31" t="s">
        <v>1605</v>
      </c>
      <c r="H19" s="31">
        <v>-250000</v>
      </c>
      <c r="I19" s="29"/>
      <c r="L19" s="376"/>
      <c r="M19" s="376"/>
      <c r="N19" s="377"/>
      <c r="O19" s="234"/>
    </row>
    <row r="20" spans="1:17" s="25" customFormat="1">
      <c r="A20" s="29"/>
      <c r="B20" s="29"/>
      <c r="C20" s="29"/>
      <c r="D20" s="29"/>
      <c r="E20" s="29" t="s">
        <v>1607</v>
      </c>
      <c r="F20" s="30" t="s">
        <v>1608</v>
      </c>
      <c r="G20" s="31" t="s">
        <v>1605</v>
      </c>
      <c r="H20" s="31">
        <v>500000</v>
      </c>
      <c r="I20" s="29"/>
      <c r="J20" s="25" t="s">
        <v>1609</v>
      </c>
      <c r="L20" s="376"/>
      <c r="M20" s="376"/>
      <c r="N20" s="377"/>
      <c r="O20" s="234"/>
    </row>
    <row r="21" spans="1:17" s="25" customFormat="1">
      <c r="A21" s="29"/>
      <c r="B21" s="29"/>
      <c r="C21" s="29"/>
      <c r="D21" s="29"/>
      <c r="E21" s="29" t="s">
        <v>1610</v>
      </c>
      <c r="F21" s="30" t="s">
        <v>1611</v>
      </c>
      <c r="G21" s="31" t="s">
        <v>1612</v>
      </c>
      <c r="H21" s="31">
        <v>500000</v>
      </c>
      <c r="I21" s="29"/>
      <c r="J21" s="25" t="s">
        <v>1613</v>
      </c>
      <c r="L21" s="376"/>
      <c r="M21" s="376"/>
      <c r="N21" s="377"/>
      <c r="O21" s="234"/>
    </row>
    <row r="22" spans="1:17" s="25" customFormat="1">
      <c r="A22" s="29"/>
      <c r="B22" s="29"/>
      <c r="C22" s="29"/>
      <c r="D22" s="29"/>
      <c r="E22" s="29" t="s">
        <v>1614</v>
      </c>
      <c r="F22" s="30" t="s">
        <v>1615</v>
      </c>
      <c r="G22" s="31" t="s">
        <v>1616</v>
      </c>
      <c r="H22" s="31">
        <v>500000</v>
      </c>
      <c r="I22" s="29"/>
      <c r="J22" s="25" t="s">
        <v>1617</v>
      </c>
      <c r="L22" s="376"/>
      <c r="M22" s="690" t="s">
        <v>1618</v>
      </c>
      <c r="N22" s="690"/>
      <c r="O22" s="690"/>
    </row>
    <row r="23" spans="1:17" s="25" customFormat="1">
      <c r="A23" s="29"/>
      <c r="B23" s="29"/>
      <c r="C23" s="29"/>
      <c r="D23" s="29"/>
      <c r="E23" s="29" t="s">
        <v>1619</v>
      </c>
      <c r="F23" s="30" t="s">
        <v>1620</v>
      </c>
      <c r="G23" s="31" t="s">
        <v>1621</v>
      </c>
      <c r="H23" s="31">
        <v>1000000</v>
      </c>
      <c r="I23" s="29"/>
      <c r="L23" s="376"/>
      <c r="M23" s="376" t="s">
        <v>1622</v>
      </c>
      <c r="N23" s="377" t="s">
        <v>1623</v>
      </c>
      <c r="O23" s="234">
        <v>6000000</v>
      </c>
      <c r="Q23" s="25">
        <f>500000/30</f>
        <v>16666.666666666668</v>
      </c>
    </row>
    <row r="24" spans="1:17" s="25" customFormat="1">
      <c r="A24" s="29"/>
      <c r="B24" s="29"/>
      <c r="C24" s="29"/>
      <c r="D24" s="29"/>
      <c r="E24" s="29" t="s">
        <v>1624</v>
      </c>
      <c r="F24" s="30" t="s">
        <v>1625</v>
      </c>
      <c r="G24" s="31" t="s">
        <v>1626</v>
      </c>
      <c r="H24" s="31">
        <v>5000000</v>
      </c>
      <c r="I24" s="29"/>
      <c r="L24" s="376"/>
      <c r="M24" s="25" t="s">
        <v>1627</v>
      </c>
      <c r="N24" s="43" t="s">
        <v>1628</v>
      </c>
      <c r="O24" s="234">
        <v>2500000</v>
      </c>
    </row>
    <row r="25" spans="1:17" s="25" customFormat="1">
      <c r="A25" s="29"/>
      <c r="B25" s="29"/>
      <c r="C25" s="29"/>
      <c r="D25" s="29"/>
      <c r="E25" s="29"/>
      <c r="F25" s="30"/>
      <c r="G25" s="31"/>
      <c r="H25" s="31"/>
      <c r="I25" s="29"/>
      <c r="J25" s="25" t="s">
        <v>1629</v>
      </c>
      <c r="L25" s="376"/>
      <c r="M25" s="25" t="s">
        <v>1630</v>
      </c>
      <c r="N25" s="43" t="s">
        <v>1631</v>
      </c>
      <c r="O25" s="234">
        <f>8*16666</f>
        <v>133328</v>
      </c>
    </row>
    <row r="26" spans="1:17" s="25" customFormat="1">
      <c r="A26" s="29"/>
      <c r="B26" s="29"/>
      <c r="C26" s="29"/>
      <c r="D26" s="29"/>
      <c r="E26" s="29" t="s">
        <v>1632</v>
      </c>
      <c r="F26" s="30" t="s">
        <v>1633</v>
      </c>
      <c r="G26" s="31" t="s">
        <v>1634</v>
      </c>
      <c r="H26" s="31">
        <v>2000000</v>
      </c>
      <c r="I26" s="29"/>
      <c r="J26" s="25" t="s">
        <v>736</v>
      </c>
      <c r="L26" s="376"/>
      <c r="M26" s="376" t="s">
        <v>1635</v>
      </c>
      <c r="N26" s="377"/>
      <c r="O26" s="234">
        <v>-610000</v>
      </c>
    </row>
    <row r="27" spans="1:17" s="25" customFormat="1">
      <c r="A27" s="29"/>
      <c r="B27" s="29"/>
      <c r="C27" s="29"/>
      <c r="D27" s="29"/>
      <c r="E27" s="29" t="s">
        <v>1636</v>
      </c>
      <c r="F27" s="30" t="s">
        <v>1637</v>
      </c>
      <c r="G27" s="31" t="s">
        <v>1638</v>
      </c>
      <c r="H27" s="31">
        <v>600000</v>
      </c>
      <c r="I27" s="29"/>
      <c r="L27" s="376"/>
      <c r="M27" s="376" t="s">
        <v>1066</v>
      </c>
      <c r="N27" s="377"/>
      <c r="O27" s="234">
        <v>-500000</v>
      </c>
    </row>
    <row r="28" spans="1:17" s="25" customFormat="1">
      <c r="A28" s="29"/>
      <c r="B28" s="29"/>
      <c r="C28" s="29"/>
      <c r="D28" s="29"/>
      <c r="E28" s="29" t="s">
        <v>1639</v>
      </c>
      <c r="F28" s="30" t="s">
        <v>1640</v>
      </c>
      <c r="G28" s="31" t="s">
        <v>1641</v>
      </c>
      <c r="H28" s="31">
        <v>3000000</v>
      </c>
      <c r="I28" s="29"/>
      <c r="J28" s="25" t="s">
        <v>1642</v>
      </c>
      <c r="L28" s="376"/>
      <c r="M28" s="376" t="s">
        <v>1643</v>
      </c>
      <c r="N28" s="377"/>
      <c r="O28" s="234">
        <v>-2000000</v>
      </c>
    </row>
    <row r="29" spans="1:17" s="25" customFormat="1">
      <c r="A29" s="29"/>
      <c r="B29" s="29"/>
      <c r="C29" s="29"/>
      <c r="D29" s="29"/>
      <c r="E29" s="29" t="s">
        <v>537</v>
      </c>
      <c r="F29" s="30" t="s">
        <v>1644</v>
      </c>
      <c r="G29" s="31" t="s">
        <v>790</v>
      </c>
      <c r="H29" s="479">
        <v>5000000</v>
      </c>
      <c r="I29" s="29"/>
      <c r="J29" s="43" t="s">
        <v>1645</v>
      </c>
      <c r="L29" s="376">
        <f ca="1">L21:P37</f>
        <v>0</v>
      </c>
      <c r="M29" s="376" t="s">
        <v>1646</v>
      </c>
      <c r="N29" s="377"/>
      <c r="O29" s="234">
        <v>550000</v>
      </c>
    </row>
    <row r="30" spans="1:17" s="25" customFormat="1">
      <c r="A30" s="29"/>
      <c r="B30" s="29"/>
      <c r="C30" s="29"/>
      <c r="D30" s="29"/>
      <c r="E30" s="29"/>
      <c r="F30" s="30"/>
      <c r="G30" s="31"/>
      <c r="H30" s="31"/>
      <c r="I30" s="29"/>
      <c r="J30" s="597" t="s">
        <v>1647</v>
      </c>
      <c r="L30" s="376"/>
      <c r="M30" s="376" t="s">
        <v>1648</v>
      </c>
      <c r="N30" s="377"/>
      <c r="O30" s="234">
        <v>-1100000</v>
      </c>
    </row>
    <row r="31" spans="1:17" s="25" customFormat="1">
      <c r="A31" s="29"/>
      <c r="B31" s="29"/>
      <c r="C31" s="29"/>
      <c r="D31" s="29"/>
      <c r="E31" s="29"/>
      <c r="F31" s="30"/>
      <c r="G31" s="31"/>
      <c r="H31" s="31"/>
      <c r="I31" s="29"/>
      <c r="L31" s="376"/>
      <c r="M31" s="376" t="s">
        <v>1649</v>
      </c>
      <c r="N31" s="377"/>
      <c r="O31" s="234">
        <v>-1600000</v>
      </c>
    </row>
    <row r="32" spans="1:17" s="25" customFormat="1">
      <c r="A32" s="29"/>
      <c r="B32" s="29"/>
      <c r="C32" s="29"/>
      <c r="D32" s="29"/>
      <c r="E32" s="29"/>
      <c r="F32" s="30"/>
      <c r="G32" s="31"/>
      <c r="H32" s="31"/>
      <c r="I32" s="29"/>
      <c r="L32" s="376"/>
      <c r="M32" s="376" t="s">
        <v>537</v>
      </c>
      <c r="N32" s="377"/>
      <c r="O32" s="234">
        <v>5000000</v>
      </c>
    </row>
    <row r="33" spans="1:15" s="25" customFormat="1">
      <c r="A33" s="29"/>
      <c r="B33" s="29"/>
      <c r="C33" s="29"/>
      <c r="D33" s="29"/>
      <c r="E33" s="29"/>
      <c r="F33" s="30"/>
      <c r="G33" s="31"/>
      <c r="H33" s="31"/>
      <c r="I33" s="29"/>
      <c r="L33" s="376"/>
      <c r="M33" s="376" t="s">
        <v>1650</v>
      </c>
      <c r="N33" s="377"/>
      <c r="O33" s="234">
        <v>-2000000</v>
      </c>
    </row>
    <row r="34" spans="1:15" s="25" customFormat="1" ht="22.5" thickBot="1">
      <c r="A34" s="29"/>
      <c r="B34" s="29"/>
      <c r="C34" s="29"/>
      <c r="D34" s="29"/>
      <c r="E34" s="29"/>
      <c r="F34" s="30"/>
      <c r="G34" s="31"/>
      <c r="H34" s="31"/>
      <c r="I34" s="29"/>
      <c r="L34" s="376"/>
      <c r="M34" s="379" t="s">
        <v>1651</v>
      </c>
      <c r="N34" s="377"/>
      <c r="O34" s="380">
        <f>SUM(O23:O33)</f>
        <v>6373328</v>
      </c>
    </row>
    <row r="35" spans="1:15" s="25" customFormat="1" ht="22.5" thickTop="1">
      <c r="A35" s="29"/>
      <c r="B35" s="29"/>
      <c r="C35" s="29"/>
      <c r="D35" s="29"/>
      <c r="E35" s="29"/>
      <c r="F35" s="30"/>
      <c r="G35" s="31"/>
      <c r="H35" s="31"/>
      <c r="I35" s="29"/>
      <c r="L35" s="376"/>
      <c r="M35" s="376"/>
      <c r="N35" s="377"/>
      <c r="O35" s="234"/>
    </row>
    <row r="36" spans="1:15" s="25" customFormat="1">
      <c r="A36" s="29"/>
      <c r="B36" s="29"/>
      <c r="C36" s="29"/>
      <c r="D36" s="29"/>
      <c r="E36" s="29"/>
      <c r="F36" s="30"/>
      <c r="G36" s="31"/>
      <c r="H36" s="31"/>
      <c r="I36" s="29"/>
      <c r="L36" s="376"/>
      <c r="M36" s="376"/>
      <c r="N36" s="377"/>
      <c r="O36" s="234"/>
    </row>
    <row r="37" spans="1:15" s="25" customFormat="1">
      <c r="A37" s="29"/>
      <c r="B37" s="29"/>
      <c r="C37" s="29"/>
      <c r="D37" s="29"/>
      <c r="E37" s="29"/>
      <c r="F37" s="30"/>
      <c r="G37" s="31"/>
      <c r="H37" s="31"/>
      <c r="I37" s="29"/>
      <c r="L37" s="376"/>
      <c r="M37" s="376"/>
      <c r="N37" s="377"/>
      <c r="O37" s="234"/>
    </row>
    <row r="38" spans="1:15" s="25" customFormat="1">
      <c r="A38" s="29"/>
      <c r="B38" s="29"/>
      <c r="C38" s="29"/>
      <c r="D38" s="29"/>
      <c r="E38" s="29"/>
      <c r="F38" s="30"/>
      <c r="G38" s="31"/>
      <c r="H38" s="31"/>
      <c r="I38" s="29"/>
      <c r="L38" s="376"/>
      <c r="M38" s="376"/>
      <c r="N38" s="377"/>
      <c r="O38" s="234"/>
    </row>
    <row r="39" spans="1:15" s="25" customFormat="1">
      <c r="A39" s="29"/>
      <c r="B39" s="29"/>
      <c r="C39" s="29"/>
      <c r="D39" s="29"/>
      <c r="E39" s="29"/>
      <c r="F39" s="30"/>
      <c r="G39" s="31"/>
      <c r="H39" s="31"/>
      <c r="I39" s="29"/>
      <c r="L39" s="376"/>
      <c r="M39" s="376"/>
      <c r="N39" s="377"/>
      <c r="O39" s="234"/>
    </row>
    <row r="40" spans="1:15" s="25" customFormat="1">
      <c r="A40" s="29"/>
      <c r="B40" s="29"/>
      <c r="C40" s="29"/>
      <c r="D40" s="29"/>
      <c r="E40" s="29"/>
      <c r="F40" s="29"/>
      <c r="G40" s="31"/>
      <c r="H40" s="236">
        <f>SUM(H4:H37)</f>
        <v>24850000</v>
      </c>
      <c r="I40" s="29"/>
      <c r="L40" s="376"/>
      <c r="M40" s="376"/>
      <c r="N40" s="377"/>
      <c r="O40" s="234"/>
    </row>
    <row r="41" spans="1:15" ht="15">
      <c r="L41" s="376"/>
      <c r="M41" s="376" t="s">
        <v>1652</v>
      </c>
      <c r="N41" s="381">
        <f>SUM(N4:N40)</f>
        <v>814500</v>
      </c>
    </row>
    <row r="42" spans="1:15">
      <c r="M42" s="229" t="s">
        <v>1066</v>
      </c>
      <c r="N42" s="377">
        <v>500000</v>
      </c>
    </row>
    <row r="43" spans="1:15">
      <c r="M43" s="229" t="s">
        <v>1176</v>
      </c>
      <c r="N43" s="382">
        <f>N41-N42</f>
        <v>314500</v>
      </c>
    </row>
    <row r="44" spans="1:15">
      <c r="M44" s="229" t="s">
        <v>1653</v>
      </c>
      <c r="N44">
        <v>314500</v>
      </c>
    </row>
    <row r="45" spans="1:15">
      <c r="N45" s="382">
        <f>N43-N44</f>
        <v>0</v>
      </c>
    </row>
    <row r="46" spans="1:15">
      <c r="L46" s="25" t="s">
        <v>1654</v>
      </c>
    </row>
  </sheetData>
  <mergeCells count="2">
    <mergeCell ref="A2:I2"/>
    <mergeCell ref="M22:O22"/>
  </mergeCells>
  <hyperlinks>
    <hyperlink ref="A1" location="Name!A1" display="Name!A1" xr:uid="{87F875A7-7262-45EE-ABD8-0E9F88597747}"/>
    <hyperlink ref="B1" location="Name!A1" display="Name!A1" xr:uid="{128FCD28-7AE7-4ACC-8188-03227B0C5899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3242-A871-4C39-8B77-15B4F504AA92}">
  <dimension ref="A1:P154"/>
  <sheetViews>
    <sheetView topLeftCell="A97" workbookViewId="0">
      <selection activeCell="B109" sqref="B109"/>
    </sheetView>
  </sheetViews>
  <sheetFormatPr defaultColWidth="9.140625" defaultRowHeight="21.75"/>
  <cols>
    <col min="1" max="1" width="3.28515625" style="15" customWidth="1"/>
    <col min="2" max="2" width="13.7109375" style="15" customWidth="1"/>
    <col min="3" max="3" width="17.7109375" style="15" customWidth="1"/>
    <col min="4" max="4" width="10.42578125" style="15" customWidth="1"/>
    <col min="5" max="5" width="23" style="15" customWidth="1"/>
    <col min="6" max="6" width="9.5703125" style="15" customWidth="1"/>
    <col min="7" max="7" width="21.42578125" style="15" customWidth="1"/>
    <col min="8" max="8" width="14.28515625" style="15" customWidth="1"/>
    <col min="9" max="9" width="12.42578125" style="15" customWidth="1"/>
    <col min="10" max="10" width="12" style="15" customWidth="1"/>
    <col min="11" max="11" width="23.140625" style="143" customWidth="1"/>
    <col min="12" max="12" width="11" style="15" customWidth="1"/>
    <col min="13" max="16384" width="9.140625" style="15"/>
  </cols>
  <sheetData>
    <row r="1" spans="1:9">
      <c r="B1" s="411" t="s">
        <v>648</v>
      </c>
    </row>
    <row r="2" spans="1:9">
      <c r="A2" s="675" t="s">
        <v>1655</v>
      </c>
      <c r="B2" s="675"/>
      <c r="C2" s="675"/>
      <c r="D2" s="675"/>
      <c r="E2" s="675"/>
      <c r="F2" s="675"/>
      <c r="G2" s="675"/>
      <c r="H2" s="675"/>
      <c r="I2" s="158"/>
    </row>
    <row r="3" spans="1:9">
      <c r="A3" s="651"/>
      <c r="B3" s="651"/>
      <c r="C3" s="651"/>
      <c r="D3" s="651"/>
      <c r="E3" s="651"/>
      <c r="F3" s="651"/>
      <c r="G3" s="651"/>
      <c r="H3" s="651"/>
      <c r="I3" s="158"/>
    </row>
    <row r="4" spans="1:9">
      <c r="A4" s="676" t="s">
        <v>653</v>
      </c>
      <c r="B4" s="678" t="s">
        <v>654</v>
      </c>
      <c r="C4" s="676" t="s">
        <v>655</v>
      </c>
      <c r="D4" s="676" t="s">
        <v>12</v>
      </c>
      <c r="E4" s="678" t="s">
        <v>656</v>
      </c>
      <c r="F4" s="676" t="s">
        <v>657</v>
      </c>
      <c r="G4" s="678" t="s">
        <v>658</v>
      </c>
      <c r="H4" s="161" t="s">
        <v>659</v>
      </c>
      <c r="I4" s="311"/>
    </row>
    <row r="5" spans="1:9">
      <c r="A5" s="677"/>
      <c r="B5" s="677"/>
      <c r="C5" s="677"/>
      <c r="D5" s="677"/>
      <c r="E5" s="679"/>
      <c r="F5" s="677"/>
      <c r="G5" s="677"/>
      <c r="H5" s="163" t="s">
        <v>660</v>
      </c>
      <c r="I5" s="311"/>
    </row>
    <row r="6" spans="1:9" ht="20.100000000000001" customHeight="1">
      <c r="A6" s="18">
        <v>1</v>
      </c>
      <c r="B6" s="18" t="s">
        <v>1656</v>
      </c>
      <c r="C6" s="18" t="s">
        <v>1657</v>
      </c>
      <c r="D6" s="18" t="s">
        <v>1658</v>
      </c>
      <c r="E6" s="21" t="s">
        <v>1659</v>
      </c>
      <c r="F6" s="164" t="s">
        <v>1660</v>
      </c>
      <c r="G6" s="21" t="s">
        <v>1661</v>
      </c>
      <c r="H6" s="21">
        <v>300000</v>
      </c>
      <c r="I6" s="312"/>
    </row>
    <row r="7" spans="1:9" ht="20.100000000000001" customHeight="1">
      <c r="A7" s="18"/>
      <c r="B7" s="18"/>
      <c r="C7" s="18"/>
      <c r="D7" s="18" t="s">
        <v>1662</v>
      </c>
      <c r="E7" s="21" t="s">
        <v>1663</v>
      </c>
      <c r="F7" s="164" t="s">
        <v>1664</v>
      </c>
      <c r="G7" s="21" t="s">
        <v>1665</v>
      </c>
      <c r="H7" s="21">
        <v>100000</v>
      </c>
      <c r="I7" s="312"/>
    </row>
    <row r="8" spans="1:9" ht="20.100000000000001" customHeight="1">
      <c r="A8" s="18"/>
      <c r="B8" s="18"/>
      <c r="C8" s="18"/>
      <c r="D8" s="18"/>
      <c r="E8" s="21" t="s">
        <v>1666</v>
      </c>
      <c r="F8" s="164" t="s">
        <v>1667</v>
      </c>
      <c r="G8" s="21" t="s">
        <v>1668</v>
      </c>
      <c r="H8" s="21">
        <v>100000</v>
      </c>
      <c r="I8" s="312"/>
    </row>
    <row r="9" spans="1:9" ht="20.100000000000001" customHeight="1">
      <c r="A9" s="18"/>
      <c r="B9" s="18"/>
      <c r="C9" s="18"/>
      <c r="D9" s="18"/>
      <c r="E9" s="21" t="s">
        <v>1669</v>
      </c>
      <c r="F9" s="164" t="s">
        <v>1670</v>
      </c>
      <c r="G9" s="21" t="s">
        <v>1671</v>
      </c>
      <c r="H9" s="21">
        <v>100000</v>
      </c>
      <c r="I9" s="312"/>
    </row>
    <row r="10" spans="1:9" ht="20.100000000000001" customHeight="1">
      <c r="A10" s="18"/>
      <c r="B10" s="18"/>
      <c r="C10" s="18"/>
      <c r="D10" s="18"/>
      <c r="E10" s="21" t="s">
        <v>1672</v>
      </c>
      <c r="F10" s="164" t="s">
        <v>1673</v>
      </c>
      <c r="G10" s="21" t="s">
        <v>1674</v>
      </c>
      <c r="H10" s="21">
        <v>100000</v>
      </c>
      <c r="I10" s="312"/>
    </row>
    <row r="11" spans="1:9" ht="20.100000000000001" customHeight="1">
      <c r="A11" s="18"/>
      <c r="B11" s="18"/>
      <c r="C11" s="18"/>
      <c r="D11" s="18"/>
      <c r="E11" s="21" t="s">
        <v>1675</v>
      </c>
      <c r="F11" s="164" t="s">
        <v>1676</v>
      </c>
      <c r="G11" s="21" t="s">
        <v>1677</v>
      </c>
      <c r="H11" s="21">
        <v>100000</v>
      </c>
      <c r="I11" s="312"/>
    </row>
    <row r="12" spans="1:9" ht="20.100000000000001" customHeight="1">
      <c r="A12" s="18"/>
      <c r="B12" s="18"/>
      <c r="C12" s="18"/>
      <c r="D12" s="18"/>
      <c r="E12" s="21" t="s">
        <v>1678</v>
      </c>
      <c r="F12" s="164" t="s">
        <v>1679</v>
      </c>
      <c r="G12" s="21" t="s">
        <v>1680</v>
      </c>
      <c r="H12" s="21">
        <v>100000</v>
      </c>
      <c r="I12" s="312"/>
    </row>
    <row r="13" spans="1:9" ht="20.100000000000001" customHeight="1">
      <c r="A13" s="18"/>
      <c r="B13" s="18"/>
      <c r="C13" s="18"/>
      <c r="D13" s="18"/>
      <c r="E13" s="21" t="s">
        <v>1681</v>
      </c>
      <c r="F13" s="164" t="s">
        <v>1682</v>
      </c>
      <c r="G13" s="21" t="s">
        <v>1683</v>
      </c>
      <c r="H13" s="21">
        <v>100000</v>
      </c>
      <c r="I13" s="312"/>
    </row>
    <row r="14" spans="1:9" ht="20.100000000000001" customHeight="1">
      <c r="A14" s="18"/>
      <c r="B14" s="18"/>
      <c r="C14" s="18"/>
      <c r="D14" s="18"/>
      <c r="E14" s="21" t="s">
        <v>1684</v>
      </c>
      <c r="F14" s="164" t="s">
        <v>1685</v>
      </c>
      <c r="G14" s="21" t="s">
        <v>1686</v>
      </c>
      <c r="H14" s="21">
        <v>100000</v>
      </c>
      <c r="I14" s="312"/>
    </row>
    <row r="15" spans="1:9" ht="20.100000000000001" customHeight="1">
      <c r="A15" s="18"/>
      <c r="B15" s="18"/>
      <c r="C15" s="18"/>
      <c r="D15" s="18"/>
      <c r="E15" s="21" t="s">
        <v>1687</v>
      </c>
      <c r="F15" s="164" t="s">
        <v>1688</v>
      </c>
      <c r="G15" s="21" t="s">
        <v>1689</v>
      </c>
      <c r="H15" s="21">
        <v>100000</v>
      </c>
      <c r="I15" s="312"/>
    </row>
    <row r="16" spans="1:9" ht="20.100000000000001" customHeight="1">
      <c r="A16" s="18"/>
      <c r="B16" s="18"/>
      <c r="C16" s="18"/>
      <c r="D16" s="18"/>
      <c r="E16" s="21" t="s">
        <v>1690</v>
      </c>
      <c r="F16" s="164" t="s">
        <v>1691</v>
      </c>
      <c r="G16" s="21" t="s">
        <v>1692</v>
      </c>
      <c r="H16" s="21">
        <v>100000</v>
      </c>
      <c r="I16" s="312"/>
    </row>
    <row r="17" spans="1:16" ht="20.100000000000001" customHeight="1">
      <c r="A17" s="18"/>
      <c r="B17" s="18"/>
      <c r="C17" s="18"/>
      <c r="D17" s="18"/>
      <c r="E17" s="21" t="s">
        <v>1693</v>
      </c>
      <c r="F17" s="164" t="s">
        <v>1694</v>
      </c>
      <c r="G17" s="21" t="s">
        <v>1695</v>
      </c>
      <c r="H17" s="21">
        <v>100000</v>
      </c>
      <c r="I17" s="312"/>
    </row>
    <row r="18" spans="1:16" ht="20.100000000000001" customHeight="1">
      <c r="A18" s="18"/>
      <c r="B18" s="18"/>
      <c r="C18" s="18"/>
      <c r="D18" s="18"/>
      <c r="E18" s="21" t="s">
        <v>1696</v>
      </c>
      <c r="F18" s="164" t="s">
        <v>1697</v>
      </c>
      <c r="G18" s="21" t="s">
        <v>1698</v>
      </c>
      <c r="H18" s="21">
        <v>100000</v>
      </c>
      <c r="I18" s="312"/>
    </row>
    <row r="19" spans="1:16" ht="20.100000000000001" customHeight="1">
      <c r="A19" s="18"/>
      <c r="B19" s="18"/>
      <c r="C19" s="18"/>
      <c r="D19" s="18"/>
      <c r="E19" s="21" t="s">
        <v>1699</v>
      </c>
      <c r="F19" s="164" t="s">
        <v>1700</v>
      </c>
      <c r="G19" s="21" t="s">
        <v>1701</v>
      </c>
      <c r="H19" s="21">
        <v>100000</v>
      </c>
      <c r="I19" s="312"/>
    </row>
    <row r="20" spans="1:16" ht="20.100000000000001" customHeight="1">
      <c r="A20" s="18"/>
      <c r="B20" s="18"/>
      <c r="C20" s="18"/>
      <c r="D20" s="18"/>
      <c r="E20" s="21" t="s">
        <v>1702</v>
      </c>
      <c r="F20" s="164" t="s">
        <v>1703</v>
      </c>
      <c r="G20" s="21" t="s">
        <v>1704</v>
      </c>
      <c r="H20" s="21">
        <v>100000</v>
      </c>
      <c r="I20" s="312"/>
    </row>
    <row r="21" spans="1:16" ht="20.100000000000001" customHeight="1">
      <c r="A21" s="18"/>
      <c r="B21" s="18"/>
      <c r="C21" s="18"/>
      <c r="D21" s="18"/>
      <c r="E21" s="21" t="s">
        <v>1705</v>
      </c>
      <c r="F21" s="164" t="s">
        <v>1706</v>
      </c>
      <c r="G21" s="21" t="s">
        <v>1707</v>
      </c>
      <c r="H21" s="21">
        <v>100000</v>
      </c>
      <c r="I21" s="312"/>
    </row>
    <row r="22" spans="1:16" ht="20.100000000000001" customHeight="1">
      <c r="A22" s="18"/>
      <c r="B22" s="18"/>
      <c r="C22" s="18"/>
      <c r="D22" s="18"/>
      <c r="E22" s="21" t="s">
        <v>1708</v>
      </c>
      <c r="F22" s="164" t="s">
        <v>1706</v>
      </c>
      <c r="G22" s="21" t="s">
        <v>1707</v>
      </c>
      <c r="H22" s="21">
        <v>100000</v>
      </c>
      <c r="I22" s="312"/>
    </row>
    <row r="23" spans="1:16" ht="20.100000000000001" customHeight="1">
      <c r="A23" s="18"/>
      <c r="B23" s="18"/>
      <c r="C23" s="18"/>
      <c r="D23" s="18"/>
      <c r="E23" s="21" t="s">
        <v>1709</v>
      </c>
      <c r="F23" s="164" t="s">
        <v>1710</v>
      </c>
      <c r="G23" s="21" t="s">
        <v>1711</v>
      </c>
      <c r="H23" s="21">
        <v>100000</v>
      </c>
      <c r="I23" s="312"/>
    </row>
    <row r="24" spans="1:16" ht="20.100000000000001" customHeight="1">
      <c r="A24" s="18"/>
      <c r="B24" s="18"/>
      <c r="C24" s="18"/>
      <c r="D24" s="18"/>
      <c r="E24" s="21" t="s">
        <v>1712</v>
      </c>
      <c r="F24" s="164" t="s">
        <v>1713</v>
      </c>
      <c r="G24" s="21" t="s">
        <v>1714</v>
      </c>
      <c r="H24" s="21">
        <v>100000</v>
      </c>
      <c r="I24" s="312"/>
    </row>
    <row r="25" spans="1:16" ht="20.100000000000001" customHeight="1">
      <c r="A25" s="18"/>
      <c r="B25" s="18"/>
      <c r="C25" s="18"/>
      <c r="D25" s="18"/>
      <c r="E25" s="21" t="s">
        <v>1715</v>
      </c>
      <c r="F25" s="164" t="s">
        <v>1716</v>
      </c>
      <c r="G25" s="21" t="s">
        <v>1717</v>
      </c>
      <c r="H25" s="21">
        <v>100000</v>
      </c>
      <c r="I25" s="312"/>
    </row>
    <row r="26" spans="1:16" ht="20.100000000000001" customHeight="1">
      <c r="A26" s="18"/>
      <c r="B26" s="18"/>
      <c r="C26" s="18"/>
      <c r="D26" s="18"/>
      <c r="E26" s="21" t="s">
        <v>1718</v>
      </c>
      <c r="F26" s="164" t="s">
        <v>1719</v>
      </c>
      <c r="G26" s="21" t="s">
        <v>1175</v>
      </c>
      <c r="H26" s="21">
        <v>100000</v>
      </c>
      <c r="I26" s="312"/>
    </row>
    <row r="27" spans="1:16" ht="20.100000000000001" customHeight="1">
      <c r="A27" s="18"/>
      <c r="B27" s="18"/>
      <c r="C27" s="18"/>
      <c r="D27" s="18"/>
      <c r="E27" s="21" t="s">
        <v>1720</v>
      </c>
      <c r="F27" s="691" t="s">
        <v>1721</v>
      </c>
      <c r="G27" s="683" t="s">
        <v>1722</v>
      </c>
      <c r="H27" s="21">
        <v>100000</v>
      </c>
      <c r="I27" s="312"/>
    </row>
    <row r="28" spans="1:16" ht="20.100000000000001" customHeight="1">
      <c r="A28" s="18"/>
      <c r="B28" s="18"/>
      <c r="C28" s="18"/>
      <c r="D28" s="18"/>
      <c r="E28" s="21" t="s">
        <v>1723</v>
      </c>
      <c r="F28" s="692"/>
      <c r="G28" s="684"/>
      <c r="H28" s="21">
        <v>120000</v>
      </c>
      <c r="I28" s="312"/>
      <c r="J28" s="143" t="s">
        <v>1724</v>
      </c>
    </row>
    <row r="29" spans="1:16" ht="20.100000000000001" customHeight="1">
      <c r="A29" s="18"/>
      <c r="B29" s="18"/>
      <c r="C29" s="18"/>
      <c r="D29" s="18"/>
      <c r="E29" s="21"/>
      <c r="F29" s="18"/>
      <c r="G29" s="21"/>
      <c r="H29" s="21">
        <f>SUM(H6:H28)</f>
        <v>2520000</v>
      </c>
      <c r="I29" s="312"/>
    </row>
    <row r="32" spans="1:16" ht="18.75">
      <c r="A32" s="693" t="s">
        <v>1725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</row>
    <row r="33" spans="1:9" ht="15" customHeight="1">
      <c r="A33" s="676" t="s">
        <v>653</v>
      </c>
      <c r="B33" s="676" t="s">
        <v>974</v>
      </c>
      <c r="C33" s="678" t="s">
        <v>654</v>
      </c>
      <c r="D33" s="160"/>
      <c r="E33" s="676" t="s">
        <v>657</v>
      </c>
      <c r="F33" s="678" t="s">
        <v>658</v>
      </c>
      <c r="G33" s="678" t="s">
        <v>651</v>
      </c>
      <c r="H33" s="159" t="s">
        <v>659</v>
      </c>
      <c r="I33" s="359"/>
    </row>
    <row r="34" spans="1:9" ht="15" customHeight="1">
      <c r="A34" s="677"/>
      <c r="B34" s="677"/>
      <c r="C34" s="677"/>
      <c r="D34" s="162"/>
      <c r="E34" s="677"/>
      <c r="F34" s="677"/>
      <c r="G34" s="677"/>
      <c r="H34" s="162" t="s">
        <v>660</v>
      </c>
      <c r="I34" s="359"/>
    </row>
    <row r="35" spans="1:9">
      <c r="A35" s="39">
        <v>1</v>
      </c>
      <c r="B35" s="39" t="s">
        <v>1726</v>
      </c>
      <c r="C35" s="360" t="s">
        <v>521</v>
      </c>
      <c r="D35" s="361"/>
      <c r="E35" s="362" t="s">
        <v>1727</v>
      </c>
      <c r="F35" s="363" t="s">
        <v>1726</v>
      </c>
      <c r="G35" s="364" t="s">
        <v>1728</v>
      </c>
      <c r="H35" s="365">
        <v>200000</v>
      </c>
      <c r="I35" s="366"/>
    </row>
    <row r="36" spans="1:9">
      <c r="A36" s="39"/>
      <c r="B36" s="39"/>
      <c r="C36" s="360"/>
      <c r="D36" s="361"/>
      <c r="E36" s="362" t="s">
        <v>1729</v>
      </c>
      <c r="F36" s="363" t="s">
        <v>1730</v>
      </c>
      <c r="G36" s="367" t="s">
        <v>1731</v>
      </c>
      <c r="H36" s="365">
        <v>140000</v>
      </c>
      <c r="I36" s="366"/>
    </row>
    <row r="37" spans="1:9">
      <c r="A37" s="39"/>
      <c r="B37" s="39"/>
      <c r="C37" s="360"/>
      <c r="D37" s="361"/>
      <c r="E37" s="362" t="s">
        <v>1732</v>
      </c>
      <c r="F37" s="363" t="s">
        <v>1733</v>
      </c>
      <c r="G37" s="367" t="s">
        <v>1734</v>
      </c>
      <c r="H37" s="365">
        <v>190000</v>
      </c>
      <c r="I37" s="366"/>
    </row>
    <row r="38" spans="1:9">
      <c r="A38" s="39"/>
      <c r="B38" s="39"/>
      <c r="C38" s="360"/>
      <c r="D38" s="361"/>
      <c r="E38" s="362" t="s">
        <v>1735</v>
      </c>
      <c r="F38" s="363" t="s">
        <v>1736</v>
      </c>
      <c r="G38" s="367" t="s">
        <v>1737</v>
      </c>
      <c r="H38" s="365">
        <v>100000</v>
      </c>
      <c r="I38" s="366"/>
    </row>
    <row r="39" spans="1:9">
      <c r="A39" s="39"/>
      <c r="B39" s="39"/>
      <c r="C39" s="360"/>
      <c r="D39" s="361"/>
      <c r="E39" s="362" t="s">
        <v>1738</v>
      </c>
      <c r="F39" s="363" t="s">
        <v>1739</v>
      </c>
      <c r="G39" s="367" t="s">
        <v>1740</v>
      </c>
      <c r="H39" s="365">
        <v>190000</v>
      </c>
      <c r="I39" s="366"/>
    </row>
    <row r="40" spans="1:9">
      <c r="A40" s="39"/>
      <c r="B40" s="39"/>
      <c r="C40" s="360"/>
      <c r="D40" s="361"/>
      <c r="E40" s="362" t="s">
        <v>1741</v>
      </c>
      <c r="F40" s="363" t="s">
        <v>1742</v>
      </c>
      <c r="G40" s="367" t="s">
        <v>1743</v>
      </c>
      <c r="H40" s="365">
        <v>110000</v>
      </c>
      <c r="I40" s="366"/>
    </row>
    <row r="41" spans="1:9">
      <c r="A41" s="39"/>
      <c r="B41" s="39"/>
      <c r="C41" s="360"/>
      <c r="D41" s="361"/>
      <c r="E41" s="362" t="s">
        <v>1744</v>
      </c>
      <c r="F41" s="363" t="s">
        <v>1745</v>
      </c>
      <c r="G41" s="364" t="s">
        <v>1746</v>
      </c>
      <c r="H41" s="365">
        <v>-100000</v>
      </c>
      <c r="I41" s="366"/>
    </row>
    <row r="42" spans="1:9">
      <c r="A42" s="39"/>
      <c r="B42" s="39"/>
      <c r="C42" s="360"/>
      <c r="D42" s="361"/>
      <c r="E42" s="362"/>
      <c r="F42" s="363" t="s">
        <v>1745</v>
      </c>
      <c r="G42" s="367" t="s">
        <v>1747</v>
      </c>
      <c r="H42" s="365">
        <v>290000</v>
      </c>
      <c r="I42" s="366"/>
    </row>
    <row r="43" spans="1:9">
      <c r="A43" s="39"/>
      <c r="B43" s="39"/>
      <c r="C43" s="360"/>
      <c r="D43" s="361"/>
      <c r="E43" s="362" t="s">
        <v>1748</v>
      </c>
      <c r="F43" s="363" t="s">
        <v>1749</v>
      </c>
      <c r="G43" s="367" t="s">
        <v>1750</v>
      </c>
      <c r="H43" s="365">
        <v>290000</v>
      </c>
      <c r="I43" s="366"/>
    </row>
    <row r="44" spans="1:9">
      <c r="A44" s="39"/>
      <c r="B44" s="39"/>
      <c r="C44" s="360"/>
      <c r="D44" s="361"/>
      <c r="E44" s="362" t="s">
        <v>1751</v>
      </c>
      <c r="F44" s="363" t="s">
        <v>1752</v>
      </c>
      <c r="G44" s="367" t="s">
        <v>1753</v>
      </c>
      <c r="H44" s="365">
        <v>250000</v>
      </c>
      <c r="I44" s="366"/>
    </row>
    <row r="45" spans="1:9">
      <c r="A45" s="39"/>
      <c r="B45" s="39"/>
      <c r="C45" s="360"/>
      <c r="D45" s="361"/>
      <c r="E45" s="362" t="s">
        <v>1754</v>
      </c>
      <c r="F45" s="363" t="s">
        <v>1755</v>
      </c>
      <c r="G45" s="367" t="s">
        <v>1756</v>
      </c>
      <c r="H45" s="365">
        <v>280000</v>
      </c>
      <c r="I45" s="366"/>
    </row>
    <row r="46" spans="1:9">
      <c r="A46" s="39"/>
      <c r="B46" s="39"/>
      <c r="C46" s="360"/>
      <c r="D46" s="361"/>
      <c r="E46" s="362" t="s">
        <v>1757</v>
      </c>
      <c r="F46" s="363" t="s">
        <v>1758</v>
      </c>
      <c r="G46" s="367" t="s">
        <v>1759</v>
      </c>
      <c r="H46" s="365">
        <v>300000</v>
      </c>
      <c r="I46" s="366"/>
    </row>
    <row r="47" spans="1:9">
      <c r="A47" s="39"/>
      <c r="B47" s="39"/>
      <c r="C47" s="360"/>
      <c r="D47" s="361"/>
      <c r="E47" s="362" t="s">
        <v>1760</v>
      </c>
      <c r="F47" s="363" t="s">
        <v>1557</v>
      </c>
      <c r="G47" s="367" t="s">
        <v>1761</v>
      </c>
      <c r="H47" s="365">
        <v>290000</v>
      </c>
      <c r="I47" s="366"/>
    </row>
    <row r="48" spans="1:9">
      <c r="A48" s="39"/>
      <c r="B48" s="39"/>
      <c r="C48" s="360"/>
      <c r="D48" s="361"/>
      <c r="E48" s="362" t="s">
        <v>1760</v>
      </c>
      <c r="F48" s="363" t="s">
        <v>1557</v>
      </c>
      <c r="G48" s="367" t="s">
        <v>1762</v>
      </c>
      <c r="H48" s="365">
        <v>50000</v>
      </c>
      <c r="I48" s="366"/>
    </row>
    <row r="49" spans="1:13">
      <c r="A49" s="39"/>
      <c r="B49" s="39"/>
      <c r="C49" s="360"/>
      <c r="D49" s="361"/>
      <c r="E49" s="362" t="s">
        <v>1763</v>
      </c>
      <c r="F49" s="363" t="s">
        <v>1764</v>
      </c>
      <c r="G49" s="367" t="s">
        <v>1765</v>
      </c>
      <c r="H49" s="365">
        <v>300000</v>
      </c>
      <c r="I49" s="366"/>
    </row>
    <row r="50" spans="1:13">
      <c r="A50" s="39"/>
      <c r="B50" s="39"/>
      <c r="C50" s="360"/>
      <c r="D50" s="361"/>
      <c r="E50" s="362" t="s">
        <v>1766</v>
      </c>
      <c r="F50" s="363" t="s">
        <v>1767</v>
      </c>
      <c r="G50" s="367" t="s">
        <v>1768</v>
      </c>
      <c r="H50" s="365">
        <v>150000</v>
      </c>
      <c r="I50" s="366"/>
    </row>
    <row r="51" spans="1:13">
      <c r="A51" s="39"/>
      <c r="B51" s="39"/>
      <c r="C51" s="360"/>
      <c r="D51" s="361"/>
      <c r="E51" s="362" t="s">
        <v>1766</v>
      </c>
      <c r="F51" s="363" t="s">
        <v>1767</v>
      </c>
      <c r="G51" s="368" t="s">
        <v>1769</v>
      </c>
      <c r="H51" s="365">
        <v>50000</v>
      </c>
      <c r="I51" s="366"/>
    </row>
    <row r="52" spans="1:13">
      <c r="A52" s="39"/>
      <c r="B52" s="39"/>
      <c r="C52" s="360"/>
      <c r="D52" s="361"/>
      <c r="E52" s="362" t="s">
        <v>1770</v>
      </c>
      <c r="F52" s="363" t="s">
        <v>1771</v>
      </c>
      <c r="G52" s="367" t="s">
        <v>1772</v>
      </c>
      <c r="H52" s="365">
        <v>200000</v>
      </c>
      <c r="I52" s="366"/>
    </row>
    <row r="53" spans="1:13">
      <c r="A53" s="39"/>
      <c r="B53" s="39"/>
      <c r="C53" s="360"/>
      <c r="D53" s="361"/>
      <c r="E53" s="362" t="s">
        <v>1770</v>
      </c>
      <c r="F53" s="363" t="s">
        <v>1771</v>
      </c>
      <c r="G53" s="368" t="s">
        <v>1769</v>
      </c>
      <c r="H53" s="365">
        <v>50000</v>
      </c>
      <c r="I53" s="366"/>
    </row>
    <row r="54" spans="1:13">
      <c r="A54" s="39"/>
      <c r="B54" s="39"/>
      <c r="C54" s="360"/>
      <c r="D54" s="361"/>
      <c r="E54" s="362" t="s">
        <v>1773</v>
      </c>
      <c r="F54" s="363" t="s">
        <v>1774</v>
      </c>
      <c r="G54" s="367" t="s">
        <v>1775</v>
      </c>
      <c r="H54" s="365">
        <v>290000</v>
      </c>
      <c r="I54" s="366"/>
    </row>
    <row r="55" spans="1:13">
      <c r="A55" s="39"/>
      <c r="B55" s="39"/>
      <c r="C55" s="360"/>
      <c r="D55" s="361"/>
      <c r="E55" s="362" t="s">
        <v>1773</v>
      </c>
      <c r="F55" s="363" t="s">
        <v>1774</v>
      </c>
      <c r="G55" s="368" t="s">
        <v>1769</v>
      </c>
      <c r="H55" s="365">
        <v>100000</v>
      </c>
      <c r="I55" s="366"/>
    </row>
    <row r="56" spans="1:13">
      <c r="A56" s="297"/>
      <c r="B56" s="297"/>
      <c r="C56" s="360"/>
      <c r="D56" s="360"/>
      <c r="E56" s="369" t="s">
        <v>1776</v>
      </c>
      <c r="F56" s="350" t="s">
        <v>1777</v>
      </c>
      <c r="G56" s="370" t="s">
        <v>1778</v>
      </c>
      <c r="H56" s="371">
        <v>300000</v>
      </c>
      <c r="I56" s="366"/>
    </row>
    <row r="57" spans="1:13">
      <c r="A57" s="297"/>
      <c r="B57" s="297"/>
      <c r="C57" s="360"/>
      <c r="D57" s="360"/>
      <c r="E57" s="369" t="s">
        <v>1779</v>
      </c>
      <c r="F57" s="350" t="s">
        <v>1780</v>
      </c>
      <c r="G57" s="370" t="s">
        <v>1781</v>
      </c>
      <c r="H57" s="371">
        <v>300000</v>
      </c>
      <c r="I57" s="366"/>
    </row>
    <row r="58" spans="1:13">
      <c r="A58" s="297"/>
      <c r="B58" s="297"/>
      <c r="C58" s="360"/>
      <c r="D58" s="369"/>
      <c r="E58" s="350"/>
      <c r="F58" s="372"/>
      <c r="G58" s="372" t="s">
        <v>1746</v>
      </c>
      <c r="H58" s="371">
        <v>-100000</v>
      </c>
      <c r="I58" s="366"/>
    </row>
    <row r="61" spans="1:13">
      <c r="A61" s="651" t="s">
        <v>1782</v>
      </c>
      <c r="B61" s="651"/>
      <c r="C61" s="651"/>
      <c r="D61" s="651"/>
      <c r="E61" s="651"/>
      <c r="F61" s="651"/>
      <c r="G61" s="651"/>
      <c r="H61" s="651"/>
      <c r="I61" s="651"/>
      <c r="J61" s="651"/>
      <c r="K61" s="25"/>
      <c r="L61"/>
      <c r="M61"/>
    </row>
    <row r="62" spans="1:13" ht="28.5">
      <c r="A62" s="16" t="s">
        <v>11</v>
      </c>
      <c r="B62" s="17" t="s">
        <v>697</v>
      </c>
      <c r="C62" s="17" t="s">
        <v>698</v>
      </c>
      <c r="D62" s="17" t="s">
        <v>12</v>
      </c>
      <c r="E62" s="16" t="s">
        <v>699</v>
      </c>
      <c r="F62" s="16" t="s">
        <v>657</v>
      </c>
      <c r="G62" s="17" t="s">
        <v>700</v>
      </c>
      <c r="H62" s="16" t="s">
        <v>660</v>
      </c>
      <c r="I62" s="16"/>
      <c r="J62" s="16" t="s">
        <v>27</v>
      </c>
      <c r="K62" s="25"/>
      <c r="L62"/>
      <c r="M62"/>
    </row>
    <row r="63" spans="1:13">
      <c r="A63" s="18">
        <v>1</v>
      </c>
      <c r="B63" s="18" t="s">
        <v>528</v>
      </c>
      <c r="C63" s="18" t="s">
        <v>529</v>
      </c>
      <c r="D63" s="18" t="s">
        <v>1658</v>
      </c>
      <c r="E63" s="34" t="s">
        <v>703</v>
      </c>
      <c r="F63" s="20" t="s">
        <v>1783</v>
      </c>
      <c r="G63" s="18" t="s">
        <v>1784</v>
      </c>
      <c r="H63" s="21">
        <v>200000</v>
      </c>
      <c r="I63" s="21"/>
      <c r="J63" s="21"/>
      <c r="K63" s="25" t="s">
        <v>1785</v>
      </c>
      <c r="L63"/>
      <c r="M63"/>
    </row>
    <row r="64" spans="1:13">
      <c r="A64" s="18"/>
      <c r="B64" s="18"/>
      <c r="C64" s="18"/>
      <c r="D64" s="18"/>
      <c r="E64" s="19" t="s">
        <v>1786</v>
      </c>
      <c r="F64" s="20" t="s">
        <v>1787</v>
      </c>
      <c r="G64" s="18" t="s">
        <v>1788</v>
      </c>
      <c r="H64" s="21">
        <v>125000</v>
      </c>
      <c r="I64" s="21"/>
      <c r="J64" s="21"/>
      <c r="K64" s="25"/>
      <c r="L64"/>
      <c r="M64"/>
    </row>
    <row r="65" spans="1:13">
      <c r="A65" s="18"/>
      <c r="B65" s="18"/>
      <c r="C65" s="18"/>
      <c r="D65" s="18"/>
      <c r="E65" s="18" t="s">
        <v>1789</v>
      </c>
      <c r="F65" s="20" t="s">
        <v>1790</v>
      </c>
      <c r="G65" s="18" t="s">
        <v>1791</v>
      </c>
      <c r="H65" s="21">
        <v>125000</v>
      </c>
      <c r="I65" s="21"/>
      <c r="J65" s="21"/>
      <c r="K65" s="25"/>
      <c r="L65"/>
      <c r="M65"/>
    </row>
    <row r="66" spans="1:13">
      <c r="A66" s="18"/>
      <c r="B66" s="18"/>
      <c r="C66" s="18"/>
      <c r="D66" s="18"/>
      <c r="E66" s="18" t="s">
        <v>1792</v>
      </c>
      <c r="F66" s="20" t="s">
        <v>1793</v>
      </c>
      <c r="G66" s="18" t="s">
        <v>1794</v>
      </c>
      <c r="H66" s="21">
        <v>125000</v>
      </c>
      <c r="I66" s="21"/>
      <c r="J66" s="21"/>
      <c r="K66" s="25"/>
      <c r="L66"/>
      <c r="M66"/>
    </row>
    <row r="67" spans="1:13">
      <c r="A67" s="18"/>
      <c r="B67" s="18"/>
      <c r="C67" s="18"/>
      <c r="D67" s="18"/>
      <c r="E67" s="18" t="s">
        <v>1795</v>
      </c>
      <c r="F67" s="20" t="s">
        <v>1796</v>
      </c>
      <c r="G67" s="18" t="s">
        <v>1797</v>
      </c>
      <c r="H67" s="21">
        <v>125000</v>
      </c>
      <c r="I67" s="21"/>
      <c r="J67" s="21"/>
      <c r="K67" s="25"/>
      <c r="L67"/>
      <c r="M67"/>
    </row>
    <row r="68" spans="1:13">
      <c r="A68" s="18"/>
      <c r="B68" s="18"/>
      <c r="C68" s="18"/>
      <c r="D68" s="18"/>
      <c r="E68" s="355" t="s">
        <v>1798</v>
      </c>
      <c r="F68" s="20" t="s">
        <v>1799</v>
      </c>
      <c r="G68" s="18" t="s">
        <v>1800</v>
      </c>
      <c r="H68" s="21">
        <v>125000</v>
      </c>
      <c r="I68" s="21"/>
      <c r="J68" s="21"/>
      <c r="K68" s="25"/>
      <c r="L68"/>
      <c r="M68"/>
    </row>
    <row r="69" spans="1:13">
      <c r="A69" s="18"/>
      <c r="B69" s="18"/>
      <c r="C69" s="18"/>
      <c r="D69" s="18"/>
      <c r="E69" s="18" t="s">
        <v>1801</v>
      </c>
      <c r="F69" s="20" t="s">
        <v>1802</v>
      </c>
      <c r="G69" s="18" t="s">
        <v>1189</v>
      </c>
      <c r="H69" s="21">
        <v>125000</v>
      </c>
      <c r="I69" s="21"/>
      <c r="J69" s="21"/>
      <c r="K69" s="25"/>
      <c r="L69"/>
      <c r="M69"/>
    </row>
    <row r="70" spans="1:13">
      <c r="A70" s="18"/>
      <c r="B70" s="18"/>
      <c r="C70" s="18"/>
      <c r="D70" s="18"/>
      <c r="E70" s="18" t="s">
        <v>1803</v>
      </c>
      <c r="F70" s="20" t="s">
        <v>1804</v>
      </c>
      <c r="G70" s="18" t="s">
        <v>1805</v>
      </c>
      <c r="H70" s="21">
        <v>250000</v>
      </c>
      <c r="I70" s="21"/>
      <c r="J70" s="21"/>
      <c r="K70" s="25" t="s">
        <v>1806</v>
      </c>
      <c r="L70"/>
      <c r="M70"/>
    </row>
    <row r="71" spans="1:13">
      <c r="A71" s="18"/>
      <c r="B71" s="18"/>
      <c r="C71" s="18"/>
      <c r="D71" s="18"/>
      <c r="E71" s="18" t="s">
        <v>1807</v>
      </c>
      <c r="F71" s="20" t="s">
        <v>1808</v>
      </c>
      <c r="G71" s="18" t="s">
        <v>1809</v>
      </c>
      <c r="H71" s="21">
        <v>125000</v>
      </c>
      <c r="I71" s="21"/>
      <c r="J71" s="21"/>
      <c r="K71" s="25"/>
      <c r="L71"/>
      <c r="M71"/>
    </row>
    <row r="72" spans="1:13">
      <c r="A72" s="18"/>
      <c r="B72" s="18"/>
      <c r="C72" s="18"/>
      <c r="D72" s="18"/>
      <c r="E72" s="18" t="s">
        <v>1810</v>
      </c>
      <c r="F72" s="20" t="s">
        <v>1811</v>
      </c>
      <c r="G72" s="18" t="s">
        <v>1812</v>
      </c>
      <c r="H72" s="21">
        <v>125000</v>
      </c>
      <c r="I72" s="21"/>
      <c r="J72" s="21"/>
      <c r="K72" s="25"/>
      <c r="L72"/>
      <c r="M72"/>
    </row>
    <row r="73" spans="1:13">
      <c r="A73" s="18"/>
      <c r="B73" s="18"/>
      <c r="C73" s="18"/>
      <c r="D73" s="18"/>
      <c r="E73" s="18" t="s">
        <v>1813</v>
      </c>
      <c r="F73" s="20" t="s">
        <v>1814</v>
      </c>
      <c r="G73" s="18" t="s">
        <v>1815</v>
      </c>
      <c r="H73" s="21">
        <v>250000</v>
      </c>
      <c r="I73" s="21"/>
      <c r="J73" s="21"/>
      <c r="K73" s="25"/>
      <c r="L73"/>
      <c r="M73"/>
    </row>
    <row r="74" spans="1:13">
      <c r="A74" s="18"/>
      <c r="B74" s="18"/>
      <c r="C74" s="18"/>
      <c r="D74" s="18"/>
      <c r="E74" s="18" t="s">
        <v>1816</v>
      </c>
      <c r="F74" s="20" t="s">
        <v>1817</v>
      </c>
      <c r="G74" s="18"/>
      <c r="H74" s="21"/>
      <c r="I74" s="21"/>
      <c r="J74" s="21"/>
      <c r="K74" s="25" t="s">
        <v>1818</v>
      </c>
      <c r="L74"/>
      <c r="M74"/>
    </row>
    <row r="75" spans="1:13">
      <c r="A75" s="18"/>
      <c r="B75" s="18"/>
      <c r="C75" s="18"/>
      <c r="D75" s="18"/>
      <c r="E75" s="18" t="s">
        <v>1819</v>
      </c>
      <c r="F75" s="20" t="s">
        <v>1817</v>
      </c>
      <c r="G75" s="18"/>
      <c r="H75" s="21">
        <v>240000</v>
      </c>
      <c r="I75" s="21"/>
      <c r="J75" s="21"/>
      <c r="K75" s="25"/>
      <c r="L75"/>
      <c r="M75"/>
    </row>
    <row r="76" spans="1:13">
      <c r="A76"/>
      <c r="B76"/>
      <c r="C76"/>
      <c r="D76"/>
      <c r="E76"/>
      <c r="F76"/>
      <c r="G76"/>
      <c r="H76"/>
      <c r="I76"/>
      <c r="J76"/>
      <c r="K76" s="25"/>
      <c r="L76"/>
      <c r="M76"/>
    </row>
    <row r="77" spans="1:13">
      <c r="A77"/>
      <c r="B77"/>
      <c r="C77"/>
      <c r="D77"/>
      <c r="E77"/>
      <c r="F77"/>
      <c r="G77"/>
      <c r="H77"/>
      <c r="I77"/>
      <c r="J77"/>
      <c r="K77" s="25"/>
      <c r="L77"/>
      <c r="M77"/>
    </row>
    <row r="80" spans="1:13">
      <c r="A80" s="651" t="s">
        <v>1820</v>
      </c>
      <c r="B80" s="651"/>
      <c r="C80" s="651"/>
      <c r="D80" s="651"/>
      <c r="E80" s="651"/>
      <c r="F80" s="651"/>
      <c r="G80" s="651"/>
      <c r="H80" s="651"/>
      <c r="I80" s="651"/>
      <c r="J80" s="651"/>
    </row>
    <row r="81" spans="1:11" ht="28.5">
      <c r="A81" s="16" t="s">
        <v>11</v>
      </c>
      <c r="B81" s="17" t="s">
        <v>697</v>
      </c>
      <c r="C81" s="17" t="s">
        <v>698</v>
      </c>
      <c r="D81" s="17" t="s">
        <v>12</v>
      </c>
      <c r="E81" s="16" t="s">
        <v>699</v>
      </c>
      <c r="F81" s="16" t="s">
        <v>657</v>
      </c>
      <c r="G81" s="17" t="s">
        <v>700</v>
      </c>
      <c r="H81" s="16" t="s">
        <v>660</v>
      </c>
      <c r="I81" s="16"/>
      <c r="J81" s="16" t="s">
        <v>27</v>
      </c>
    </row>
    <row r="82" spans="1:11">
      <c r="A82" s="18">
        <v>1</v>
      </c>
      <c r="B82" s="18" t="s">
        <v>1656</v>
      </c>
      <c r="C82" s="18" t="s">
        <v>1657</v>
      </c>
      <c r="D82" s="18" t="s">
        <v>1658</v>
      </c>
      <c r="E82" s="18" t="s">
        <v>1821</v>
      </c>
      <c r="F82" s="20"/>
      <c r="G82" s="18"/>
      <c r="H82" s="21"/>
      <c r="I82" s="21"/>
      <c r="J82" s="21"/>
      <c r="K82" s="373"/>
    </row>
    <row r="83" spans="1:11">
      <c r="A83" s="18"/>
      <c r="B83" s="18"/>
      <c r="C83" s="18"/>
      <c r="D83" s="18"/>
      <c r="E83" s="18" t="s">
        <v>1822</v>
      </c>
      <c r="F83" s="20"/>
      <c r="G83" s="18"/>
      <c r="H83" s="21"/>
      <c r="I83" s="21"/>
      <c r="J83" s="21"/>
      <c r="K83" s="373"/>
    </row>
    <row r="84" spans="1:11">
      <c r="A84" s="18"/>
      <c r="B84" s="18"/>
      <c r="C84" s="18"/>
      <c r="D84" s="18"/>
      <c r="E84" s="18" t="s">
        <v>1823</v>
      </c>
      <c r="F84" s="20" t="s">
        <v>1824</v>
      </c>
      <c r="G84" s="18" t="s">
        <v>1825</v>
      </c>
      <c r="H84" s="21">
        <v>200000</v>
      </c>
      <c r="I84" s="21"/>
      <c r="J84" s="21"/>
      <c r="K84" s="373" t="s">
        <v>1826</v>
      </c>
    </row>
    <row r="85" spans="1:11">
      <c r="A85" s="18"/>
      <c r="B85" s="18"/>
      <c r="C85" s="18"/>
      <c r="D85" s="18"/>
      <c r="E85" s="18" t="s">
        <v>1827</v>
      </c>
      <c r="F85" s="20" t="s">
        <v>1828</v>
      </c>
      <c r="G85" s="18" t="s">
        <v>1829</v>
      </c>
      <c r="H85" s="21">
        <v>240000</v>
      </c>
      <c r="I85" s="21"/>
      <c r="J85" s="21"/>
      <c r="K85" s="373"/>
    </row>
    <row r="86" spans="1:11">
      <c r="A86" s="18"/>
      <c r="B86" s="18"/>
      <c r="C86" s="18"/>
      <c r="D86" s="18"/>
      <c r="E86" s="18" t="s">
        <v>1830</v>
      </c>
      <c r="F86" s="20" t="s">
        <v>1831</v>
      </c>
      <c r="G86" s="18" t="s">
        <v>1832</v>
      </c>
      <c r="H86" s="21">
        <v>240000</v>
      </c>
      <c r="I86" s="21"/>
      <c r="J86" s="21"/>
      <c r="K86" s="373"/>
    </row>
    <row r="87" spans="1:11">
      <c r="A87" s="18"/>
      <c r="B87" s="18"/>
      <c r="C87" s="18"/>
      <c r="D87" s="18"/>
      <c r="E87" s="18"/>
      <c r="F87" s="21"/>
      <c r="G87" s="18"/>
      <c r="H87" s="21">
        <f>SUM(H82:H86)</f>
        <v>680000</v>
      </c>
      <c r="I87" s="21"/>
      <c r="J87" s="21"/>
    </row>
    <row r="91" spans="1:11">
      <c r="A91" s="651" t="s">
        <v>1833</v>
      </c>
      <c r="B91" s="651"/>
      <c r="C91" s="651"/>
      <c r="D91" s="651"/>
      <c r="E91" s="651"/>
      <c r="F91" s="651"/>
      <c r="G91" s="651"/>
      <c r="H91" s="651"/>
      <c r="I91" s="651"/>
      <c r="J91" s="651"/>
    </row>
    <row r="92" spans="1:11" ht="28.5">
      <c r="A92" s="16" t="s">
        <v>11</v>
      </c>
      <c r="B92" s="17" t="s">
        <v>697</v>
      </c>
      <c r="C92" s="17" t="s">
        <v>698</v>
      </c>
      <c r="D92" s="17" t="s">
        <v>12</v>
      </c>
      <c r="E92" s="16" t="s">
        <v>699</v>
      </c>
      <c r="F92" s="16" t="s">
        <v>657</v>
      </c>
      <c r="G92" s="17" t="s">
        <v>700</v>
      </c>
      <c r="H92" s="16" t="s">
        <v>660</v>
      </c>
      <c r="I92" s="16"/>
      <c r="J92" s="16" t="s">
        <v>27</v>
      </c>
    </row>
    <row r="93" spans="1:11">
      <c r="A93" s="18">
        <v>1</v>
      </c>
      <c r="B93" s="18" t="s">
        <v>1656</v>
      </c>
      <c r="C93" s="18" t="s">
        <v>1657</v>
      </c>
      <c r="D93" s="18" t="s">
        <v>1658</v>
      </c>
      <c r="E93" s="18" t="s">
        <v>703</v>
      </c>
      <c r="F93" s="20" t="s">
        <v>1834</v>
      </c>
      <c r="G93" s="18" t="s">
        <v>1835</v>
      </c>
      <c r="H93" s="21">
        <v>250000</v>
      </c>
      <c r="I93" s="96"/>
      <c r="J93" s="16" t="s">
        <v>27</v>
      </c>
      <c r="K93" s="143" t="s">
        <v>1836</v>
      </c>
    </row>
    <row r="94" spans="1:11">
      <c r="A94" s="18"/>
      <c r="B94" s="18"/>
      <c r="C94" s="18"/>
      <c r="D94" s="18"/>
      <c r="E94" s="18"/>
      <c r="F94" s="20" t="s">
        <v>1837</v>
      </c>
      <c r="G94" s="18" t="s">
        <v>1838</v>
      </c>
      <c r="H94" s="21">
        <v>125000</v>
      </c>
      <c r="I94" s="21"/>
      <c r="J94" s="21"/>
    </row>
    <row r="95" spans="1:11">
      <c r="A95" s="18"/>
      <c r="B95" s="18"/>
      <c r="C95" s="18"/>
      <c r="D95" s="18"/>
      <c r="E95" s="18"/>
      <c r="F95" s="20" t="s">
        <v>1839</v>
      </c>
      <c r="G95" s="18" t="s">
        <v>1840</v>
      </c>
      <c r="H95" s="21">
        <v>125000</v>
      </c>
      <c r="I95" s="21"/>
      <c r="J95" s="21"/>
    </row>
    <row r="96" spans="1:11">
      <c r="A96" s="18"/>
      <c r="B96" s="18"/>
      <c r="C96" s="18"/>
      <c r="D96" s="18"/>
      <c r="E96" s="18"/>
      <c r="F96" s="20"/>
      <c r="G96" s="18" t="s">
        <v>1841</v>
      </c>
      <c r="H96" s="21">
        <v>-8000</v>
      </c>
      <c r="I96" s="21"/>
      <c r="J96" s="21"/>
      <c r="K96" s="143" t="s">
        <v>1842</v>
      </c>
    </row>
    <row r="97" spans="1:11">
      <c r="A97" s="18"/>
      <c r="B97" s="18"/>
      <c r="C97" s="18"/>
      <c r="D97" s="18"/>
      <c r="E97" s="18"/>
      <c r="F97" s="20" t="s">
        <v>1843</v>
      </c>
      <c r="G97" s="18" t="s">
        <v>1844</v>
      </c>
      <c r="H97" s="21">
        <v>125000</v>
      </c>
      <c r="I97" s="21"/>
      <c r="J97" s="21"/>
    </row>
    <row r="98" spans="1:11">
      <c r="A98" s="18"/>
      <c r="B98" s="18"/>
      <c r="C98" s="18"/>
      <c r="D98" s="18"/>
      <c r="E98" s="18"/>
      <c r="F98" s="20" t="s">
        <v>1845</v>
      </c>
      <c r="G98" s="18" t="s">
        <v>1846</v>
      </c>
      <c r="H98" s="21">
        <v>125000</v>
      </c>
      <c r="I98" s="21"/>
      <c r="J98" s="21"/>
    </row>
    <row r="99" spans="1:11">
      <c r="A99" s="18"/>
      <c r="B99" s="18"/>
      <c r="C99" s="18"/>
      <c r="D99" s="18"/>
      <c r="E99" s="18"/>
      <c r="F99" s="20" t="s">
        <v>1847</v>
      </c>
      <c r="G99" s="18" t="s">
        <v>1848</v>
      </c>
      <c r="H99" s="21">
        <v>250000</v>
      </c>
      <c r="I99" s="21"/>
      <c r="J99" s="21"/>
    </row>
    <row r="100" spans="1:11">
      <c r="A100" s="18"/>
      <c r="B100" s="18"/>
      <c r="C100" s="18"/>
      <c r="D100" s="18"/>
      <c r="E100" s="18"/>
      <c r="F100" s="20" t="s">
        <v>1849</v>
      </c>
      <c r="G100" s="18" t="s">
        <v>1850</v>
      </c>
      <c r="H100" s="21">
        <v>286000</v>
      </c>
      <c r="I100" s="21"/>
      <c r="J100" s="21"/>
    </row>
    <row r="101" spans="1:11">
      <c r="A101" s="18"/>
      <c r="B101" s="18"/>
      <c r="C101" s="18"/>
      <c r="D101" s="18"/>
      <c r="E101" s="18"/>
      <c r="F101" s="20" t="s">
        <v>1851</v>
      </c>
      <c r="G101" s="18" t="s">
        <v>1852</v>
      </c>
      <c r="H101" s="21">
        <v>242000</v>
      </c>
      <c r="I101" s="21"/>
      <c r="J101" s="21"/>
      <c r="K101" s="143" t="s">
        <v>1853</v>
      </c>
    </row>
    <row r="102" spans="1:11">
      <c r="A102" s="18"/>
      <c r="B102" s="18"/>
      <c r="C102" s="18"/>
      <c r="D102" s="18"/>
      <c r="E102" s="18"/>
      <c r="F102" s="20" t="s">
        <v>1854</v>
      </c>
      <c r="G102" s="18" t="s">
        <v>1855</v>
      </c>
      <c r="H102" s="21">
        <v>259000</v>
      </c>
      <c r="I102" s="21"/>
      <c r="J102" s="21"/>
      <c r="K102" s="143" t="s">
        <v>1856</v>
      </c>
    </row>
    <row r="103" spans="1:11">
      <c r="A103" s="18"/>
      <c r="B103" s="18"/>
      <c r="C103" s="18"/>
      <c r="D103" s="18"/>
      <c r="E103" s="18"/>
      <c r="F103" s="20" t="s">
        <v>1857</v>
      </c>
      <c r="G103" s="18" t="s">
        <v>1858</v>
      </c>
      <c r="H103" s="21">
        <v>250000</v>
      </c>
      <c r="I103" s="21"/>
      <c r="J103" s="21"/>
    </row>
    <row r="104" spans="1:11">
      <c r="A104" s="18"/>
      <c r="B104" s="18"/>
      <c r="C104" s="18"/>
      <c r="D104" s="18"/>
      <c r="E104" s="18"/>
      <c r="F104" s="20" t="s">
        <v>1857</v>
      </c>
      <c r="G104" s="18" t="s">
        <v>1646</v>
      </c>
      <c r="H104" s="21">
        <v>30000</v>
      </c>
      <c r="I104" s="21"/>
      <c r="J104" s="21"/>
    </row>
    <row r="105" spans="1:11">
      <c r="A105" s="18"/>
      <c r="B105" s="18"/>
      <c r="C105" s="18"/>
      <c r="D105" s="18"/>
      <c r="E105" s="18"/>
      <c r="F105" s="20" t="s">
        <v>1859</v>
      </c>
      <c r="G105" s="18" t="s">
        <v>1860</v>
      </c>
      <c r="H105" s="21">
        <v>250000</v>
      </c>
      <c r="I105" s="21"/>
      <c r="J105" s="21"/>
    </row>
    <row r="106" spans="1:11">
      <c r="A106" s="18"/>
      <c r="B106" s="18"/>
      <c r="C106" s="18"/>
      <c r="D106" s="18"/>
      <c r="E106" s="18"/>
      <c r="F106" s="20"/>
      <c r="G106" s="18"/>
      <c r="H106" s="21"/>
      <c r="I106" s="21"/>
      <c r="J106" s="21"/>
    </row>
    <row r="107" spans="1:11">
      <c r="A107" s="18"/>
      <c r="B107" s="18"/>
      <c r="C107" s="18"/>
      <c r="D107" s="18"/>
      <c r="E107" s="18"/>
      <c r="F107" s="21"/>
      <c r="G107" s="18"/>
      <c r="H107" s="21"/>
      <c r="I107" s="21"/>
      <c r="J107" s="21"/>
    </row>
    <row r="109" spans="1:11">
      <c r="B109" s="411" t="s">
        <v>648</v>
      </c>
    </row>
    <row r="110" spans="1:11" ht="30" customHeight="1">
      <c r="A110" s="651" t="s">
        <v>527</v>
      </c>
      <c r="B110" s="651"/>
      <c r="C110" s="651"/>
      <c r="D110" s="651"/>
      <c r="E110" s="651"/>
      <c r="F110" s="651"/>
      <c r="G110" s="651"/>
      <c r="H110" s="651"/>
      <c r="I110" s="651"/>
      <c r="J110" s="651"/>
    </row>
    <row r="111" spans="1:11" ht="28.5">
      <c r="A111" s="16" t="s">
        <v>11</v>
      </c>
      <c r="B111" s="17" t="s">
        <v>697</v>
      </c>
      <c r="C111" s="17" t="s">
        <v>698</v>
      </c>
      <c r="D111" s="17" t="s">
        <v>12</v>
      </c>
      <c r="E111" s="16" t="s">
        <v>699</v>
      </c>
      <c r="F111" s="16" t="s">
        <v>657</v>
      </c>
      <c r="G111" s="17" t="s">
        <v>700</v>
      </c>
      <c r="H111" s="16" t="s">
        <v>660</v>
      </c>
      <c r="I111" s="16"/>
      <c r="J111" s="16" t="s">
        <v>27</v>
      </c>
    </row>
    <row r="112" spans="1:11">
      <c r="A112" s="18">
        <v>1</v>
      </c>
      <c r="B112" s="18" t="s">
        <v>1656</v>
      </c>
      <c r="C112" s="18" t="s">
        <v>1657</v>
      </c>
      <c r="D112" s="18" t="s">
        <v>1658</v>
      </c>
      <c r="E112" s="18" t="s">
        <v>703</v>
      </c>
      <c r="F112" s="20" t="s">
        <v>1861</v>
      </c>
      <c r="G112" s="18" t="s">
        <v>1862</v>
      </c>
      <c r="H112" s="21">
        <v>210000</v>
      </c>
      <c r="I112" s="96"/>
      <c r="J112" s="16" t="s">
        <v>27</v>
      </c>
      <c r="K112" s="143" t="s">
        <v>1863</v>
      </c>
    </row>
    <row r="113" spans="1:11">
      <c r="A113" s="18"/>
      <c r="B113" s="18"/>
      <c r="C113" s="18"/>
      <c r="D113" s="18"/>
      <c r="E113" s="18" t="s">
        <v>1864</v>
      </c>
      <c r="F113" s="20" t="s">
        <v>1865</v>
      </c>
      <c r="G113" s="18" t="s">
        <v>1866</v>
      </c>
      <c r="H113" s="21">
        <v>210000</v>
      </c>
      <c r="I113" s="21"/>
      <c r="J113" s="21"/>
    </row>
    <row r="114" spans="1:11">
      <c r="A114" s="18"/>
      <c r="B114" s="18"/>
      <c r="C114" s="18"/>
      <c r="D114" s="18"/>
      <c r="E114" s="18" t="s">
        <v>1867</v>
      </c>
      <c r="F114" s="20" t="s">
        <v>1868</v>
      </c>
      <c r="G114" s="18" t="s">
        <v>1869</v>
      </c>
      <c r="H114" s="21">
        <v>210000</v>
      </c>
      <c r="I114" s="21"/>
      <c r="J114" s="21"/>
    </row>
    <row r="115" spans="1:11">
      <c r="A115" s="18"/>
      <c r="B115" s="18"/>
      <c r="C115" s="18"/>
      <c r="D115" s="18"/>
      <c r="E115" s="18" t="s">
        <v>1870</v>
      </c>
      <c r="F115" s="20" t="s">
        <v>1871</v>
      </c>
      <c r="G115" s="18" t="s">
        <v>1872</v>
      </c>
      <c r="H115" s="21">
        <v>105000</v>
      </c>
      <c r="I115" s="21">
        <f>210000-H115</f>
        <v>105000</v>
      </c>
      <c r="J115" s="21"/>
      <c r="K115" s="143" t="s">
        <v>1873</v>
      </c>
    </row>
    <row r="116" spans="1:11">
      <c r="A116" s="18"/>
      <c r="B116" s="18"/>
      <c r="C116" s="18"/>
      <c r="D116" s="18"/>
      <c r="E116" s="18" t="s">
        <v>1874</v>
      </c>
      <c r="F116" s="20" t="s">
        <v>1871</v>
      </c>
      <c r="G116" s="18" t="s">
        <v>1875</v>
      </c>
      <c r="H116" s="21">
        <v>420000</v>
      </c>
      <c r="I116" s="21"/>
      <c r="J116" s="21"/>
      <c r="K116" s="143" t="s">
        <v>1876</v>
      </c>
    </row>
    <row r="117" spans="1:11">
      <c r="A117" s="18"/>
      <c r="B117" s="18"/>
      <c r="C117" s="18"/>
      <c r="D117" s="18"/>
      <c r="E117" s="18" t="s">
        <v>1877</v>
      </c>
      <c r="F117" s="20" t="s">
        <v>1878</v>
      </c>
      <c r="G117" s="18" t="s">
        <v>1879</v>
      </c>
      <c r="H117" s="21">
        <v>210000</v>
      </c>
      <c r="I117" s="21"/>
      <c r="J117" s="21"/>
      <c r="K117" s="143" t="s">
        <v>1880</v>
      </c>
    </row>
    <row r="118" spans="1:11">
      <c r="A118" s="18"/>
      <c r="B118" s="18"/>
      <c r="C118" s="18"/>
      <c r="D118" s="18"/>
      <c r="E118" s="18" t="s">
        <v>1881</v>
      </c>
      <c r="F118" s="20" t="s">
        <v>1882</v>
      </c>
      <c r="G118" s="18" t="s">
        <v>1883</v>
      </c>
      <c r="H118" s="21">
        <v>210000</v>
      </c>
      <c r="I118" s="21"/>
      <c r="J118" s="21"/>
      <c r="K118" s="143" t="s">
        <v>1884</v>
      </c>
    </row>
    <row r="119" spans="1:11">
      <c r="A119" s="18"/>
      <c r="B119" s="18"/>
      <c r="C119" s="18"/>
      <c r="D119" s="18"/>
      <c r="E119" s="18" t="s">
        <v>1885</v>
      </c>
      <c r="F119" s="20" t="s">
        <v>1886</v>
      </c>
      <c r="G119" s="18" t="s">
        <v>1887</v>
      </c>
      <c r="H119" s="21">
        <v>420000</v>
      </c>
      <c r="I119" s="21"/>
      <c r="J119" s="21"/>
      <c r="K119" s="143" t="s">
        <v>1880</v>
      </c>
    </row>
    <row r="120" spans="1:11">
      <c r="A120" s="18"/>
      <c r="B120" s="18"/>
      <c r="C120" s="18"/>
      <c r="D120" s="18"/>
      <c r="E120" s="18" t="s">
        <v>1888</v>
      </c>
      <c r="F120" s="20" t="s">
        <v>1889</v>
      </c>
      <c r="G120" s="18" t="s">
        <v>1890</v>
      </c>
      <c r="H120" s="21">
        <v>210000</v>
      </c>
      <c r="I120" s="21"/>
      <c r="J120" s="21"/>
    </row>
    <row r="121" spans="1:11">
      <c r="A121" s="18"/>
      <c r="B121" s="18"/>
      <c r="C121" s="18"/>
      <c r="D121" s="18"/>
      <c r="E121" s="18" t="s">
        <v>1891</v>
      </c>
      <c r="F121" s="20" t="s">
        <v>1892</v>
      </c>
      <c r="G121" s="18" t="s">
        <v>1893</v>
      </c>
      <c r="H121" s="21">
        <v>210000</v>
      </c>
      <c r="I121" s="21"/>
      <c r="J121" s="21"/>
    </row>
    <row r="122" spans="1:11">
      <c r="A122" s="18"/>
      <c r="B122" s="18"/>
      <c r="C122" s="18"/>
      <c r="D122" s="18"/>
      <c r="E122" s="18" t="s">
        <v>1894</v>
      </c>
      <c r="F122" s="20" t="s">
        <v>1895</v>
      </c>
      <c r="G122" s="18" t="s">
        <v>1896</v>
      </c>
      <c r="H122" s="21">
        <v>210000</v>
      </c>
      <c r="I122" s="21"/>
      <c r="J122" s="21"/>
    </row>
    <row r="123" spans="1:11">
      <c r="A123" s="18"/>
      <c r="B123" s="18"/>
      <c r="C123" s="18"/>
      <c r="D123" s="18"/>
      <c r="E123" s="18" t="s">
        <v>1897</v>
      </c>
      <c r="F123" s="20" t="s">
        <v>1898</v>
      </c>
      <c r="G123" s="18" t="s">
        <v>1899</v>
      </c>
      <c r="H123" s="21">
        <v>210000</v>
      </c>
      <c r="I123" s="21"/>
      <c r="J123" s="21"/>
    </row>
    <row r="124" spans="1:11">
      <c r="A124" s="18"/>
      <c r="B124" s="18"/>
      <c r="C124" s="18"/>
      <c r="D124" s="18"/>
      <c r="E124" s="18" t="s">
        <v>1900</v>
      </c>
      <c r="F124" s="20" t="s">
        <v>1901</v>
      </c>
      <c r="G124" s="18" t="s">
        <v>1902</v>
      </c>
      <c r="H124" s="21">
        <v>420000</v>
      </c>
      <c r="I124" s="21"/>
      <c r="J124" s="21"/>
    </row>
    <row r="125" spans="1:11">
      <c r="A125" s="18"/>
      <c r="B125" s="18"/>
      <c r="C125" s="18"/>
      <c r="D125" s="18"/>
      <c r="E125" s="18" t="s">
        <v>1903</v>
      </c>
      <c r="F125" s="20" t="s">
        <v>1682</v>
      </c>
      <c r="G125" s="18" t="s">
        <v>1904</v>
      </c>
      <c r="H125" s="21">
        <v>420000</v>
      </c>
      <c r="I125" s="21"/>
      <c r="J125" s="21"/>
    </row>
    <row r="126" spans="1:11">
      <c r="A126" s="18"/>
      <c r="B126" s="18"/>
      <c r="C126" s="18"/>
      <c r="D126" s="18"/>
      <c r="E126" s="18" t="s">
        <v>1905</v>
      </c>
      <c r="F126" s="20" t="s">
        <v>1906</v>
      </c>
      <c r="G126" s="18" t="s">
        <v>1907</v>
      </c>
      <c r="H126" s="21">
        <v>210000</v>
      </c>
      <c r="I126" s="21"/>
      <c r="J126" s="21"/>
    </row>
    <row r="127" spans="1:11">
      <c r="A127" s="18"/>
      <c r="B127" s="18"/>
      <c r="C127" s="18"/>
      <c r="D127" s="18"/>
      <c r="E127" s="18" t="s">
        <v>1908</v>
      </c>
      <c r="F127" s="20"/>
      <c r="G127" s="18"/>
      <c r="H127" s="21"/>
      <c r="I127" s="21">
        <f>609000/2</f>
        <v>304500</v>
      </c>
      <c r="J127" s="21"/>
    </row>
    <row r="128" spans="1:11">
      <c r="A128" s="18"/>
      <c r="B128" s="18"/>
      <c r="C128" s="18"/>
      <c r="D128" s="18"/>
      <c r="E128" s="18" t="s">
        <v>1909</v>
      </c>
      <c r="F128" s="20" t="s">
        <v>1910</v>
      </c>
      <c r="G128" s="18" t="s">
        <v>1911</v>
      </c>
      <c r="H128" s="21">
        <v>210000</v>
      </c>
      <c r="I128" s="21">
        <v>-100000</v>
      </c>
      <c r="J128" s="21"/>
      <c r="K128" s="143" t="s">
        <v>1912</v>
      </c>
    </row>
    <row r="129" spans="1:11">
      <c r="A129" s="18"/>
      <c r="B129" s="18"/>
      <c r="C129" s="18"/>
      <c r="D129" s="18"/>
      <c r="E129" s="18" t="s">
        <v>1913</v>
      </c>
      <c r="F129" s="20" t="s">
        <v>1914</v>
      </c>
      <c r="G129" s="18" t="s">
        <v>1915</v>
      </c>
      <c r="H129" s="21">
        <v>210000</v>
      </c>
      <c r="I129" s="21">
        <v>-100000</v>
      </c>
      <c r="J129" s="21"/>
      <c r="K129" s="143" t="s">
        <v>1912</v>
      </c>
    </row>
    <row r="130" spans="1:11">
      <c r="A130" s="18"/>
      <c r="B130" s="18"/>
      <c r="C130" s="18"/>
      <c r="D130" s="18"/>
      <c r="E130" s="18" t="s">
        <v>1916</v>
      </c>
      <c r="F130" s="20" t="s">
        <v>1917</v>
      </c>
      <c r="G130" s="18" t="s">
        <v>1918</v>
      </c>
      <c r="H130" s="21">
        <v>210000</v>
      </c>
      <c r="I130" s="21">
        <v>-100000</v>
      </c>
      <c r="J130" s="21"/>
    </row>
    <row r="131" spans="1:11">
      <c r="A131" s="18"/>
      <c r="B131" s="18"/>
      <c r="C131" s="18"/>
      <c r="D131" s="18"/>
      <c r="E131" s="18"/>
      <c r="F131" s="20"/>
      <c r="G131" s="18"/>
      <c r="H131" s="21"/>
      <c r="I131" s="21">
        <v>-4500</v>
      </c>
      <c r="J131" s="21" t="s">
        <v>1919</v>
      </c>
    </row>
    <row r="132" spans="1:11">
      <c r="A132" s="18"/>
      <c r="B132" s="18"/>
      <c r="C132" s="18"/>
      <c r="D132" s="18"/>
      <c r="E132" s="18" t="s">
        <v>1920</v>
      </c>
      <c r="F132" s="20" t="s">
        <v>1921</v>
      </c>
      <c r="G132" s="18" t="s">
        <v>1922</v>
      </c>
      <c r="H132" s="21">
        <v>210000</v>
      </c>
      <c r="I132" s="21"/>
      <c r="J132" s="21"/>
    </row>
    <row r="133" spans="1:11">
      <c r="A133" s="18"/>
      <c r="B133" s="18"/>
      <c r="C133" s="18"/>
      <c r="D133" s="18"/>
      <c r="E133" s="18" t="s">
        <v>1923</v>
      </c>
      <c r="F133" s="20" t="s">
        <v>1924</v>
      </c>
      <c r="G133" s="18" t="s">
        <v>1925</v>
      </c>
      <c r="H133" s="21">
        <v>420000</v>
      </c>
      <c r="I133" s="21"/>
      <c r="J133" s="21"/>
    </row>
    <row r="134" spans="1:11">
      <c r="A134" s="18"/>
      <c r="B134" s="18"/>
      <c r="C134" s="18"/>
      <c r="D134" s="18"/>
      <c r="E134" s="18" t="s">
        <v>1926</v>
      </c>
      <c r="F134" s="20" t="s">
        <v>1927</v>
      </c>
      <c r="G134" s="18" t="s">
        <v>1928</v>
      </c>
      <c r="H134" s="21">
        <v>630000</v>
      </c>
      <c r="I134" s="21"/>
      <c r="J134" s="21"/>
      <c r="K134" s="143" t="s">
        <v>1929</v>
      </c>
    </row>
    <row r="135" spans="1:11">
      <c r="A135" s="18"/>
      <c r="B135" s="18"/>
      <c r="C135" s="18"/>
      <c r="D135" s="18"/>
      <c r="E135" s="18" t="s">
        <v>1930</v>
      </c>
      <c r="F135" s="20" t="s">
        <v>1931</v>
      </c>
      <c r="G135" s="18" t="s">
        <v>1932</v>
      </c>
      <c r="H135" s="21">
        <v>840000</v>
      </c>
      <c r="I135" s="21"/>
      <c r="J135" s="21"/>
      <c r="K135" s="143" t="s">
        <v>664</v>
      </c>
    </row>
    <row r="136" spans="1:11">
      <c r="A136" s="18"/>
      <c r="B136" s="18"/>
      <c r="C136" s="18"/>
      <c r="D136" s="18"/>
      <c r="E136" s="18" t="s">
        <v>1933</v>
      </c>
      <c r="F136" s="20" t="s">
        <v>1934</v>
      </c>
      <c r="G136" s="18" t="s">
        <v>775</v>
      </c>
      <c r="H136" s="21">
        <v>630000</v>
      </c>
      <c r="I136" s="21"/>
      <c r="J136" s="21"/>
      <c r="K136" s="143" t="s">
        <v>1929</v>
      </c>
    </row>
    <row r="137" spans="1:11">
      <c r="A137" s="18"/>
      <c r="B137" s="18"/>
      <c r="C137" s="18"/>
      <c r="D137" s="18"/>
      <c r="E137" s="18" t="s">
        <v>1935</v>
      </c>
      <c r="F137" s="20" t="s">
        <v>1936</v>
      </c>
      <c r="G137" s="18" t="s">
        <v>1937</v>
      </c>
      <c r="H137" s="21">
        <v>420000</v>
      </c>
      <c r="I137" s="21"/>
      <c r="J137" s="21"/>
      <c r="K137" s="143" t="s">
        <v>664</v>
      </c>
    </row>
    <row r="138" spans="1:11">
      <c r="A138" s="18"/>
      <c r="B138" s="18"/>
      <c r="C138" s="18"/>
      <c r="D138" s="18"/>
      <c r="E138" s="18" t="s">
        <v>1938</v>
      </c>
      <c r="F138" s="20" t="s">
        <v>1939</v>
      </c>
      <c r="G138" s="18" t="s">
        <v>1169</v>
      </c>
      <c r="H138" s="21">
        <v>540000</v>
      </c>
      <c r="I138" s="21"/>
      <c r="J138" s="21"/>
      <c r="K138" s="143" t="s">
        <v>664</v>
      </c>
    </row>
    <row r="139" spans="1:11">
      <c r="A139" s="18"/>
      <c r="B139" s="18"/>
      <c r="C139" s="18"/>
      <c r="D139" s="18"/>
      <c r="E139" s="18" t="s">
        <v>532</v>
      </c>
      <c r="F139" s="20" t="s">
        <v>1940</v>
      </c>
      <c r="G139" s="18" t="s">
        <v>1941</v>
      </c>
      <c r="H139" s="21">
        <v>270000</v>
      </c>
      <c r="I139" s="21"/>
      <c r="J139" s="21"/>
      <c r="K139" s="143" t="s">
        <v>1929</v>
      </c>
    </row>
    <row r="140" spans="1:11">
      <c r="A140" s="18"/>
      <c r="B140" s="18"/>
      <c r="C140" s="18"/>
      <c r="D140" s="18"/>
      <c r="E140" s="18"/>
      <c r="F140" s="20"/>
      <c r="G140" s="18"/>
      <c r="H140" s="21"/>
      <c r="I140" s="21"/>
      <c r="J140" s="21"/>
    </row>
    <row r="141" spans="1:11">
      <c r="A141" s="18"/>
      <c r="B141" s="18"/>
      <c r="C141" s="18"/>
      <c r="D141" s="18"/>
      <c r="E141" s="18"/>
      <c r="F141" s="20"/>
      <c r="G141" s="18"/>
      <c r="H141" s="21"/>
      <c r="I141" s="21"/>
      <c r="J141" s="21"/>
    </row>
    <row r="142" spans="1:11">
      <c r="A142" s="18"/>
      <c r="B142" s="18"/>
      <c r="C142" s="18"/>
      <c r="D142" s="18"/>
      <c r="E142" s="18"/>
      <c r="F142" s="20"/>
      <c r="G142" s="18"/>
      <c r="H142" s="21"/>
      <c r="I142" s="21"/>
      <c r="J142" s="21"/>
    </row>
    <row r="143" spans="1:11">
      <c r="A143" s="18"/>
      <c r="B143" s="18"/>
      <c r="C143" s="18"/>
      <c r="D143" s="18"/>
      <c r="E143" s="18"/>
      <c r="F143" s="20"/>
      <c r="G143" s="18"/>
      <c r="H143" s="21"/>
      <c r="I143" s="21"/>
      <c r="J143" s="21"/>
    </row>
    <row r="144" spans="1:11">
      <c r="A144" s="18"/>
      <c r="B144" s="18"/>
      <c r="C144" s="18"/>
      <c r="D144" s="18"/>
      <c r="E144" s="18"/>
      <c r="F144" s="20"/>
      <c r="G144" s="18"/>
      <c r="H144" s="21"/>
      <c r="I144" s="21"/>
      <c r="J144" s="21"/>
    </row>
    <row r="149" spans="8:8">
      <c r="H149" s="439"/>
    </row>
    <row r="151" spans="8:8">
      <c r="H151" s="440"/>
    </row>
    <row r="154" spans="8:8">
      <c r="H154" s="440"/>
    </row>
  </sheetData>
  <mergeCells count="21">
    <mergeCell ref="A61:J61"/>
    <mergeCell ref="A80:J80"/>
    <mergeCell ref="A91:J91"/>
    <mergeCell ref="A110:J110"/>
    <mergeCell ref="F27:F28"/>
    <mergeCell ref="G27:G28"/>
    <mergeCell ref="A32:P32"/>
    <mergeCell ref="A33:A34"/>
    <mergeCell ref="B33:B34"/>
    <mergeCell ref="C33:C34"/>
    <mergeCell ref="E33:E34"/>
    <mergeCell ref="F33:F34"/>
    <mergeCell ref="G33:G34"/>
    <mergeCell ref="A2:H3"/>
    <mergeCell ref="A4:A5"/>
    <mergeCell ref="B4:B5"/>
    <mergeCell ref="C4:C5"/>
    <mergeCell ref="D4:D5"/>
    <mergeCell ref="E4:E5"/>
    <mergeCell ref="F4:F5"/>
    <mergeCell ref="G4:G5"/>
  </mergeCells>
  <hyperlinks>
    <hyperlink ref="B1" location="Name!A1" display="Name!A1" xr:uid="{16B2D11B-12EC-42C9-9165-40E79D6D352B}"/>
    <hyperlink ref="B109" location="Name!A1" display="Name!A1" xr:uid="{D66E48EB-6194-4390-877F-A6320909F85E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908C-9E43-4D87-AD30-B02ABB4BCB0F}">
  <dimension ref="A1:M69"/>
  <sheetViews>
    <sheetView workbookViewId="0">
      <selection activeCell="B1" sqref="B1"/>
    </sheetView>
  </sheetViews>
  <sheetFormatPr defaultColWidth="9.140625" defaultRowHeight="15"/>
  <cols>
    <col min="1" max="1" width="9.140625" style="15"/>
    <col min="2" max="2" width="15.5703125" style="15" customWidth="1"/>
    <col min="3" max="3" width="20.7109375" style="15" customWidth="1"/>
    <col min="4" max="4" width="9.140625" style="15"/>
    <col min="5" max="5" width="27.5703125" style="15" customWidth="1"/>
    <col min="6" max="6" width="16.28515625" style="15" customWidth="1"/>
    <col min="7" max="7" width="13.42578125" style="15" customWidth="1"/>
    <col min="8" max="8" width="21.85546875" style="15" customWidth="1"/>
    <col min="9" max="9" width="9.140625" style="15"/>
    <col min="10" max="10" width="11.7109375" style="15" customWidth="1"/>
    <col min="11" max="16384" width="9.140625" style="15"/>
  </cols>
  <sheetData>
    <row r="1" spans="1:13">
      <c r="B1" s="411" t="s">
        <v>648</v>
      </c>
    </row>
    <row r="2" spans="1:13" ht="21.75">
      <c r="A2" s="694" t="s">
        <v>1942</v>
      </c>
      <c r="B2" s="694"/>
      <c r="C2" s="694"/>
      <c r="D2" s="694"/>
      <c r="E2" s="694"/>
      <c r="F2" s="694"/>
      <c r="G2" s="694"/>
      <c r="H2" s="694"/>
      <c r="I2" s="143"/>
      <c r="J2" s="143"/>
      <c r="K2" s="143"/>
    </row>
    <row r="3" spans="1:13" ht="21.75">
      <c r="A3" s="680"/>
      <c r="B3" s="680"/>
      <c r="C3" s="680"/>
      <c r="D3" s="680"/>
      <c r="E3" s="680"/>
      <c r="F3" s="680"/>
      <c r="G3" s="680"/>
      <c r="H3" s="680"/>
      <c r="I3" s="143"/>
      <c r="J3" s="143"/>
      <c r="K3" s="143"/>
    </row>
    <row r="4" spans="1:13" ht="21.75">
      <c r="A4" s="645" t="s">
        <v>653</v>
      </c>
      <c r="B4" s="647" t="s">
        <v>654</v>
      </c>
      <c r="C4" s="645" t="s">
        <v>655</v>
      </c>
      <c r="D4" s="645" t="s">
        <v>12</v>
      </c>
      <c r="E4" s="647" t="s">
        <v>656</v>
      </c>
      <c r="F4" s="645" t="s">
        <v>657</v>
      </c>
      <c r="G4" s="647" t="s">
        <v>658</v>
      </c>
      <c r="H4" s="3" t="s">
        <v>659</v>
      </c>
      <c r="I4" s="143"/>
      <c r="J4" s="143"/>
      <c r="K4" s="143"/>
    </row>
    <row r="5" spans="1:13" ht="21.75">
      <c r="A5" s="646"/>
      <c r="B5" s="646"/>
      <c r="C5" s="646"/>
      <c r="D5" s="646"/>
      <c r="E5" s="648"/>
      <c r="F5" s="646"/>
      <c r="G5" s="646"/>
      <c r="H5" s="6" t="s">
        <v>660</v>
      </c>
      <c r="I5" s="143"/>
      <c r="J5" s="143"/>
      <c r="K5" s="143"/>
    </row>
    <row r="6" spans="1:13" ht="21.75">
      <c r="A6" s="7">
        <v>1</v>
      </c>
      <c r="B6" s="7" t="s">
        <v>1656</v>
      </c>
      <c r="C6" s="7" t="s">
        <v>522</v>
      </c>
      <c r="D6" s="7" t="s">
        <v>1943</v>
      </c>
      <c r="E6" s="9" t="s">
        <v>1944</v>
      </c>
      <c r="F6" s="10" t="s">
        <v>1945</v>
      </c>
      <c r="G6" s="9" t="s">
        <v>1946</v>
      </c>
      <c r="H6" s="9">
        <v>1050000</v>
      </c>
      <c r="I6" s="143"/>
      <c r="J6" s="143"/>
      <c r="K6" s="143"/>
      <c r="M6" s="15">
        <v>3</v>
      </c>
    </row>
    <row r="7" spans="1:13" ht="21.75">
      <c r="A7" s="7"/>
      <c r="B7" s="7"/>
      <c r="C7" s="7"/>
      <c r="D7" s="7"/>
      <c r="E7" s="9" t="s">
        <v>1947</v>
      </c>
      <c r="F7" s="10" t="s">
        <v>1451</v>
      </c>
      <c r="G7" s="9" t="s">
        <v>1948</v>
      </c>
      <c r="H7" s="9">
        <v>1050000</v>
      </c>
      <c r="I7" s="143"/>
      <c r="J7" s="143"/>
      <c r="K7" s="143"/>
      <c r="M7" s="15">
        <v>3</v>
      </c>
    </row>
    <row r="8" spans="1:13" ht="21.75">
      <c r="A8" s="7"/>
      <c r="B8" s="7"/>
      <c r="C8" s="7"/>
      <c r="D8" s="7"/>
      <c r="E8" s="9" t="s">
        <v>1949</v>
      </c>
      <c r="F8" s="10" t="s">
        <v>1950</v>
      </c>
      <c r="G8" s="9" t="s">
        <v>1951</v>
      </c>
      <c r="H8" s="9">
        <v>700000</v>
      </c>
      <c r="I8" s="143"/>
      <c r="J8" s="143"/>
      <c r="K8" s="143"/>
      <c r="M8" s="15">
        <v>2</v>
      </c>
    </row>
    <row r="9" spans="1:13" ht="21.75">
      <c r="A9" s="7"/>
      <c r="B9" s="7"/>
      <c r="C9" s="7"/>
      <c r="D9" s="7"/>
      <c r="E9" s="9" t="s">
        <v>1952</v>
      </c>
      <c r="F9" s="10" t="s">
        <v>1953</v>
      </c>
      <c r="G9" s="9" t="s">
        <v>1954</v>
      </c>
      <c r="H9" s="9">
        <v>600000</v>
      </c>
      <c r="I9" s="143"/>
      <c r="J9" s="143"/>
      <c r="K9" s="143"/>
      <c r="M9" s="15">
        <v>2</v>
      </c>
    </row>
    <row r="10" spans="1:13" ht="21.75">
      <c r="A10" s="7"/>
      <c r="B10" s="7"/>
      <c r="C10" s="7"/>
      <c r="D10" s="7"/>
      <c r="E10" s="9" t="s">
        <v>1955</v>
      </c>
      <c r="F10" s="10" t="s">
        <v>1956</v>
      </c>
      <c r="G10" s="9" t="s">
        <v>1957</v>
      </c>
      <c r="H10" s="9">
        <v>350000</v>
      </c>
      <c r="I10" s="143"/>
      <c r="J10" s="143"/>
      <c r="K10" s="143"/>
      <c r="M10" s="15">
        <v>1</v>
      </c>
    </row>
    <row r="11" spans="1:13" ht="21.75">
      <c r="A11" s="7"/>
      <c r="B11" s="7"/>
      <c r="C11" s="7"/>
      <c r="D11" s="7"/>
      <c r="E11" s="9" t="s">
        <v>1958</v>
      </c>
      <c r="F11" s="10" t="s">
        <v>1959</v>
      </c>
      <c r="G11" s="9" t="s">
        <v>1960</v>
      </c>
      <c r="H11" s="9">
        <v>350000</v>
      </c>
      <c r="I11" s="143"/>
      <c r="J11" s="143"/>
      <c r="K11" s="143"/>
      <c r="M11" s="15">
        <v>1</v>
      </c>
    </row>
    <row r="12" spans="1:13" ht="21.75">
      <c r="A12" s="7"/>
      <c r="B12" s="7"/>
      <c r="C12" s="7"/>
      <c r="D12" s="7"/>
      <c r="E12" s="9" t="s">
        <v>1961</v>
      </c>
      <c r="F12" s="10" t="s">
        <v>1962</v>
      </c>
      <c r="G12" s="9" t="s">
        <v>1963</v>
      </c>
      <c r="H12" s="9">
        <v>350000</v>
      </c>
      <c r="I12" s="143"/>
      <c r="J12" s="143"/>
      <c r="K12" s="143"/>
      <c r="M12" s="15">
        <v>1</v>
      </c>
    </row>
    <row r="13" spans="1:13" ht="21.75">
      <c r="A13" s="7"/>
      <c r="B13" s="7"/>
      <c r="C13" s="7"/>
      <c r="D13" s="7"/>
      <c r="E13" s="9" t="s">
        <v>1964</v>
      </c>
      <c r="F13" s="10" t="s">
        <v>1965</v>
      </c>
      <c r="G13" s="9" t="s">
        <v>1791</v>
      </c>
      <c r="H13" s="9">
        <v>273000</v>
      </c>
      <c r="I13" s="143" t="s">
        <v>1966</v>
      </c>
      <c r="J13" s="143"/>
      <c r="K13" s="143"/>
      <c r="M13" s="15">
        <v>1</v>
      </c>
    </row>
    <row r="14" spans="1:13" ht="21.75">
      <c r="A14" s="7"/>
      <c r="B14" s="7"/>
      <c r="C14" s="7"/>
      <c r="D14" s="7"/>
      <c r="E14" s="9" t="s">
        <v>1967</v>
      </c>
      <c r="F14" s="10" t="s">
        <v>1968</v>
      </c>
      <c r="G14" s="9" t="s">
        <v>1797</v>
      </c>
      <c r="H14" s="9">
        <v>320000</v>
      </c>
      <c r="I14" s="143"/>
      <c r="J14" s="143"/>
      <c r="K14" s="143"/>
      <c r="M14" s="15">
        <v>1</v>
      </c>
    </row>
    <row r="15" spans="1:13" ht="21.75">
      <c r="A15" s="7"/>
      <c r="B15" s="7"/>
      <c r="C15" s="7"/>
      <c r="D15" s="7"/>
      <c r="E15" s="9" t="s">
        <v>1969</v>
      </c>
      <c r="F15" s="10" t="s">
        <v>1970</v>
      </c>
      <c r="G15" s="9" t="s">
        <v>1971</v>
      </c>
      <c r="H15" s="9">
        <v>320000</v>
      </c>
      <c r="I15" s="143" t="s">
        <v>1972</v>
      </c>
      <c r="J15" s="143"/>
      <c r="K15" s="143"/>
      <c r="M15" s="15">
        <v>1</v>
      </c>
    </row>
    <row r="16" spans="1:13" ht="21.75">
      <c r="A16" s="7"/>
      <c r="B16" s="7"/>
      <c r="C16" s="7"/>
      <c r="D16" s="7"/>
      <c r="E16" s="9" t="s">
        <v>1973</v>
      </c>
      <c r="F16" s="10" t="s">
        <v>1974</v>
      </c>
      <c r="G16" s="9" t="s">
        <v>1975</v>
      </c>
      <c r="H16" s="9">
        <v>320000</v>
      </c>
      <c r="I16" s="143"/>
      <c r="J16" s="143"/>
      <c r="K16" s="143"/>
      <c r="M16" s="15">
        <v>1</v>
      </c>
    </row>
    <row r="17" spans="1:11" ht="21.75">
      <c r="A17" s="7"/>
      <c r="B17" s="7"/>
      <c r="C17" s="7"/>
      <c r="D17" s="7"/>
      <c r="E17" s="9" t="s">
        <v>1397</v>
      </c>
      <c r="F17" s="10" t="s">
        <v>1976</v>
      </c>
      <c r="G17" s="9" t="s">
        <v>1563</v>
      </c>
      <c r="H17" s="9">
        <v>320000</v>
      </c>
      <c r="I17" s="143"/>
      <c r="J17" s="143"/>
      <c r="K17" s="143"/>
    </row>
    <row r="18" spans="1:11" ht="21.75">
      <c r="A18" s="7"/>
      <c r="B18" s="7"/>
      <c r="C18" s="7"/>
      <c r="D18" s="7"/>
      <c r="E18" s="9" t="s">
        <v>1400</v>
      </c>
      <c r="F18" s="10" t="s">
        <v>1977</v>
      </c>
      <c r="G18" s="9" t="s">
        <v>1978</v>
      </c>
      <c r="H18" s="9">
        <v>320000</v>
      </c>
      <c r="I18" s="143"/>
      <c r="J18" s="143"/>
      <c r="K18" s="143"/>
    </row>
    <row r="19" spans="1:11" ht="21.75">
      <c r="A19" s="7"/>
      <c r="B19" s="7"/>
      <c r="C19" s="7"/>
      <c r="D19" s="7"/>
      <c r="E19" s="9" t="s">
        <v>1979</v>
      </c>
      <c r="F19" s="10" t="s">
        <v>1980</v>
      </c>
      <c r="G19" s="9" t="s">
        <v>1981</v>
      </c>
      <c r="H19" s="9">
        <v>320000</v>
      </c>
      <c r="I19" s="143"/>
      <c r="J19" s="143"/>
      <c r="K19" s="143"/>
    </row>
    <row r="20" spans="1:11" ht="21.75">
      <c r="A20" s="7"/>
      <c r="B20" s="7"/>
      <c r="C20" s="7"/>
      <c r="D20" s="7"/>
      <c r="E20" s="9" t="s">
        <v>1405</v>
      </c>
      <c r="F20" s="10" t="s">
        <v>1982</v>
      </c>
      <c r="G20" s="9" t="s">
        <v>1983</v>
      </c>
      <c r="H20" s="9">
        <v>320000</v>
      </c>
      <c r="I20" s="143"/>
      <c r="J20" s="143"/>
      <c r="K20" s="143"/>
    </row>
    <row r="21" spans="1:11" ht="21.75">
      <c r="A21" s="7"/>
      <c r="B21" s="7"/>
      <c r="C21" s="7"/>
      <c r="D21" s="7"/>
      <c r="E21" s="9" t="s">
        <v>1984</v>
      </c>
      <c r="F21" s="10" t="s">
        <v>1985</v>
      </c>
      <c r="G21" s="9" t="s">
        <v>1986</v>
      </c>
      <c r="H21" s="9">
        <v>320000</v>
      </c>
      <c r="I21" s="143"/>
      <c r="J21" s="143"/>
      <c r="K21" s="143"/>
    </row>
    <row r="22" spans="1:11" ht="21.75">
      <c r="A22" s="7"/>
      <c r="B22" s="7"/>
      <c r="C22" s="7"/>
      <c r="D22" s="7"/>
      <c r="E22" s="9" t="s">
        <v>1987</v>
      </c>
      <c r="F22" s="10" t="s">
        <v>1988</v>
      </c>
      <c r="G22" s="9" t="s">
        <v>1989</v>
      </c>
      <c r="H22" s="9">
        <v>320000</v>
      </c>
      <c r="I22" s="143"/>
      <c r="J22" s="143"/>
      <c r="K22" s="143"/>
    </row>
    <row r="23" spans="1:11" ht="21.75">
      <c r="A23" s="7"/>
      <c r="B23" s="7"/>
      <c r="C23" s="7"/>
      <c r="D23" s="7"/>
      <c r="E23" s="9" t="s">
        <v>1990</v>
      </c>
      <c r="F23" s="10" t="s">
        <v>1991</v>
      </c>
      <c r="G23" s="9" t="s">
        <v>1992</v>
      </c>
      <c r="H23" s="9">
        <v>320000</v>
      </c>
      <c r="I23" s="143"/>
      <c r="J23" s="143"/>
      <c r="K23" s="143"/>
    </row>
    <row r="24" spans="1:11" ht="21.75">
      <c r="A24" s="7"/>
      <c r="B24" s="7"/>
      <c r="C24" s="7"/>
      <c r="D24" s="7"/>
      <c r="E24" s="9" t="s">
        <v>1993</v>
      </c>
      <c r="F24" s="10" t="s">
        <v>1994</v>
      </c>
      <c r="G24" s="9" t="s">
        <v>987</v>
      </c>
      <c r="H24" s="9">
        <v>320000</v>
      </c>
      <c r="I24" s="143"/>
      <c r="J24" s="143"/>
      <c r="K24" s="143"/>
    </row>
    <row r="25" spans="1:11" ht="21.75">
      <c r="A25" s="7"/>
      <c r="B25" s="7"/>
      <c r="C25" s="7"/>
      <c r="D25" s="7"/>
      <c r="E25" s="9" t="s">
        <v>1995</v>
      </c>
      <c r="F25" s="10" t="s">
        <v>1996</v>
      </c>
      <c r="G25" s="9" t="s">
        <v>1997</v>
      </c>
      <c r="H25" s="9">
        <v>320000</v>
      </c>
      <c r="I25" s="143"/>
      <c r="J25" s="143"/>
      <c r="K25" s="143"/>
    </row>
    <row r="26" spans="1:11" ht="21.75">
      <c r="A26" s="7"/>
      <c r="B26" s="7"/>
      <c r="C26" s="7"/>
      <c r="D26" s="7"/>
      <c r="E26" s="9" t="s">
        <v>1998</v>
      </c>
      <c r="F26" s="10" t="s">
        <v>1999</v>
      </c>
      <c r="G26" s="9" t="s">
        <v>2000</v>
      </c>
      <c r="H26" s="9">
        <v>320000</v>
      </c>
      <c r="I26" s="143"/>
      <c r="J26" s="143"/>
      <c r="K26" s="143"/>
    </row>
    <row r="27" spans="1:11" ht="21.75">
      <c r="A27" s="7"/>
      <c r="B27" s="7"/>
      <c r="C27" s="7"/>
      <c r="D27" s="7"/>
      <c r="E27" s="9" t="s">
        <v>2001</v>
      </c>
      <c r="F27" s="10" t="s">
        <v>2002</v>
      </c>
      <c r="G27" s="9" t="s">
        <v>2003</v>
      </c>
      <c r="H27" s="9">
        <v>320000</v>
      </c>
      <c r="I27" s="143"/>
      <c r="J27" s="143"/>
      <c r="K27" s="143"/>
    </row>
    <row r="28" spans="1:11" ht="21.75">
      <c r="A28" s="7"/>
      <c r="B28" s="7"/>
      <c r="C28" s="7"/>
      <c r="D28" s="7"/>
      <c r="E28" s="9" t="s">
        <v>2004</v>
      </c>
      <c r="F28" s="10" t="s">
        <v>2005</v>
      </c>
      <c r="G28" s="9" t="s">
        <v>2006</v>
      </c>
      <c r="H28" s="9">
        <v>320000</v>
      </c>
      <c r="I28" s="143"/>
      <c r="J28" s="143"/>
      <c r="K28" s="143"/>
    </row>
    <row r="29" spans="1:11" ht="21.75">
      <c r="A29" s="7"/>
      <c r="B29" s="7"/>
      <c r="C29" s="7"/>
      <c r="D29" s="7"/>
      <c r="E29" s="9" t="s">
        <v>2007</v>
      </c>
      <c r="F29" s="10" t="s">
        <v>2008</v>
      </c>
      <c r="G29" s="9" t="s">
        <v>1517</v>
      </c>
      <c r="H29" s="9">
        <v>320000</v>
      </c>
      <c r="I29" s="143"/>
      <c r="J29" s="143"/>
      <c r="K29" s="143"/>
    </row>
    <row r="30" spans="1:11" ht="21.75">
      <c r="A30" s="7"/>
      <c r="B30" s="7"/>
      <c r="C30" s="7"/>
      <c r="D30" s="7"/>
      <c r="E30" s="9" t="s">
        <v>2009</v>
      </c>
      <c r="F30" s="10" t="s">
        <v>2010</v>
      </c>
      <c r="G30" s="9" t="s">
        <v>2011</v>
      </c>
      <c r="H30" s="9">
        <v>320000</v>
      </c>
      <c r="I30" s="143"/>
      <c r="J30" s="143"/>
      <c r="K30" s="143"/>
    </row>
    <row r="31" spans="1:11" ht="21.75">
      <c r="A31" s="7"/>
      <c r="B31" s="7"/>
      <c r="C31" s="7"/>
      <c r="D31" s="7"/>
      <c r="E31" s="9" t="s">
        <v>2012</v>
      </c>
      <c r="F31" s="10" t="s">
        <v>2013</v>
      </c>
      <c r="G31" s="9" t="s">
        <v>2014</v>
      </c>
      <c r="H31" s="9">
        <v>320000</v>
      </c>
      <c r="I31" s="143"/>
      <c r="J31" s="143"/>
      <c r="K31" s="143"/>
    </row>
    <row r="32" spans="1:11" ht="21.75">
      <c r="A32" s="7"/>
      <c r="B32" s="7"/>
      <c r="C32" s="7"/>
      <c r="D32" s="7"/>
      <c r="E32" s="9" t="s">
        <v>1006</v>
      </c>
      <c r="F32" s="10" t="s">
        <v>2013</v>
      </c>
      <c r="G32" s="9" t="s">
        <v>2014</v>
      </c>
      <c r="H32" s="9">
        <v>-160000</v>
      </c>
      <c r="I32" s="143"/>
      <c r="J32" s="143"/>
      <c r="K32" s="143"/>
    </row>
    <row r="33" spans="1:11" ht="21.75">
      <c r="A33" s="7"/>
      <c r="B33" s="7"/>
      <c r="C33" s="7"/>
      <c r="D33" s="7"/>
      <c r="E33" s="9" t="s">
        <v>2015</v>
      </c>
      <c r="F33" s="10" t="s">
        <v>2016</v>
      </c>
      <c r="G33" s="9" t="s">
        <v>2017</v>
      </c>
      <c r="H33" s="9">
        <v>320000</v>
      </c>
      <c r="I33" s="143"/>
      <c r="J33" s="143"/>
      <c r="K33" s="143"/>
    </row>
    <row r="34" spans="1:11" ht="21.75">
      <c r="A34" s="7"/>
      <c r="B34" s="7"/>
      <c r="C34" s="7"/>
      <c r="D34" s="7"/>
      <c r="E34" s="9" t="s">
        <v>2018</v>
      </c>
      <c r="F34" s="10"/>
      <c r="G34" s="9" t="s">
        <v>2019</v>
      </c>
      <c r="H34" s="9">
        <v>320000</v>
      </c>
      <c r="I34" s="143"/>
      <c r="J34" s="143"/>
      <c r="K34" s="143"/>
    </row>
    <row r="35" spans="1:11" ht="21.75">
      <c r="A35" s="7"/>
      <c r="B35" s="7"/>
      <c r="C35" s="7"/>
      <c r="D35" s="7"/>
      <c r="E35" s="9" t="s">
        <v>2020</v>
      </c>
      <c r="F35" s="10"/>
      <c r="G35" s="9"/>
      <c r="H35" s="9">
        <v>-320000</v>
      </c>
      <c r="I35" s="143"/>
      <c r="J35" s="143"/>
      <c r="K35" s="143"/>
    </row>
    <row r="36" spans="1:11" ht="21.75">
      <c r="A36" s="7"/>
      <c r="B36" s="7"/>
      <c r="C36" s="7"/>
      <c r="D36" s="7"/>
      <c r="E36" s="9"/>
      <c r="F36" s="10"/>
      <c r="G36" s="9"/>
      <c r="H36" s="9"/>
      <c r="I36" s="143"/>
      <c r="J36" s="143"/>
      <c r="K36" s="143"/>
    </row>
    <row r="37" spans="1:11" ht="21.75">
      <c r="A37" s="7"/>
      <c r="B37" s="7"/>
      <c r="C37" s="7"/>
      <c r="D37" s="7"/>
      <c r="E37" s="9"/>
      <c r="F37" s="10"/>
      <c r="G37" s="9"/>
      <c r="H37" s="9"/>
      <c r="I37" s="143"/>
      <c r="J37" s="143"/>
      <c r="K37" s="143"/>
    </row>
    <row r="38" spans="1:11" ht="21.75">
      <c r="A38" s="7"/>
      <c r="B38" s="7"/>
      <c r="C38" s="7"/>
      <c r="D38" s="7"/>
      <c r="E38" s="9"/>
      <c r="F38" s="7"/>
      <c r="G38" s="9"/>
      <c r="H38" s="9">
        <f>SUM(H6:H37)</f>
        <v>10643000</v>
      </c>
      <c r="I38" s="143"/>
      <c r="J38" s="143"/>
      <c r="K38" s="143"/>
    </row>
    <row r="45" spans="1:11">
      <c r="A45" s="694" t="s">
        <v>2021</v>
      </c>
      <c r="B45" s="694"/>
      <c r="C45" s="694"/>
      <c r="D45" s="694"/>
      <c r="E45" s="694"/>
      <c r="F45" s="694"/>
      <c r="G45" s="694"/>
      <c r="H45" s="694"/>
    </row>
    <row r="46" spans="1:11">
      <c r="A46" s="680"/>
      <c r="B46" s="680"/>
      <c r="C46" s="680"/>
      <c r="D46" s="680"/>
      <c r="E46" s="680"/>
      <c r="F46" s="680"/>
      <c r="G46" s="680"/>
      <c r="H46" s="680"/>
    </row>
    <row r="47" spans="1:11" ht="21.75">
      <c r="A47" s="645" t="s">
        <v>653</v>
      </c>
      <c r="B47" s="647" t="s">
        <v>654</v>
      </c>
      <c r="C47" s="645" t="s">
        <v>655</v>
      </c>
      <c r="D47" s="645" t="s">
        <v>12</v>
      </c>
      <c r="E47" s="647" t="s">
        <v>656</v>
      </c>
      <c r="F47" s="645" t="s">
        <v>657</v>
      </c>
      <c r="G47" s="647" t="s">
        <v>658</v>
      </c>
      <c r="H47" s="3" t="s">
        <v>659</v>
      </c>
    </row>
    <row r="48" spans="1:11" ht="21.75">
      <c r="A48" s="646"/>
      <c r="B48" s="646"/>
      <c r="C48" s="646"/>
      <c r="D48" s="646"/>
      <c r="E48" s="648"/>
      <c r="F48" s="646"/>
      <c r="G48" s="646"/>
      <c r="H48" s="6" t="s">
        <v>660</v>
      </c>
    </row>
    <row r="49" spans="1:10" ht="21.75">
      <c r="A49" s="7">
        <v>1</v>
      </c>
      <c r="B49" s="7" t="s">
        <v>1656</v>
      </c>
      <c r="C49" s="7" t="s">
        <v>522</v>
      </c>
      <c r="D49" s="7" t="s">
        <v>1943</v>
      </c>
      <c r="E49" s="9" t="s">
        <v>703</v>
      </c>
      <c r="F49" s="10" t="s">
        <v>2022</v>
      </c>
      <c r="G49" s="9" t="s">
        <v>2023</v>
      </c>
      <c r="H49" s="9">
        <v>300000</v>
      </c>
    </row>
    <row r="50" spans="1:10" ht="21.75">
      <c r="A50" s="7"/>
      <c r="B50" s="7"/>
      <c r="C50" s="7"/>
      <c r="D50" s="7"/>
      <c r="E50" s="9" t="s">
        <v>2024</v>
      </c>
      <c r="F50" s="10" t="s">
        <v>2022</v>
      </c>
      <c r="G50" s="9" t="s">
        <v>2023</v>
      </c>
      <c r="H50" s="9">
        <v>300000</v>
      </c>
    </row>
    <row r="51" spans="1:10" ht="21.75">
      <c r="A51" s="7"/>
      <c r="B51" s="7"/>
      <c r="C51" s="7"/>
      <c r="D51" s="7"/>
      <c r="E51" s="9" t="s">
        <v>2025</v>
      </c>
      <c r="F51" s="10" t="s">
        <v>2026</v>
      </c>
      <c r="G51" s="9" t="s">
        <v>2027</v>
      </c>
      <c r="H51" s="9">
        <v>300000</v>
      </c>
    </row>
    <row r="52" spans="1:10" ht="21.75">
      <c r="A52" s="7"/>
      <c r="B52" s="7"/>
      <c r="C52" s="7"/>
      <c r="D52" s="7"/>
      <c r="E52" s="9" t="s">
        <v>1006</v>
      </c>
      <c r="F52" s="10"/>
      <c r="G52" s="9"/>
      <c r="H52" s="9">
        <v>-100000</v>
      </c>
    </row>
    <row r="53" spans="1:10" ht="21.75">
      <c r="A53" s="7"/>
      <c r="B53" s="7"/>
      <c r="C53" s="7"/>
      <c r="D53" s="7"/>
      <c r="E53" s="9" t="s">
        <v>2028</v>
      </c>
      <c r="F53" s="10" t="s">
        <v>2029</v>
      </c>
      <c r="G53" s="9" t="s">
        <v>2030</v>
      </c>
      <c r="H53" s="9">
        <v>200000</v>
      </c>
    </row>
    <row r="54" spans="1:10" ht="21.75">
      <c r="A54" s="7"/>
      <c r="B54" s="7"/>
      <c r="C54" s="7"/>
      <c r="D54" s="7"/>
      <c r="E54" s="9" t="s">
        <v>2031</v>
      </c>
      <c r="F54" s="10" t="s">
        <v>2032</v>
      </c>
      <c r="G54" s="9" t="s">
        <v>2033</v>
      </c>
      <c r="H54" s="9">
        <v>200000</v>
      </c>
    </row>
    <row r="55" spans="1:10" ht="21.75">
      <c r="A55" s="7"/>
      <c r="B55" s="7"/>
      <c r="C55" s="7"/>
      <c r="D55" s="7"/>
      <c r="E55" s="9" t="s">
        <v>2034</v>
      </c>
      <c r="F55" s="10" t="s">
        <v>2035</v>
      </c>
      <c r="G55" s="9" t="s">
        <v>2036</v>
      </c>
      <c r="H55" s="9">
        <v>200000</v>
      </c>
    </row>
    <row r="56" spans="1:10" ht="21.75">
      <c r="A56" s="7"/>
      <c r="B56" s="7"/>
      <c r="C56" s="7"/>
      <c r="D56" s="7"/>
      <c r="E56" s="9" t="s">
        <v>2037</v>
      </c>
      <c r="F56" s="10" t="s">
        <v>2038</v>
      </c>
      <c r="G56" s="9" t="s">
        <v>2039</v>
      </c>
      <c r="H56" s="9">
        <v>200000</v>
      </c>
    </row>
    <row r="57" spans="1:10" ht="21.75">
      <c r="A57" s="7"/>
      <c r="B57" s="7"/>
      <c r="C57" s="7"/>
      <c r="D57" s="7"/>
      <c r="E57" s="9" t="s">
        <v>2040</v>
      </c>
      <c r="F57" s="10" t="s">
        <v>2041</v>
      </c>
      <c r="G57" s="9"/>
      <c r="H57" s="9">
        <v>200000</v>
      </c>
    </row>
    <row r="58" spans="1:10" ht="23.25" customHeight="1">
      <c r="A58" s="356"/>
      <c r="B58" s="356"/>
      <c r="C58" s="356"/>
      <c r="D58" s="356"/>
      <c r="E58" s="306" t="s">
        <v>2042</v>
      </c>
      <c r="F58" s="357" t="s">
        <v>2043</v>
      </c>
      <c r="G58" s="306"/>
      <c r="H58" s="306"/>
    </row>
    <row r="59" spans="1:10" ht="21.75">
      <c r="A59" s="7"/>
      <c r="B59" s="7"/>
      <c r="C59" s="7"/>
      <c r="D59" s="7"/>
      <c r="E59" s="9" t="s">
        <v>2044</v>
      </c>
      <c r="F59" s="10"/>
      <c r="G59" s="9"/>
      <c r="H59" s="9">
        <v>150000</v>
      </c>
      <c r="J59" s="15" t="s">
        <v>2045</v>
      </c>
    </row>
    <row r="60" spans="1:10" ht="21.75">
      <c r="A60" s="7"/>
      <c r="B60" s="7"/>
      <c r="C60" s="7"/>
      <c r="D60" s="7"/>
      <c r="E60" s="9" t="s">
        <v>2046</v>
      </c>
      <c r="F60" s="10"/>
      <c r="G60" s="9"/>
      <c r="H60" s="306">
        <v>300000</v>
      </c>
      <c r="I60" s="695">
        <v>230000</v>
      </c>
      <c r="J60" s="697" t="s">
        <v>2045</v>
      </c>
    </row>
    <row r="61" spans="1:10" ht="21.75">
      <c r="A61" s="7"/>
      <c r="B61" s="7"/>
      <c r="C61" s="7"/>
      <c r="D61" s="7"/>
      <c r="E61" s="9" t="s">
        <v>2047</v>
      </c>
      <c r="F61" s="10"/>
      <c r="G61" s="9"/>
      <c r="H61" s="306">
        <v>-70000</v>
      </c>
      <c r="I61" s="696"/>
      <c r="J61" s="697"/>
    </row>
    <row r="62" spans="1:10" ht="21.75">
      <c r="A62" s="7"/>
      <c r="B62" s="7"/>
      <c r="C62" s="7"/>
      <c r="D62" s="7"/>
      <c r="E62" s="9" t="s">
        <v>2048</v>
      </c>
      <c r="F62" s="10"/>
      <c r="G62" s="9" t="s">
        <v>2049</v>
      </c>
      <c r="H62" s="9">
        <v>300000</v>
      </c>
      <c r="J62" s="15" t="s">
        <v>2045</v>
      </c>
    </row>
    <row r="63" spans="1:10" ht="21.75">
      <c r="A63" s="7"/>
      <c r="B63" s="7"/>
      <c r="C63" s="7"/>
      <c r="D63" s="7"/>
      <c r="E63" s="9" t="s">
        <v>2050</v>
      </c>
      <c r="F63" s="10"/>
      <c r="G63" s="9" t="s">
        <v>1641</v>
      </c>
      <c r="H63" s="9">
        <v>300000</v>
      </c>
      <c r="J63" s="15" t="s">
        <v>2045</v>
      </c>
    </row>
    <row r="64" spans="1:10" ht="21.75">
      <c r="A64" s="7"/>
      <c r="B64" s="7"/>
      <c r="C64" s="7"/>
      <c r="D64" s="7"/>
      <c r="E64" s="9" t="s">
        <v>2051</v>
      </c>
      <c r="F64" s="10" t="s">
        <v>2052</v>
      </c>
      <c r="G64" s="9" t="s">
        <v>748</v>
      </c>
      <c r="H64" s="9">
        <v>600000</v>
      </c>
      <c r="J64" s="15" t="s">
        <v>2045</v>
      </c>
    </row>
    <row r="65" spans="1:10" ht="21.75">
      <c r="A65" s="7"/>
      <c r="B65" s="7"/>
      <c r="C65" s="7"/>
      <c r="D65" s="7"/>
      <c r="E65" s="9" t="s">
        <v>1538</v>
      </c>
      <c r="F65" s="10" t="s">
        <v>2053</v>
      </c>
      <c r="G65" s="9" t="s">
        <v>780</v>
      </c>
      <c r="H65" s="9">
        <v>300000</v>
      </c>
      <c r="J65" s="15" t="s">
        <v>2045</v>
      </c>
    </row>
    <row r="66" spans="1:10" ht="21.75">
      <c r="A66" s="7"/>
      <c r="B66" s="7"/>
      <c r="C66" s="7"/>
      <c r="D66" s="7"/>
      <c r="E66" s="9" t="s">
        <v>524</v>
      </c>
      <c r="F66" s="10" t="s">
        <v>2054</v>
      </c>
      <c r="G66" s="9" t="s">
        <v>971</v>
      </c>
      <c r="H66" s="9">
        <v>300000</v>
      </c>
      <c r="J66" s="15" t="s">
        <v>2045</v>
      </c>
    </row>
    <row r="67" spans="1:10" ht="21.75">
      <c r="A67" s="7"/>
      <c r="B67" s="7"/>
      <c r="C67" s="7"/>
      <c r="D67" s="7"/>
      <c r="E67" s="9"/>
      <c r="F67" s="10"/>
      <c r="G67" s="9"/>
      <c r="H67" s="9"/>
    </row>
    <row r="68" spans="1:10" ht="21.75">
      <c r="A68" s="7"/>
      <c r="B68" s="7"/>
      <c r="C68" s="7"/>
      <c r="D68" s="7"/>
      <c r="E68" s="9"/>
      <c r="F68" s="10"/>
      <c r="G68" s="9"/>
      <c r="H68" s="9"/>
    </row>
    <row r="69" spans="1:10" ht="21.75">
      <c r="A69" s="7"/>
      <c r="B69" s="7"/>
      <c r="C69" s="7"/>
      <c r="D69" s="7"/>
      <c r="E69" s="9"/>
      <c r="F69" s="10"/>
      <c r="G69" s="9"/>
      <c r="H69" s="358">
        <f>SUM(H49:H66)</f>
        <v>3980000</v>
      </c>
    </row>
  </sheetData>
  <mergeCells count="18">
    <mergeCell ref="I60:I61"/>
    <mergeCell ref="J60:J61"/>
    <mergeCell ref="A45:H46"/>
    <mergeCell ref="A47:A48"/>
    <mergeCell ref="B47:B48"/>
    <mergeCell ref="C47:C48"/>
    <mergeCell ref="D47:D48"/>
    <mergeCell ref="E47:E48"/>
    <mergeCell ref="F47:F48"/>
    <mergeCell ref="G47:G48"/>
    <mergeCell ref="A2:H3"/>
    <mergeCell ref="A4:A5"/>
    <mergeCell ref="B4:B5"/>
    <mergeCell ref="C4:C5"/>
    <mergeCell ref="D4:D5"/>
    <mergeCell ref="E4:E5"/>
    <mergeCell ref="F4:F5"/>
    <mergeCell ref="G4:G5"/>
  </mergeCells>
  <hyperlinks>
    <hyperlink ref="B1" location="Name!A1" display="Name!A1" xr:uid="{B107DD1C-F8F2-4C25-8395-25EB5E570A81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6688-9DEE-4C38-A697-3149C2D02829}">
  <dimension ref="A1:I37"/>
  <sheetViews>
    <sheetView workbookViewId="0"/>
  </sheetViews>
  <sheetFormatPr defaultColWidth="9.140625" defaultRowHeight="21.75"/>
  <cols>
    <col min="1" max="2" width="9.140625" style="332"/>
    <col min="3" max="3" width="24.28515625" style="332" customWidth="1"/>
    <col min="4" max="4" width="12" style="332" customWidth="1"/>
    <col min="5" max="5" width="21.42578125" style="332" customWidth="1"/>
    <col min="6" max="7" width="9.140625" style="332"/>
    <col min="8" max="8" width="15.140625" style="441" customWidth="1"/>
    <col min="9" max="16384" width="9.140625" style="332"/>
  </cols>
  <sheetData>
    <row r="1" spans="1:8">
      <c r="A1" s="410" t="s">
        <v>648</v>
      </c>
    </row>
    <row r="2" spans="1:8">
      <c r="A2" s="698" t="s">
        <v>2055</v>
      </c>
      <c r="B2" s="698"/>
      <c r="C2" s="698"/>
      <c r="D2" s="698"/>
      <c r="E2" s="698"/>
      <c r="F2" s="698"/>
      <c r="G2" s="698"/>
      <c r="H2" s="698"/>
    </row>
    <row r="3" spans="1:8">
      <c r="A3" s="699" t="s">
        <v>653</v>
      </c>
      <c r="B3" s="701" t="s">
        <v>654</v>
      </c>
      <c r="C3" s="703" t="s">
        <v>655</v>
      </c>
      <c r="D3" s="703" t="s">
        <v>12</v>
      </c>
      <c r="E3" s="701" t="s">
        <v>656</v>
      </c>
      <c r="F3" s="703" t="s">
        <v>657</v>
      </c>
      <c r="G3" s="701" t="s">
        <v>658</v>
      </c>
      <c r="H3" s="334" t="s">
        <v>659</v>
      </c>
    </row>
    <row r="4" spans="1:8">
      <c r="A4" s="700"/>
      <c r="B4" s="702"/>
      <c r="C4" s="702"/>
      <c r="D4" s="702"/>
      <c r="E4" s="704"/>
      <c r="F4" s="702"/>
      <c r="G4" s="702"/>
      <c r="H4" s="335" t="s">
        <v>660</v>
      </c>
    </row>
    <row r="5" spans="1:8">
      <c r="A5" s="336">
        <v>1</v>
      </c>
      <c r="B5" s="337" t="s">
        <v>500</v>
      </c>
      <c r="C5" s="338" t="s">
        <v>2056</v>
      </c>
      <c r="D5" s="337" t="s">
        <v>2057</v>
      </c>
      <c r="E5" s="339" t="s">
        <v>2058</v>
      </c>
      <c r="F5" s="340" t="s">
        <v>2059</v>
      </c>
      <c r="G5" s="341"/>
      <c r="H5" s="342">
        <v>200000</v>
      </c>
    </row>
    <row r="6" spans="1:8">
      <c r="A6" s="336"/>
      <c r="B6" s="337"/>
      <c r="C6" s="337"/>
      <c r="D6" s="337"/>
      <c r="E6" s="341"/>
      <c r="F6" s="340" t="s">
        <v>2060</v>
      </c>
      <c r="G6" s="341" t="s">
        <v>2061</v>
      </c>
      <c r="H6" s="342">
        <v>4800000</v>
      </c>
    </row>
    <row r="7" spans="1:8">
      <c r="A7" s="336"/>
      <c r="B7" s="337"/>
      <c r="C7" s="337"/>
      <c r="D7" s="337"/>
      <c r="E7" s="341"/>
      <c r="F7" s="340"/>
      <c r="G7" s="341"/>
      <c r="H7" s="342"/>
    </row>
    <row r="8" spans="1:8">
      <c r="A8" s="336"/>
      <c r="B8" s="337"/>
      <c r="C8" s="337"/>
      <c r="D8" s="337"/>
      <c r="E8" s="341"/>
      <c r="F8" s="340"/>
      <c r="G8" s="341"/>
      <c r="H8" s="342"/>
    </row>
    <row r="9" spans="1:8">
      <c r="A9" s="336"/>
      <c r="B9" s="337"/>
      <c r="C9" s="337"/>
      <c r="D9" s="337"/>
      <c r="E9" s="341"/>
      <c r="F9" s="340"/>
      <c r="G9" s="341"/>
      <c r="H9" s="342"/>
    </row>
    <row r="10" spans="1:8">
      <c r="A10" s="336"/>
      <c r="B10" s="337"/>
      <c r="C10" s="337"/>
      <c r="D10" s="337"/>
      <c r="E10" s="341"/>
      <c r="F10" s="340"/>
      <c r="G10" s="341"/>
      <c r="H10" s="342"/>
    </row>
    <row r="11" spans="1:8">
      <c r="A11" s="343"/>
      <c r="B11" s="344"/>
      <c r="C11" s="344"/>
      <c r="D11" s="344"/>
      <c r="E11" s="344"/>
      <c r="F11" s="344"/>
      <c r="G11" s="344"/>
      <c r="H11" s="442"/>
    </row>
    <row r="12" spans="1:8">
      <c r="A12" s="343"/>
      <c r="B12" s="344"/>
      <c r="C12" s="344"/>
      <c r="D12" s="344"/>
      <c r="E12" s="344"/>
      <c r="F12" s="344"/>
      <c r="G12" s="344"/>
      <c r="H12" s="442"/>
    </row>
    <row r="13" spans="1:8">
      <c r="A13" s="343"/>
      <c r="B13" s="344"/>
      <c r="C13" s="344"/>
      <c r="D13" s="344"/>
      <c r="E13" s="344"/>
      <c r="F13" s="344"/>
      <c r="G13" s="344"/>
      <c r="H13" s="442">
        <f>SUM(H5:H12)</f>
        <v>5000000</v>
      </c>
    </row>
    <row r="14" spans="1:8">
      <c r="A14" s="347"/>
      <c r="B14" s="348"/>
      <c r="C14" s="348"/>
      <c r="D14" s="348"/>
      <c r="E14" s="348"/>
      <c r="F14" s="348"/>
      <c r="G14" s="348"/>
      <c r="H14" s="443"/>
    </row>
    <row r="15" spans="1:8" ht="27" customHeight="1">
      <c r="A15" s="698" t="s">
        <v>2062</v>
      </c>
      <c r="B15" s="698"/>
      <c r="C15" s="698"/>
      <c r="D15" s="698"/>
      <c r="E15" s="698"/>
      <c r="F15" s="698"/>
      <c r="G15" s="698"/>
      <c r="H15" s="698"/>
    </row>
    <row r="16" spans="1:8" ht="27" customHeight="1">
      <c r="A16" s="699" t="s">
        <v>653</v>
      </c>
      <c r="B16" s="701" t="s">
        <v>654</v>
      </c>
      <c r="C16" s="703" t="s">
        <v>655</v>
      </c>
      <c r="D16" s="703" t="s">
        <v>12</v>
      </c>
      <c r="E16" s="701" t="s">
        <v>656</v>
      </c>
      <c r="F16" s="703" t="s">
        <v>657</v>
      </c>
      <c r="G16" s="701" t="s">
        <v>658</v>
      </c>
      <c r="H16" s="334" t="s">
        <v>659</v>
      </c>
    </row>
    <row r="17" spans="1:9" ht="27" customHeight="1">
      <c r="A17" s="700"/>
      <c r="B17" s="702"/>
      <c r="C17" s="702"/>
      <c r="D17" s="702"/>
      <c r="E17" s="704"/>
      <c r="F17" s="702"/>
      <c r="G17" s="702"/>
      <c r="H17" s="335" t="s">
        <v>660</v>
      </c>
    </row>
    <row r="18" spans="1:9" ht="27" customHeight="1">
      <c r="A18" s="336">
        <v>1</v>
      </c>
      <c r="B18" s="337" t="s">
        <v>500</v>
      </c>
      <c r="C18" s="338" t="s">
        <v>2056</v>
      </c>
      <c r="D18" s="337" t="s">
        <v>2057</v>
      </c>
      <c r="E18" s="339" t="s">
        <v>703</v>
      </c>
      <c r="F18" s="340" t="s">
        <v>2063</v>
      </c>
      <c r="G18" s="341" t="s">
        <v>2064</v>
      </c>
      <c r="H18" s="342">
        <v>1300000</v>
      </c>
    </row>
    <row r="19" spans="1:9" ht="27" customHeight="1">
      <c r="A19" s="336"/>
      <c r="B19" s="337"/>
      <c r="C19" s="337"/>
      <c r="D19" s="337"/>
      <c r="E19" s="341" t="s">
        <v>2065</v>
      </c>
      <c r="F19" s="340" t="s">
        <v>2063</v>
      </c>
      <c r="G19" s="341" t="s">
        <v>2064</v>
      </c>
      <c r="H19" s="342">
        <v>1300000</v>
      </c>
    </row>
    <row r="20" spans="1:9" ht="27" customHeight="1">
      <c r="A20" s="336"/>
      <c r="B20" s="337"/>
      <c r="C20" s="337"/>
      <c r="D20" s="337"/>
      <c r="E20" s="341" t="s">
        <v>2066</v>
      </c>
      <c r="F20" s="340" t="s">
        <v>2067</v>
      </c>
      <c r="G20" s="341" t="s">
        <v>2068</v>
      </c>
      <c r="H20" s="342">
        <v>1300000</v>
      </c>
    </row>
    <row r="21" spans="1:9" ht="27" customHeight="1">
      <c r="A21" s="336"/>
      <c r="B21" s="337"/>
      <c r="C21" s="337"/>
      <c r="D21" s="337"/>
      <c r="E21" s="341" t="s">
        <v>2069</v>
      </c>
      <c r="F21" s="340" t="s">
        <v>2070</v>
      </c>
      <c r="G21" s="341" t="s">
        <v>2071</v>
      </c>
      <c r="H21" s="342">
        <v>1300000</v>
      </c>
    </row>
    <row r="22" spans="1:9" ht="27" customHeight="1">
      <c r="A22" s="336"/>
      <c r="B22" s="337"/>
      <c r="C22" s="337"/>
      <c r="D22" s="337"/>
      <c r="E22" s="341" t="s">
        <v>2072</v>
      </c>
      <c r="F22" s="340" t="s">
        <v>2073</v>
      </c>
      <c r="G22" s="341" t="s">
        <v>2074</v>
      </c>
      <c r="H22" s="342">
        <v>1300000</v>
      </c>
    </row>
    <row r="23" spans="1:9" ht="27" customHeight="1">
      <c r="A23" s="336"/>
      <c r="B23" s="337"/>
      <c r="C23" s="337"/>
      <c r="D23" s="337"/>
      <c r="E23" s="341" t="s">
        <v>1152</v>
      </c>
      <c r="F23" s="340" t="s">
        <v>2075</v>
      </c>
      <c r="G23" s="341" t="s">
        <v>1151</v>
      </c>
      <c r="H23" s="342">
        <v>1300000</v>
      </c>
      <c r="I23" s="332" t="s">
        <v>664</v>
      </c>
    </row>
    <row r="24" spans="1:9" ht="27" customHeight="1">
      <c r="A24" s="343"/>
      <c r="B24" s="344"/>
      <c r="C24" s="344"/>
      <c r="D24" s="344"/>
      <c r="E24" s="337" t="s">
        <v>2076</v>
      </c>
      <c r="F24" s="340" t="s">
        <v>2077</v>
      </c>
      <c r="G24" s="337" t="s">
        <v>2078</v>
      </c>
      <c r="H24" s="442">
        <v>1300000</v>
      </c>
      <c r="I24" s="332" t="s">
        <v>664</v>
      </c>
    </row>
    <row r="25" spans="1:9" ht="27" customHeight="1">
      <c r="A25" s="343"/>
      <c r="B25" s="344"/>
      <c r="C25" s="344"/>
      <c r="D25" s="344"/>
      <c r="E25" s="337" t="s">
        <v>155</v>
      </c>
      <c r="F25" s="340" t="s">
        <v>2079</v>
      </c>
      <c r="G25" s="337" t="s">
        <v>788</v>
      </c>
      <c r="H25" s="442">
        <v>1300000</v>
      </c>
      <c r="I25" s="332" t="s">
        <v>664</v>
      </c>
    </row>
    <row r="26" spans="1:9" ht="27" customHeight="1">
      <c r="A26" s="343"/>
      <c r="B26" s="344"/>
      <c r="C26" s="344"/>
      <c r="D26" s="344"/>
      <c r="E26" s="337" t="s">
        <v>2080</v>
      </c>
      <c r="F26" s="603" t="s">
        <v>2081</v>
      </c>
      <c r="G26" s="344" t="s">
        <v>2082</v>
      </c>
      <c r="H26" s="442">
        <v>1300000</v>
      </c>
      <c r="I26" s="332" t="s">
        <v>664</v>
      </c>
    </row>
    <row r="27" spans="1:9" ht="27" customHeight="1">
      <c r="A27" s="343"/>
      <c r="B27" s="344"/>
      <c r="C27" s="344"/>
      <c r="D27" s="344"/>
      <c r="E27" s="337" t="s">
        <v>2083</v>
      </c>
      <c r="F27" s="603" t="s">
        <v>2084</v>
      </c>
      <c r="G27" s="344" t="s">
        <v>663</v>
      </c>
      <c r="H27" s="442">
        <v>1300000</v>
      </c>
      <c r="I27" s="332" t="s">
        <v>664</v>
      </c>
    </row>
    <row r="28" spans="1:9" ht="27" customHeight="1">
      <c r="A28" s="343"/>
      <c r="B28" s="344"/>
      <c r="C28" s="344"/>
      <c r="D28" s="344"/>
      <c r="E28" s="337" t="s">
        <v>516</v>
      </c>
      <c r="F28" s="603" t="s">
        <v>2085</v>
      </c>
      <c r="G28" s="344" t="s">
        <v>753</v>
      </c>
      <c r="H28" s="442">
        <v>1300000</v>
      </c>
      <c r="I28" s="332" t="s">
        <v>664</v>
      </c>
    </row>
    <row r="29" spans="1:9" ht="27" customHeight="1">
      <c r="A29" s="343"/>
      <c r="B29" s="344"/>
      <c r="C29" s="344"/>
      <c r="D29" s="344"/>
      <c r="E29" s="344"/>
      <c r="F29" s="344"/>
      <c r="G29" s="344"/>
      <c r="H29" s="442"/>
    </row>
    <row r="30" spans="1:9" ht="27" customHeight="1">
      <c r="A30" s="343"/>
      <c r="B30" s="344"/>
      <c r="C30" s="344"/>
      <c r="D30" s="344"/>
      <c r="E30" s="344"/>
      <c r="F30" s="344"/>
      <c r="G30" s="344"/>
      <c r="H30" s="442"/>
    </row>
    <row r="31" spans="1:9" ht="27" customHeight="1">
      <c r="A31" s="628"/>
      <c r="B31" s="629"/>
      <c r="C31" s="629"/>
      <c r="D31" s="629"/>
      <c r="E31" s="629"/>
      <c r="F31" s="629"/>
      <c r="G31" s="629"/>
      <c r="H31" s="630">
        <f>SUM(H18:H28)</f>
        <v>14300000</v>
      </c>
    </row>
    <row r="32" spans="1:9" ht="27" customHeight="1"/>
    <row r="33" ht="27" customHeight="1"/>
    <row r="34" ht="27" customHeight="1"/>
    <row r="35" ht="27" customHeight="1"/>
    <row r="36" ht="27" customHeight="1"/>
    <row r="37" ht="27" customHeight="1"/>
  </sheetData>
  <mergeCells count="16">
    <mergeCell ref="A15:H15"/>
    <mergeCell ref="A16:A17"/>
    <mergeCell ref="B16:B17"/>
    <mergeCell ref="C16:C17"/>
    <mergeCell ref="D16:D17"/>
    <mergeCell ref="E16:E17"/>
    <mergeCell ref="F16:F17"/>
    <mergeCell ref="G16:G17"/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BA8EF9DE-5B5A-447F-A5B8-E8EFFFFAB127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96F4-27FF-4498-B1DD-7952B0945EFD}">
  <dimension ref="A1:J84"/>
  <sheetViews>
    <sheetView workbookViewId="0"/>
  </sheetViews>
  <sheetFormatPr defaultRowHeight="21.75"/>
  <cols>
    <col min="3" max="3" width="24.85546875" customWidth="1"/>
    <col min="5" max="5" width="19.85546875" customWidth="1"/>
    <col min="6" max="6" width="11.42578125" customWidth="1"/>
    <col min="7" max="7" width="12.140625" customWidth="1"/>
    <col min="8" max="8" width="17.42578125" customWidth="1"/>
    <col min="9" max="9" width="28.140625" customWidth="1"/>
    <col min="10" max="10" width="39.7109375" style="25" customWidth="1"/>
  </cols>
  <sheetData>
    <row r="1" spans="1:10">
      <c r="A1" s="410" t="s">
        <v>648</v>
      </c>
    </row>
    <row r="2" spans="1:10">
      <c r="A2" s="651" t="s">
        <v>2086</v>
      </c>
      <c r="B2" s="651"/>
      <c r="C2" s="651"/>
      <c r="D2" s="651"/>
      <c r="E2" s="651"/>
      <c r="F2" s="651"/>
      <c r="G2" s="651"/>
      <c r="H2" s="651"/>
      <c r="I2" s="651"/>
    </row>
    <row r="3" spans="1:10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0" ht="17.25" customHeight="1">
      <c r="A4" s="18">
        <v>1</v>
      </c>
      <c r="B4" s="18" t="s">
        <v>2087</v>
      </c>
      <c r="C4" s="18" t="s">
        <v>507</v>
      </c>
      <c r="D4" s="18" t="s">
        <v>2088</v>
      </c>
      <c r="E4" s="34" t="s">
        <v>703</v>
      </c>
      <c r="F4" s="20" t="s">
        <v>2089</v>
      </c>
      <c r="G4" s="18" t="s">
        <v>2090</v>
      </c>
      <c r="H4" s="21">
        <v>700000</v>
      </c>
      <c r="I4" s="21"/>
    </row>
    <row r="5" spans="1:10" ht="17.25" customHeight="1">
      <c r="A5" s="18"/>
      <c r="B5" s="18"/>
      <c r="C5" s="18"/>
      <c r="D5" s="18"/>
      <c r="E5" s="19" t="s">
        <v>2091</v>
      </c>
      <c r="F5" s="20"/>
      <c r="G5" s="18" t="s">
        <v>2090</v>
      </c>
      <c r="H5" s="21">
        <v>700000</v>
      </c>
      <c r="I5" s="21"/>
    </row>
    <row r="6" spans="1:10" ht="17.25" customHeight="1">
      <c r="A6" s="18"/>
      <c r="B6" s="18"/>
      <c r="C6" s="18"/>
      <c r="D6" s="18"/>
      <c r="E6" s="18" t="s">
        <v>2092</v>
      </c>
      <c r="F6" s="20" t="s">
        <v>2093</v>
      </c>
      <c r="G6" s="18" t="s">
        <v>1791</v>
      </c>
      <c r="H6" s="21">
        <v>1400000</v>
      </c>
      <c r="I6" s="21"/>
    </row>
    <row r="7" spans="1:10" ht="17.25" customHeight="1">
      <c r="A7" s="18"/>
      <c r="B7" s="18"/>
      <c r="C7" s="18"/>
      <c r="D7" s="18"/>
      <c r="E7" s="18" t="s">
        <v>2094</v>
      </c>
      <c r="F7" s="20"/>
      <c r="G7" s="18" t="s">
        <v>1219</v>
      </c>
      <c r="H7" s="21">
        <f>(700000/30)*11</f>
        <v>256666.66666666666</v>
      </c>
      <c r="I7" s="21"/>
      <c r="J7" s="25" t="s">
        <v>2095</v>
      </c>
    </row>
    <row r="8" spans="1:10">
      <c r="A8" s="18"/>
      <c r="B8" s="18"/>
      <c r="C8" s="18"/>
      <c r="D8" s="18"/>
      <c r="E8" s="18" t="s">
        <v>2096</v>
      </c>
      <c r="F8" s="21"/>
      <c r="G8" s="18" t="s">
        <v>1219</v>
      </c>
      <c r="H8" s="21">
        <v>700000</v>
      </c>
      <c r="I8" s="21"/>
    </row>
    <row r="9" spans="1:10">
      <c r="A9" s="18"/>
      <c r="B9" s="18"/>
      <c r="C9" s="18"/>
      <c r="D9" s="18"/>
      <c r="E9" s="18"/>
      <c r="F9" s="21"/>
      <c r="G9" s="18"/>
      <c r="H9" s="21">
        <f>SUM(H4:H8)</f>
        <v>3756666.6666666665</v>
      </c>
      <c r="I9" s="21"/>
    </row>
    <row r="11" spans="1:10" s="25" customFormat="1">
      <c r="A11" s="25" t="s">
        <v>2097</v>
      </c>
    </row>
    <row r="12" spans="1:10" ht="19.5" customHeight="1"/>
    <row r="13" spans="1:10" ht="19.5" customHeight="1">
      <c r="A13" s="651" t="s">
        <v>2098</v>
      </c>
      <c r="B13" s="651"/>
      <c r="C13" s="651"/>
      <c r="D13" s="651"/>
      <c r="E13" s="651"/>
      <c r="F13" s="651"/>
      <c r="G13" s="651"/>
      <c r="H13" s="651"/>
      <c r="I13" s="651"/>
    </row>
    <row r="14" spans="1:10" ht="48" customHeight="1">
      <c r="A14" s="16" t="s">
        <v>11</v>
      </c>
      <c r="B14" s="17" t="s">
        <v>697</v>
      </c>
      <c r="C14" s="17" t="s">
        <v>698</v>
      </c>
      <c r="D14" s="17" t="s">
        <v>12</v>
      </c>
      <c r="E14" s="16" t="s">
        <v>699</v>
      </c>
      <c r="F14" s="16" t="s">
        <v>657</v>
      </c>
      <c r="G14" s="17" t="s">
        <v>700</v>
      </c>
      <c r="H14" s="16" t="s">
        <v>660</v>
      </c>
      <c r="I14" s="16" t="s">
        <v>27</v>
      </c>
    </row>
    <row r="15" spans="1:10">
      <c r="A15" s="18">
        <v>1</v>
      </c>
      <c r="B15" s="18" t="s">
        <v>2087</v>
      </c>
      <c r="C15" s="18" t="s">
        <v>507</v>
      </c>
      <c r="D15" s="18" t="s">
        <v>2088</v>
      </c>
      <c r="E15" s="34" t="s">
        <v>703</v>
      </c>
      <c r="F15" s="20" t="s">
        <v>2099</v>
      </c>
      <c r="G15" s="18" t="s">
        <v>2100</v>
      </c>
      <c r="H15" s="21">
        <v>700000</v>
      </c>
      <c r="I15" s="21"/>
      <c r="J15" s="25" t="s">
        <v>2101</v>
      </c>
    </row>
    <row r="16" spans="1:10">
      <c r="A16" s="18"/>
      <c r="B16" s="18"/>
      <c r="C16" s="18"/>
      <c r="D16" s="18"/>
      <c r="E16" s="19" t="s">
        <v>2102</v>
      </c>
      <c r="F16" s="20" t="s">
        <v>2099</v>
      </c>
      <c r="G16" s="18" t="s">
        <v>2100</v>
      </c>
      <c r="H16" s="21">
        <v>1400000</v>
      </c>
      <c r="I16" s="21"/>
      <c r="J16" s="25" t="s">
        <v>2103</v>
      </c>
    </row>
    <row r="17" spans="1:10">
      <c r="A17" s="18"/>
      <c r="B17" s="18"/>
      <c r="C17" s="18"/>
      <c r="D17" s="18"/>
      <c r="E17" s="18"/>
      <c r="F17" s="20"/>
      <c r="G17" s="18"/>
      <c r="H17" s="21"/>
      <c r="I17" s="21"/>
    </row>
    <row r="18" spans="1:10">
      <c r="A18" s="18"/>
      <c r="B18" s="18"/>
      <c r="C18" s="18"/>
      <c r="D18" s="18"/>
      <c r="E18" s="18"/>
      <c r="F18" s="20"/>
      <c r="G18" s="18"/>
      <c r="H18" s="21"/>
      <c r="I18" s="21"/>
    </row>
    <row r="19" spans="1:10">
      <c r="A19" s="18"/>
      <c r="B19" s="18"/>
      <c r="C19" s="18"/>
      <c r="D19" s="18"/>
      <c r="E19" s="18"/>
      <c r="F19" s="21"/>
      <c r="G19" s="18"/>
      <c r="H19" s="21"/>
      <c r="I19" s="21"/>
    </row>
    <row r="20" spans="1:10">
      <c r="A20" s="18"/>
      <c r="B20" s="18"/>
      <c r="C20" s="18"/>
      <c r="D20" s="18"/>
      <c r="E20" s="18"/>
      <c r="F20" s="21"/>
      <c r="G20" s="18"/>
      <c r="H20" s="21">
        <f>SUM(H15:H19)</f>
        <v>2100000</v>
      </c>
      <c r="I20" s="21"/>
    </row>
    <row r="22" spans="1:10">
      <c r="A22" s="651" t="s">
        <v>2104</v>
      </c>
      <c r="B22" s="651"/>
      <c r="C22" s="651"/>
      <c r="D22" s="651"/>
      <c r="E22" s="651"/>
      <c r="F22" s="651"/>
      <c r="G22" s="651"/>
      <c r="H22" s="651"/>
      <c r="I22" s="651"/>
    </row>
    <row r="23" spans="1:10" ht="28.5">
      <c r="A23" s="16" t="s">
        <v>11</v>
      </c>
      <c r="B23" s="17" t="s">
        <v>697</v>
      </c>
      <c r="C23" s="17" t="s">
        <v>698</v>
      </c>
      <c r="D23" s="17" t="s">
        <v>12</v>
      </c>
      <c r="E23" s="16" t="s">
        <v>699</v>
      </c>
      <c r="F23" s="16" t="s">
        <v>657</v>
      </c>
      <c r="G23" s="17" t="s">
        <v>700</v>
      </c>
      <c r="H23" s="16" t="s">
        <v>660</v>
      </c>
      <c r="I23" s="16" t="s">
        <v>27</v>
      </c>
    </row>
    <row r="24" spans="1:10">
      <c r="A24" s="18">
        <v>1</v>
      </c>
      <c r="B24" s="18" t="s">
        <v>2087</v>
      </c>
      <c r="C24" s="18" t="s">
        <v>507</v>
      </c>
      <c r="D24" s="18" t="s">
        <v>2088</v>
      </c>
      <c r="E24" s="34" t="s">
        <v>703</v>
      </c>
      <c r="F24" s="20" t="s">
        <v>2105</v>
      </c>
      <c r="G24" s="18" t="s">
        <v>2106</v>
      </c>
      <c r="H24" s="21">
        <v>700000</v>
      </c>
      <c r="I24" s="21"/>
    </row>
    <row r="25" spans="1:10">
      <c r="A25" s="18"/>
      <c r="B25" s="18"/>
      <c r="C25" s="18"/>
      <c r="D25" s="18"/>
      <c r="E25" s="19" t="s">
        <v>2107</v>
      </c>
      <c r="F25" s="20" t="s">
        <v>2105</v>
      </c>
      <c r="G25" s="18" t="s">
        <v>2106</v>
      </c>
      <c r="H25" s="21">
        <v>700000</v>
      </c>
      <c r="I25" s="21"/>
    </row>
    <row r="26" spans="1:10">
      <c r="A26" s="18"/>
      <c r="B26" s="18"/>
      <c r="C26" s="18"/>
      <c r="D26" s="18"/>
      <c r="E26" s="18" t="s">
        <v>2108</v>
      </c>
      <c r="F26" s="20" t="s">
        <v>2109</v>
      </c>
      <c r="G26" s="18" t="s">
        <v>2110</v>
      </c>
      <c r="H26" s="21">
        <v>700000</v>
      </c>
      <c r="I26" s="21"/>
      <c r="J26" s="25" t="s">
        <v>2111</v>
      </c>
    </row>
    <row r="27" spans="1:10">
      <c r="A27" s="18"/>
      <c r="B27" s="18"/>
      <c r="C27" s="18"/>
      <c r="D27" s="18"/>
      <c r="E27" s="18" t="s">
        <v>2112</v>
      </c>
      <c r="F27" s="20" t="s">
        <v>2113</v>
      </c>
      <c r="G27" s="18" t="s">
        <v>2114</v>
      </c>
      <c r="H27" s="21">
        <v>700000</v>
      </c>
      <c r="I27" s="21"/>
      <c r="J27" s="25" t="s">
        <v>2111</v>
      </c>
    </row>
    <row r="28" spans="1:10">
      <c r="A28" s="18"/>
      <c r="B28" s="18"/>
      <c r="C28" s="18"/>
      <c r="D28" s="18"/>
      <c r="E28" s="18" t="s">
        <v>2115</v>
      </c>
      <c r="F28" s="20" t="s">
        <v>2116</v>
      </c>
      <c r="G28" s="18" t="s">
        <v>982</v>
      </c>
      <c r="H28" s="21">
        <v>700000</v>
      </c>
      <c r="I28" s="21"/>
      <c r="J28" s="25" t="s">
        <v>2111</v>
      </c>
    </row>
    <row r="29" spans="1:10">
      <c r="A29" s="18"/>
      <c r="B29" s="18"/>
      <c r="C29" s="18"/>
      <c r="D29" s="18"/>
      <c r="E29" s="18" t="s">
        <v>2117</v>
      </c>
      <c r="F29" s="20" t="s">
        <v>2118</v>
      </c>
      <c r="G29" s="18" t="s">
        <v>2119</v>
      </c>
      <c r="H29" s="21">
        <v>700000</v>
      </c>
      <c r="I29" s="21"/>
      <c r="J29" s="25" t="s">
        <v>2111</v>
      </c>
    </row>
    <row r="30" spans="1:10">
      <c r="A30" s="18"/>
      <c r="B30" s="18"/>
      <c r="C30" s="18"/>
      <c r="D30" s="18"/>
      <c r="E30" s="18" t="s">
        <v>2120</v>
      </c>
      <c r="F30" s="20" t="s">
        <v>2121</v>
      </c>
      <c r="G30" s="18" t="s">
        <v>2122</v>
      </c>
      <c r="H30" s="21">
        <v>700000</v>
      </c>
      <c r="I30" s="21"/>
      <c r="J30" s="25" t="s">
        <v>2123</v>
      </c>
    </row>
    <row r="31" spans="1:10">
      <c r="A31" s="18"/>
      <c r="B31" s="18"/>
      <c r="C31" s="18"/>
      <c r="D31" s="18"/>
      <c r="E31" s="18" t="s">
        <v>2124</v>
      </c>
      <c r="F31" s="20" t="s">
        <v>2125</v>
      </c>
      <c r="G31" s="18" t="s">
        <v>2126</v>
      </c>
      <c r="H31" s="21">
        <v>700000</v>
      </c>
      <c r="I31" s="21"/>
    </row>
    <row r="32" spans="1:10">
      <c r="A32" s="18"/>
      <c r="B32" s="18"/>
      <c r="C32" s="18"/>
      <c r="D32" s="18"/>
      <c r="E32" s="18" t="s">
        <v>2127</v>
      </c>
      <c r="F32" s="20" t="s">
        <v>2128</v>
      </c>
      <c r="G32" s="18" t="s">
        <v>2129</v>
      </c>
      <c r="H32" s="21">
        <v>700000</v>
      </c>
      <c r="I32" s="21"/>
      <c r="J32" s="25" t="s">
        <v>2130</v>
      </c>
    </row>
    <row r="33" spans="1:10">
      <c r="A33" s="18"/>
      <c r="B33" s="18"/>
      <c r="C33" s="18"/>
      <c r="D33" s="18"/>
      <c r="E33" s="18" t="s">
        <v>2131</v>
      </c>
      <c r="F33" s="20" t="s">
        <v>2132</v>
      </c>
      <c r="G33" s="18" t="s">
        <v>2133</v>
      </c>
      <c r="H33" s="21">
        <v>700000</v>
      </c>
      <c r="I33" s="21"/>
      <c r="J33" s="25" t="s">
        <v>2134</v>
      </c>
    </row>
    <row r="34" spans="1:10">
      <c r="A34" s="18"/>
      <c r="B34" s="18"/>
      <c r="C34" s="18"/>
      <c r="D34" s="18"/>
      <c r="E34" s="18" t="s">
        <v>2135</v>
      </c>
      <c r="F34" s="20" t="s">
        <v>2136</v>
      </c>
      <c r="G34" s="18" t="s">
        <v>2137</v>
      </c>
      <c r="H34" s="21">
        <v>700000</v>
      </c>
      <c r="I34" s="21"/>
      <c r="J34" s="25" t="s">
        <v>2138</v>
      </c>
    </row>
    <row r="35" spans="1:10">
      <c r="A35" s="18"/>
      <c r="B35" s="18"/>
      <c r="C35" s="18"/>
      <c r="D35" s="18"/>
      <c r="E35" s="18" t="s">
        <v>2139</v>
      </c>
      <c r="F35" s="20" t="s">
        <v>2140</v>
      </c>
      <c r="G35" s="18" t="s">
        <v>2141</v>
      </c>
      <c r="H35" s="21">
        <v>700000</v>
      </c>
      <c r="I35" s="21"/>
      <c r="J35" s="25" t="s">
        <v>2142</v>
      </c>
    </row>
    <row r="36" spans="1:10">
      <c r="A36" s="18"/>
      <c r="B36" s="18"/>
      <c r="C36" s="18"/>
      <c r="D36" s="18"/>
      <c r="E36" s="18" t="s">
        <v>2143</v>
      </c>
      <c r="F36" s="20" t="s">
        <v>995</v>
      </c>
      <c r="G36" s="18" t="s">
        <v>2144</v>
      </c>
      <c r="H36" s="21">
        <v>700000</v>
      </c>
      <c r="I36" s="21"/>
      <c r="J36" s="25" t="s">
        <v>2145</v>
      </c>
    </row>
    <row r="37" spans="1:10">
      <c r="A37" s="18"/>
      <c r="B37" s="18"/>
      <c r="C37" s="18"/>
      <c r="D37" s="18"/>
      <c r="E37" s="18" t="s">
        <v>2146</v>
      </c>
      <c r="F37" s="20" t="s">
        <v>2147</v>
      </c>
      <c r="G37" s="18" t="s">
        <v>2148</v>
      </c>
      <c r="H37" s="21">
        <v>700000</v>
      </c>
      <c r="I37" s="21"/>
      <c r="J37" s="25" t="s">
        <v>2149</v>
      </c>
    </row>
    <row r="38" spans="1:10">
      <c r="A38" s="18"/>
      <c r="B38" s="18"/>
      <c r="C38" s="18"/>
      <c r="D38" s="18"/>
      <c r="E38" s="18" t="s">
        <v>2150</v>
      </c>
      <c r="F38" s="20" t="s">
        <v>2151</v>
      </c>
      <c r="G38" s="18" t="s">
        <v>2152</v>
      </c>
      <c r="H38" s="21">
        <v>700000</v>
      </c>
      <c r="I38" s="21"/>
      <c r="J38" s="25" t="s">
        <v>2153</v>
      </c>
    </row>
    <row r="39" spans="1:10">
      <c r="A39" s="18"/>
      <c r="B39" s="18"/>
      <c r="C39" s="18"/>
      <c r="D39" s="18"/>
      <c r="E39" s="18" t="s">
        <v>2154</v>
      </c>
      <c r="F39" s="20" t="s">
        <v>2155</v>
      </c>
      <c r="G39" s="18" t="s">
        <v>2156</v>
      </c>
      <c r="H39" s="21">
        <v>700000</v>
      </c>
      <c r="I39" s="21"/>
      <c r="J39" s="25" t="s">
        <v>2157</v>
      </c>
    </row>
    <row r="40" spans="1:10">
      <c r="A40" s="18"/>
      <c r="B40" s="18"/>
      <c r="C40" s="18"/>
      <c r="D40" s="18"/>
      <c r="E40" s="18" t="s">
        <v>2158</v>
      </c>
      <c r="F40" s="21" t="s">
        <v>679</v>
      </c>
      <c r="G40" s="18" t="s">
        <v>2159</v>
      </c>
      <c r="H40" s="21">
        <v>-700000</v>
      </c>
      <c r="I40" s="21"/>
    </row>
    <row r="41" spans="1:10">
      <c r="A41" s="18"/>
      <c r="B41" s="18"/>
      <c r="C41" s="18"/>
      <c r="D41" s="18"/>
      <c r="E41" s="18"/>
      <c r="F41" s="21"/>
      <c r="G41" s="18"/>
      <c r="H41" s="21">
        <f>SUM(H24:H32)</f>
        <v>6300000</v>
      </c>
      <c r="I41" s="21"/>
    </row>
    <row r="44" spans="1:10" ht="33" customHeight="1">
      <c r="A44" s="651" t="s">
        <v>2160</v>
      </c>
      <c r="B44" s="651"/>
      <c r="C44" s="651"/>
      <c r="D44" s="651"/>
      <c r="E44" s="651"/>
      <c r="F44" s="651"/>
      <c r="G44" s="651"/>
      <c r="H44" s="651"/>
      <c r="I44" s="651"/>
    </row>
    <row r="45" spans="1:10" ht="28.5">
      <c r="A45" s="16" t="s">
        <v>11</v>
      </c>
      <c r="B45" s="17" t="s">
        <v>697</v>
      </c>
      <c r="C45" s="17" t="s">
        <v>698</v>
      </c>
      <c r="D45" s="17" t="s">
        <v>12</v>
      </c>
      <c r="E45" s="16" t="s">
        <v>699</v>
      </c>
      <c r="F45" s="16" t="s">
        <v>657</v>
      </c>
      <c r="G45" s="17" t="s">
        <v>700</v>
      </c>
      <c r="H45" s="16" t="s">
        <v>660</v>
      </c>
      <c r="I45" s="16" t="s">
        <v>27</v>
      </c>
    </row>
    <row r="46" spans="1:10">
      <c r="A46" s="18">
        <v>1</v>
      </c>
      <c r="B46" s="18" t="s">
        <v>2087</v>
      </c>
      <c r="C46" s="18" t="s">
        <v>507</v>
      </c>
      <c r="D46" s="18" t="s">
        <v>2088</v>
      </c>
      <c r="E46" s="34" t="s">
        <v>703</v>
      </c>
      <c r="F46" s="20" t="s">
        <v>2161</v>
      </c>
      <c r="G46" s="18" t="s">
        <v>2162</v>
      </c>
      <c r="H46" s="21">
        <v>650000</v>
      </c>
      <c r="I46" s="21"/>
    </row>
    <row r="47" spans="1:10">
      <c r="A47" s="18"/>
      <c r="B47" s="18"/>
      <c r="C47" s="18"/>
      <c r="D47" s="18"/>
      <c r="E47" s="19" t="s">
        <v>2163</v>
      </c>
      <c r="F47" s="20" t="s">
        <v>2161</v>
      </c>
      <c r="G47" s="18" t="s">
        <v>2162</v>
      </c>
      <c r="H47" s="21">
        <v>650000</v>
      </c>
      <c r="I47" s="21"/>
    </row>
    <row r="48" spans="1:10">
      <c r="A48" s="18"/>
      <c r="B48" s="18"/>
      <c r="C48" s="18"/>
      <c r="D48" s="18"/>
      <c r="E48" s="22" t="s">
        <v>2164</v>
      </c>
      <c r="F48" s="20" t="s">
        <v>2165</v>
      </c>
      <c r="G48" s="18" t="s">
        <v>2166</v>
      </c>
      <c r="H48" s="21">
        <v>650000</v>
      </c>
      <c r="I48" s="21"/>
    </row>
    <row r="49" spans="1:10">
      <c r="A49" s="18"/>
      <c r="B49" s="18"/>
      <c r="C49" s="18"/>
      <c r="D49" s="18"/>
      <c r="E49" s="22" t="s">
        <v>2167</v>
      </c>
      <c r="F49" s="20" t="s">
        <v>2168</v>
      </c>
      <c r="G49" s="18" t="s">
        <v>2169</v>
      </c>
      <c r="H49" s="21">
        <v>650000</v>
      </c>
      <c r="I49" s="21"/>
    </row>
    <row r="50" spans="1:10">
      <c r="A50" s="18"/>
      <c r="B50" s="18"/>
      <c r="C50" s="18"/>
      <c r="D50" s="18"/>
      <c r="E50" s="22" t="s">
        <v>2170</v>
      </c>
      <c r="F50" s="20" t="s">
        <v>2171</v>
      </c>
      <c r="G50" s="18" t="s">
        <v>2172</v>
      </c>
      <c r="H50" s="21">
        <v>650000</v>
      </c>
      <c r="I50" s="21"/>
    </row>
    <row r="51" spans="1:10">
      <c r="A51" s="18"/>
      <c r="B51" s="18"/>
      <c r="C51" s="18"/>
      <c r="D51" s="18"/>
      <c r="E51" s="22" t="s">
        <v>2173</v>
      </c>
      <c r="F51" s="20" t="s">
        <v>2174</v>
      </c>
      <c r="G51" s="18" t="s">
        <v>1626</v>
      </c>
      <c r="H51" s="21">
        <v>650000</v>
      </c>
      <c r="I51" s="21"/>
    </row>
    <row r="52" spans="1:10">
      <c r="A52" s="18"/>
      <c r="B52" s="18"/>
      <c r="C52" s="18"/>
      <c r="D52" s="18"/>
      <c r="E52" s="22" t="s">
        <v>824</v>
      </c>
      <c r="F52" s="20" t="s">
        <v>2175</v>
      </c>
      <c r="G52" s="18" t="s">
        <v>2176</v>
      </c>
      <c r="H52" s="21">
        <v>650000</v>
      </c>
      <c r="I52" s="21"/>
    </row>
    <row r="53" spans="1:10">
      <c r="A53" s="18"/>
      <c r="B53" s="18"/>
      <c r="C53" s="18"/>
      <c r="D53" s="18"/>
      <c r="E53" s="22"/>
      <c r="F53" s="20"/>
      <c r="G53" s="18"/>
      <c r="H53" s="21"/>
      <c r="I53" s="21"/>
    </row>
    <row r="54" spans="1:10">
      <c r="A54" s="18"/>
      <c r="B54" s="18"/>
      <c r="C54" s="18"/>
      <c r="D54" s="18"/>
      <c r="E54" s="18"/>
      <c r="F54" s="20"/>
      <c r="G54" s="18"/>
      <c r="H54" s="21"/>
      <c r="I54" s="21"/>
    </row>
    <row r="55" spans="1:10">
      <c r="A55" s="18"/>
      <c r="B55" s="18"/>
      <c r="C55" s="18"/>
      <c r="D55" s="18"/>
      <c r="E55" s="18"/>
      <c r="F55" s="20"/>
      <c r="G55" s="18"/>
      <c r="H55" s="21">
        <f>SUM(H46:H54)</f>
        <v>4550000</v>
      </c>
      <c r="I55" s="21"/>
    </row>
    <row r="59" spans="1:10">
      <c r="A59" s="651" t="s">
        <v>2177</v>
      </c>
      <c r="B59" s="651"/>
      <c r="C59" s="651"/>
      <c r="D59" s="651"/>
      <c r="E59" s="651"/>
      <c r="F59" s="651"/>
      <c r="G59" s="651"/>
      <c r="H59" s="651"/>
      <c r="I59" s="651"/>
    </row>
    <row r="60" spans="1:10" ht="28.5">
      <c r="A60" s="16" t="s">
        <v>11</v>
      </c>
      <c r="B60" s="17" t="s">
        <v>697</v>
      </c>
      <c r="C60" s="17" t="s">
        <v>698</v>
      </c>
      <c r="D60" s="17" t="s">
        <v>12</v>
      </c>
      <c r="E60" s="16" t="s">
        <v>699</v>
      </c>
      <c r="F60" s="16" t="s">
        <v>657</v>
      </c>
      <c r="G60" s="17" t="s">
        <v>700</v>
      </c>
      <c r="H60" s="16" t="s">
        <v>660</v>
      </c>
      <c r="I60" s="16" t="s">
        <v>27</v>
      </c>
    </row>
    <row r="61" spans="1:10">
      <c r="A61" s="18">
        <v>1</v>
      </c>
      <c r="B61" s="18" t="s">
        <v>2087</v>
      </c>
      <c r="C61" s="18" t="s">
        <v>507</v>
      </c>
      <c r="D61" s="18" t="s">
        <v>2088</v>
      </c>
      <c r="E61" s="34" t="s">
        <v>703</v>
      </c>
      <c r="F61" s="20" t="s">
        <v>2178</v>
      </c>
      <c r="G61" s="18" t="s">
        <v>1527</v>
      </c>
      <c r="H61" s="21">
        <v>700000</v>
      </c>
      <c r="I61" s="21"/>
    </row>
    <row r="62" spans="1:10">
      <c r="A62" s="18"/>
      <c r="B62" s="18"/>
      <c r="C62" s="18"/>
      <c r="D62" s="18"/>
      <c r="E62" s="19" t="s">
        <v>2179</v>
      </c>
      <c r="F62" s="20" t="s">
        <v>2178</v>
      </c>
      <c r="G62" s="18" t="s">
        <v>1527</v>
      </c>
      <c r="H62" s="21">
        <v>1400000</v>
      </c>
      <c r="I62" s="21"/>
    </row>
    <row r="63" spans="1:10">
      <c r="A63" s="18"/>
      <c r="B63" s="18"/>
      <c r="C63" s="18"/>
      <c r="D63" s="18"/>
      <c r="E63" s="22" t="s">
        <v>2180</v>
      </c>
      <c r="F63" s="20" t="s">
        <v>2181</v>
      </c>
      <c r="G63" s="18" t="s">
        <v>2182</v>
      </c>
      <c r="H63" s="21">
        <v>1400000</v>
      </c>
      <c r="I63" s="21"/>
      <c r="J63" s="25" t="s">
        <v>2183</v>
      </c>
    </row>
    <row r="64" spans="1:10" ht="18.75" customHeight="1">
      <c r="A64" s="18"/>
      <c r="B64" s="18"/>
      <c r="C64" s="18"/>
      <c r="D64" s="18"/>
      <c r="E64" s="22" t="s">
        <v>2184</v>
      </c>
      <c r="F64" s="20" t="s">
        <v>2185</v>
      </c>
      <c r="G64" s="18" t="s">
        <v>2186</v>
      </c>
      <c r="H64" s="21">
        <v>700000</v>
      </c>
      <c r="I64" s="21"/>
      <c r="J64" s="705" t="s">
        <v>2187</v>
      </c>
    </row>
    <row r="65" spans="1:10" ht="18.75" customHeight="1">
      <c r="A65" s="18"/>
      <c r="B65" s="18"/>
      <c r="C65" s="18"/>
      <c r="D65" s="18"/>
      <c r="E65" s="22" t="s">
        <v>2188</v>
      </c>
      <c r="F65" s="20" t="s">
        <v>2185</v>
      </c>
      <c r="G65" s="18" t="s">
        <v>2186</v>
      </c>
      <c r="H65" s="21">
        <v>800000</v>
      </c>
      <c r="I65" s="21"/>
      <c r="J65" s="705"/>
    </row>
    <row r="66" spans="1:10">
      <c r="A66" s="18"/>
      <c r="B66" s="18"/>
      <c r="C66" s="18"/>
      <c r="D66" s="18"/>
      <c r="E66" s="22" t="s">
        <v>1066</v>
      </c>
      <c r="F66" s="20"/>
      <c r="G66" s="18" t="s">
        <v>1350</v>
      </c>
      <c r="H66" s="21">
        <v>-700000</v>
      </c>
      <c r="I66" s="21"/>
    </row>
    <row r="67" spans="1:10">
      <c r="A67" s="18"/>
      <c r="B67" s="18"/>
      <c r="C67" s="18"/>
      <c r="D67" s="18"/>
      <c r="E67" s="22" t="s">
        <v>2189</v>
      </c>
      <c r="F67" s="20"/>
      <c r="G67" s="18" t="s">
        <v>1350</v>
      </c>
      <c r="H67" s="21">
        <v>-335000</v>
      </c>
      <c r="I67" s="21"/>
      <c r="J67" s="25" t="s">
        <v>2190</v>
      </c>
    </row>
    <row r="68" spans="1:10">
      <c r="A68" s="18"/>
      <c r="B68" s="18"/>
      <c r="C68" s="18"/>
      <c r="D68" s="18"/>
      <c r="E68" s="22"/>
      <c r="F68" s="20"/>
      <c r="G68" s="18"/>
      <c r="H68" s="21"/>
      <c r="I68" s="21"/>
    </row>
    <row r="69" spans="1:10">
      <c r="A69" s="18"/>
      <c r="B69" s="18"/>
      <c r="C69" s="18"/>
      <c r="D69" s="18"/>
      <c r="E69" s="18"/>
      <c r="F69" s="20"/>
      <c r="G69" s="18"/>
      <c r="H69" s="21"/>
      <c r="I69" s="21"/>
    </row>
    <row r="70" spans="1:10">
      <c r="A70" s="18"/>
      <c r="B70" s="18"/>
      <c r="C70" s="18"/>
      <c r="D70" s="18"/>
      <c r="E70" s="18"/>
      <c r="F70" s="20"/>
      <c r="G70" s="18"/>
      <c r="H70" s="21">
        <f>SUM(H61:H69)</f>
        <v>3965000</v>
      </c>
      <c r="I70" s="21"/>
    </row>
    <row r="73" spans="1:10">
      <c r="A73" s="651" t="s">
        <v>2191</v>
      </c>
      <c r="B73" s="651"/>
      <c r="C73" s="651"/>
      <c r="D73" s="651"/>
      <c r="E73" s="651"/>
      <c r="F73" s="651"/>
      <c r="G73" s="651"/>
      <c r="H73" s="651"/>
      <c r="I73" s="651"/>
    </row>
    <row r="74" spans="1:10" ht="28.5">
      <c r="A74" s="16" t="s">
        <v>11</v>
      </c>
      <c r="B74" s="17" t="s">
        <v>697</v>
      </c>
      <c r="C74" s="17" t="s">
        <v>698</v>
      </c>
      <c r="D74" s="17" t="s">
        <v>12</v>
      </c>
      <c r="E74" s="16" t="s">
        <v>699</v>
      </c>
      <c r="F74" s="16" t="s">
        <v>657</v>
      </c>
      <c r="G74" s="17" t="s">
        <v>700</v>
      </c>
      <c r="H74" s="16" t="s">
        <v>660</v>
      </c>
      <c r="I74" s="16" t="s">
        <v>27</v>
      </c>
    </row>
    <row r="75" spans="1:10">
      <c r="A75" s="18">
        <v>1</v>
      </c>
      <c r="B75" s="18" t="s">
        <v>2087</v>
      </c>
      <c r="C75" s="18" t="s">
        <v>507</v>
      </c>
      <c r="D75" s="18" t="s">
        <v>2088</v>
      </c>
      <c r="E75" s="34" t="s">
        <v>703</v>
      </c>
      <c r="F75" s="20" t="s">
        <v>2192</v>
      </c>
      <c r="G75" s="18" t="s">
        <v>1350</v>
      </c>
      <c r="H75" s="21">
        <v>800000</v>
      </c>
      <c r="I75" s="21"/>
    </row>
    <row r="76" spans="1:10">
      <c r="A76" s="18"/>
      <c r="B76" s="18"/>
      <c r="C76" s="18"/>
      <c r="D76" s="18"/>
      <c r="E76" s="19" t="s">
        <v>2193</v>
      </c>
      <c r="F76" s="20" t="s">
        <v>2194</v>
      </c>
      <c r="G76" s="18" t="s">
        <v>2195</v>
      </c>
      <c r="H76" s="21">
        <v>1600000</v>
      </c>
      <c r="I76" s="21"/>
    </row>
    <row r="77" spans="1:10">
      <c r="A77" s="18"/>
      <c r="B77" s="18"/>
      <c r="C77" s="18"/>
      <c r="D77" s="18"/>
      <c r="E77" s="22" t="s">
        <v>509</v>
      </c>
      <c r="F77" s="20" t="s">
        <v>2196</v>
      </c>
      <c r="G77" s="18" t="s">
        <v>967</v>
      </c>
      <c r="H77" s="21">
        <v>4800000</v>
      </c>
      <c r="I77" s="21" t="s">
        <v>2197</v>
      </c>
    </row>
    <row r="78" spans="1:10">
      <c r="A78" s="18"/>
      <c r="B78" s="18"/>
      <c r="C78" s="18"/>
      <c r="D78" s="18"/>
      <c r="E78" s="22"/>
      <c r="F78" s="20"/>
      <c r="G78" s="18"/>
      <c r="H78" s="21"/>
      <c r="I78" s="21"/>
    </row>
    <row r="79" spans="1:10">
      <c r="A79" s="18"/>
      <c r="B79" s="18"/>
      <c r="C79" s="18"/>
      <c r="D79" s="18"/>
      <c r="E79" s="22"/>
      <c r="F79" s="20"/>
      <c r="G79" s="18"/>
      <c r="H79" s="21"/>
      <c r="I79" s="21"/>
    </row>
    <row r="80" spans="1:10">
      <c r="A80" s="18"/>
      <c r="B80" s="18"/>
      <c r="C80" s="18"/>
      <c r="D80" s="18"/>
      <c r="E80" s="22"/>
      <c r="F80" s="20"/>
      <c r="G80" s="18"/>
      <c r="H80" s="21"/>
      <c r="I80" s="21"/>
    </row>
    <row r="81" spans="1:9">
      <c r="A81" s="18"/>
      <c r="B81" s="18"/>
      <c r="C81" s="18"/>
      <c r="D81" s="18"/>
      <c r="E81" s="22"/>
      <c r="F81" s="20"/>
      <c r="G81" s="18"/>
      <c r="H81" s="21"/>
      <c r="I81" s="21"/>
    </row>
    <row r="82" spans="1:9">
      <c r="A82" s="18"/>
      <c r="B82" s="18"/>
      <c r="C82" s="18"/>
      <c r="D82" s="18"/>
      <c r="E82" s="22"/>
      <c r="F82" s="20"/>
      <c r="G82" s="18"/>
      <c r="H82" s="21"/>
      <c r="I82" s="21"/>
    </row>
    <row r="83" spans="1:9">
      <c r="A83" s="18"/>
      <c r="B83" s="18"/>
      <c r="C83" s="18"/>
      <c r="D83" s="18"/>
      <c r="E83" s="18"/>
      <c r="F83" s="20"/>
      <c r="G83" s="18"/>
      <c r="H83" s="21"/>
      <c r="I83" s="21"/>
    </row>
    <row r="84" spans="1:9">
      <c r="A84" s="18"/>
      <c r="B84" s="18"/>
      <c r="C84" s="18"/>
      <c r="D84" s="18"/>
      <c r="E84" s="18"/>
      <c r="F84" s="20"/>
      <c r="G84" s="18"/>
      <c r="H84" s="21">
        <f>SUM(H75:H83)</f>
        <v>7200000</v>
      </c>
      <c r="I84" s="21"/>
    </row>
  </sheetData>
  <mergeCells count="7">
    <mergeCell ref="J64:J65"/>
    <mergeCell ref="A73:I73"/>
    <mergeCell ref="A2:I2"/>
    <mergeCell ref="A13:I13"/>
    <mergeCell ref="A22:I22"/>
    <mergeCell ref="A44:I44"/>
    <mergeCell ref="A59:I59"/>
  </mergeCells>
  <hyperlinks>
    <hyperlink ref="A1" location="Name!A1" display="Name!A1" xr:uid="{61D6AA29-C5A2-470B-8D3D-3EC816DE830A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207D-837C-4EE0-9775-9BE706D8153D}">
  <dimension ref="A1:L143"/>
  <sheetViews>
    <sheetView workbookViewId="0"/>
  </sheetViews>
  <sheetFormatPr defaultRowHeight="21.75"/>
  <cols>
    <col min="3" max="3" width="22.85546875" customWidth="1"/>
    <col min="4" max="4" width="11.85546875" customWidth="1"/>
    <col min="5" max="5" width="24.42578125" customWidth="1"/>
    <col min="6" max="9" width="11.85546875" customWidth="1"/>
    <col min="10" max="10" width="11.85546875" style="25" customWidth="1"/>
  </cols>
  <sheetData>
    <row r="1" spans="1:12">
      <c r="A1" s="410" t="s">
        <v>648</v>
      </c>
    </row>
    <row r="2" spans="1:12">
      <c r="A2" s="651" t="s">
        <v>2198</v>
      </c>
      <c r="B2" s="651"/>
      <c r="C2" s="651"/>
      <c r="D2" s="651"/>
      <c r="E2" s="651"/>
      <c r="F2" s="651"/>
      <c r="G2" s="651"/>
      <c r="H2" s="651"/>
      <c r="I2" s="651"/>
    </row>
    <row r="3" spans="1:12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2" ht="17.25" customHeight="1">
      <c r="A4" s="18">
        <v>1</v>
      </c>
      <c r="B4" s="18" t="s">
        <v>2199</v>
      </c>
      <c r="C4" s="18" t="s">
        <v>495</v>
      </c>
      <c r="D4" s="18" t="s">
        <v>2200</v>
      </c>
      <c r="E4" s="34" t="s">
        <v>2201</v>
      </c>
      <c r="F4" s="20" t="s">
        <v>2202</v>
      </c>
      <c r="G4" s="18" t="s">
        <v>1963</v>
      </c>
      <c r="H4" s="21">
        <v>1350000</v>
      </c>
      <c r="I4" s="21"/>
      <c r="L4">
        <v>3</v>
      </c>
    </row>
    <row r="5" spans="1:12" ht="17.25" customHeight="1">
      <c r="A5" s="18"/>
      <c r="B5" s="18"/>
      <c r="C5" s="18"/>
      <c r="D5" s="18"/>
      <c r="E5" s="19" t="s">
        <v>2203</v>
      </c>
      <c r="F5" s="20"/>
      <c r="G5" s="18"/>
      <c r="H5" s="21"/>
      <c r="I5" s="21"/>
    </row>
    <row r="6" spans="1:12" ht="17.25" customHeight="1">
      <c r="A6" s="18"/>
      <c r="B6" s="18"/>
      <c r="C6" s="18"/>
      <c r="D6" s="18"/>
      <c r="E6" s="18" t="s">
        <v>2204</v>
      </c>
      <c r="F6" s="20" t="s">
        <v>2205</v>
      </c>
      <c r="G6" s="18" t="s">
        <v>2206</v>
      </c>
      <c r="H6" s="21">
        <v>450000</v>
      </c>
      <c r="I6" s="21"/>
      <c r="J6" s="43" t="s">
        <v>2207</v>
      </c>
      <c r="L6">
        <v>1</v>
      </c>
    </row>
    <row r="7" spans="1:12">
      <c r="A7" s="18"/>
      <c r="B7" s="18"/>
      <c r="C7" s="18"/>
      <c r="D7" s="18"/>
      <c r="E7" s="18"/>
      <c r="F7" s="21"/>
      <c r="G7" s="18"/>
      <c r="H7" s="21"/>
      <c r="I7" s="21"/>
    </row>
    <row r="8" spans="1:12">
      <c r="A8" s="18"/>
      <c r="B8" s="18"/>
      <c r="C8" s="18"/>
      <c r="D8" s="18"/>
      <c r="E8" s="18"/>
      <c r="F8" s="21"/>
      <c r="G8" s="18"/>
      <c r="H8" s="21">
        <f>SUM(H4:H7)</f>
        <v>1800000</v>
      </c>
      <c r="I8" s="21"/>
    </row>
    <row r="11" spans="1:12">
      <c r="A11" s="651" t="s">
        <v>2208</v>
      </c>
      <c r="B11" s="651"/>
      <c r="C11" s="651"/>
      <c r="D11" s="651"/>
      <c r="E11" s="651"/>
      <c r="F11" s="651"/>
      <c r="G11" s="651"/>
      <c r="H11" s="651"/>
      <c r="I11" s="651"/>
    </row>
    <row r="12" spans="1:12" ht="28.5">
      <c r="A12" s="16" t="s">
        <v>11</v>
      </c>
      <c r="B12" s="17" t="s">
        <v>697</v>
      </c>
      <c r="C12" s="17" t="s">
        <v>698</v>
      </c>
      <c r="D12" s="17" t="s">
        <v>12</v>
      </c>
      <c r="E12" s="16" t="s">
        <v>699</v>
      </c>
      <c r="F12" s="16" t="s">
        <v>657</v>
      </c>
      <c r="G12" s="17" t="s">
        <v>700</v>
      </c>
      <c r="H12" s="16" t="s">
        <v>660</v>
      </c>
      <c r="I12" s="16" t="s">
        <v>27</v>
      </c>
    </row>
    <row r="13" spans="1:12">
      <c r="A13" s="18">
        <v>1</v>
      </c>
      <c r="B13" s="18" t="s">
        <v>2199</v>
      </c>
      <c r="C13" s="18" t="s">
        <v>495</v>
      </c>
      <c r="D13" s="18" t="s">
        <v>2200</v>
      </c>
      <c r="E13" s="34" t="s">
        <v>703</v>
      </c>
      <c r="F13" s="20" t="s">
        <v>2209</v>
      </c>
      <c r="G13" s="18" t="s">
        <v>2210</v>
      </c>
      <c r="H13" s="21">
        <v>450000</v>
      </c>
      <c r="I13" s="21"/>
    </row>
    <row r="14" spans="1:12">
      <c r="A14" s="18"/>
      <c r="B14" s="18"/>
      <c r="C14" s="18"/>
      <c r="D14" s="18"/>
      <c r="E14" s="19" t="s">
        <v>2211</v>
      </c>
      <c r="F14" s="20" t="s">
        <v>2209</v>
      </c>
      <c r="G14" s="18" t="s">
        <v>2210</v>
      </c>
      <c r="H14" s="21">
        <v>450000</v>
      </c>
      <c r="I14" s="21"/>
      <c r="L14">
        <v>1</v>
      </c>
    </row>
    <row r="15" spans="1:12">
      <c r="A15" s="18"/>
      <c r="B15" s="18"/>
      <c r="C15" s="18"/>
      <c r="D15" s="18"/>
      <c r="E15" s="18" t="s">
        <v>2212</v>
      </c>
      <c r="F15" s="20" t="s">
        <v>1220</v>
      </c>
      <c r="G15" s="18" t="s">
        <v>2213</v>
      </c>
      <c r="H15" s="21">
        <v>450000</v>
      </c>
      <c r="I15" s="21"/>
    </row>
    <row r="16" spans="1:12">
      <c r="A16" s="18"/>
      <c r="B16" s="18"/>
      <c r="C16" s="18"/>
      <c r="D16" s="18"/>
      <c r="E16" s="18" t="s">
        <v>2214</v>
      </c>
      <c r="F16" s="20" t="s">
        <v>2215</v>
      </c>
      <c r="G16" s="18" t="s">
        <v>1978</v>
      </c>
      <c r="H16" s="21">
        <v>450000</v>
      </c>
      <c r="I16" s="21"/>
      <c r="J16" s="25" t="s">
        <v>2216</v>
      </c>
    </row>
    <row r="17" spans="1:9">
      <c r="A17" s="18"/>
      <c r="B17" s="18"/>
      <c r="C17" s="18"/>
      <c r="D17" s="18"/>
      <c r="E17" s="18"/>
      <c r="F17" s="20"/>
      <c r="G17" s="18"/>
      <c r="H17" s="21"/>
      <c r="I17" s="21"/>
    </row>
    <row r="18" spans="1:9">
      <c r="A18" s="18"/>
      <c r="B18" s="18"/>
      <c r="C18" s="18"/>
      <c r="D18" s="18"/>
      <c r="E18" s="41"/>
      <c r="F18" s="21"/>
      <c r="G18" s="18"/>
      <c r="H18" s="21"/>
      <c r="I18" s="21"/>
    </row>
    <row r="19" spans="1:9">
      <c r="A19" s="18"/>
      <c r="B19" s="18"/>
      <c r="C19" s="18"/>
      <c r="D19" s="18"/>
      <c r="E19" s="18"/>
      <c r="F19" s="21"/>
      <c r="G19" s="18"/>
      <c r="H19" s="21"/>
      <c r="I19" s="21"/>
    </row>
    <row r="20" spans="1:9">
      <c r="A20" s="18"/>
      <c r="B20" s="18"/>
      <c r="C20" s="18"/>
      <c r="D20" s="18"/>
      <c r="E20" s="18"/>
      <c r="F20" s="21"/>
      <c r="G20" s="18"/>
      <c r="H20" s="21"/>
      <c r="I20" s="21"/>
    </row>
    <row r="21" spans="1:9">
      <c r="A21" s="18"/>
      <c r="B21" s="18"/>
      <c r="C21" s="18"/>
      <c r="D21" s="18"/>
      <c r="E21" s="18"/>
      <c r="F21" s="21"/>
      <c r="G21" s="18"/>
      <c r="H21" s="21"/>
      <c r="I21" s="21"/>
    </row>
    <row r="22" spans="1:9">
      <c r="A22" s="18"/>
      <c r="B22" s="18"/>
      <c r="C22" s="18"/>
      <c r="D22" s="18"/>
      <c r="E22" s="18"/>
      <c r="F22" s="21"/>
      <c r="G22" s="18"/>
      <c r="H22" s="21"/>
      <c r="I22" s="21"/>
    </row>
    <row r="23" spans="1:9">
      <c r="A23" s="18"/>
      <c r="B23" s="18"/>
      <c r="C23" s="18"/>
      <c r="D23" s="18"/>
      <c r="E23" s="18"/>
      <c r="F23" s="21"/>
      <c r="G23" s="18"/>
      <c r="H23" s="21"/>
      <c r="I23" s="21"/>
    </row>
    <row r="24" spans="1:9">
      <c r="A24" s="18"/>
      <c r="B24" s="18"/>
      <c r="C24" s="18"/>
      <c r="D24" s="18"/>
      <c r="E24" s="18"/>
      <c r="F24" s="21"/>
      <c r="G24" s="18"/>
      <c r="H24" s="21">
        <f>SUM(H13:H23)</f>
        <v>1800000</v>
      </c>
      <c r="I24" s="21"/>
    </row>
    <row r="29" spans="1:9">
      <c r="A29" s="651" t="s">
        <v>1551</v>
      </c>
      <c r="B29" s="651"/>
      <c r="C29" s="651"/>
      <c r="D29" s="651"/>
      <c r="E29" s="651"/>
      <c r="F29" s="651"/>
      <c r="G29" s="651"/>
      <c r="H29" s="651"/>
      <c r="I29" s="651"/>
    </row>
    <row r="30" spans="1:9" ht="28.5">
      <c r="A30" s="16" t="s">
        <v>11</v>
      </c>
      <c r="B30" s="17" t="s">
        <v>697</v>
      </c>
      <c r="C30" s="17" t="s">
        <v>698</v>
      </c>
      <c r="D30" s="17" t="s">
        <v>12</v>
      </c>
      <c r="E30" s="16" t="s">
        <v>699</v>
      </c>
      <c r="F30" s="16" t="s">
        <v>657</v>
      </c>
      <c r="G30" s="17" t="s">
        <v>700</v>
      </c>
      <c r="H30" s="16" t="s">
        <v>660</v>
      </c>
      <c r="I30" s="16" t="s">
        <v>27</v>
      </c>
    </row>
    <row r="31" spans="1:9">
      <c r="A31" s="18">
        <v>1</v>
      </c>
      <c r="B31" s="18" t="s">
        <v>2199</v>
      </c>
      <c r="C31" s="18" t="s">
        <v>495</v>
      </c>
      <c r="D31" s="18" t="s">
        <v>2200</v>
      </c>
      <c r="E31" s="34" t="s">
        <v>2217</v>
      </c>
      <c r="F31" s="20" t="s">
        <v>2218</v>
      </c>
      <c r="G31" s="18" t="s">
        <v>2219</v>
      </c>
      <c r="H31" s="21">
        <v>1000000</v>
      </c>
      <c r="I31" s="21"/>
    </row>
    <row r="32" spans="1:9">
      <c r="A32" s="18"/>
      <c r="B32" s="18"/>
      <c r="C32" s="18"/>
      <c r="D32" s="18"/>
      <c r="E32" s="19" t="s">
        <v>1566</v>
      </c>
      <c r="F32" s="20" t="s">
        <v>1567</v>
      </c>
      <c r="G32" s="18" t="s">
        <v>1568</v>
      </c>
      <c r="H32" s="21">
        <v>500000</v>
      </c>
      <c r="I32" s="21"/>
    </row>
    <row r="33" spans="1:10">
      <c r="A33" s="18"/>
      <c r="B33" s="18"/>
      <c r="C33" s="18"/>
      <c r="D33" s="18"/>
      <c r="E33" s="18"/>
      <c r="F33" s="20"/>
      <c r="G33" s="18"/>
      <c r="H33" s="21"/>
      <c r="I33" s="21"/>
    </row>
    <row r="34" spans="1:10">
      <c r="A34" s="18"/>
      <c r="B34" s="18"/>
      <c r="C34" s="18"/>
      <c r="D34" s="18"/>
      <c r="E34" s="18"/>
      <c r="F34" s="20"/>
      <c r="G34" s="18"/>
      <c r="H34" s="21"/>
      <c r="I34" s="21"/>
    </row>
    <row r="35" spans="1:10">
      <c r="A35" s="18"/>
      <c r="B35" s="18"/>
      <c r="C35" s="18"/>
      <c r="D35" s="18"/>
      <c r="E35" s="18"/>
      <c r="F35" s="20"/>
      <c r="G35" s="18"/>
      <c r="H35" s="21"/>
      <c r="I35" s="21"/>
    </row>
    <row r="36" spans="1:10">
      <c r="A36" s="18"/>
      <c r="B36" s="18"/>
      <c r="C36" s="18"/>
      <c r="D36" s="18"/>
      <c r="E36" s="41"/>
      <c r="F36" s="21"/>
      <c r="G36" s="18"/>
      <c r="H36" s="21"/>
      <c r="I36" s="21"/>
    </row>
    <row r="37" spans="1:10">
      <c r="A37" s="18"/>
      <c r="B37" s="18"/>
      <c r="C37" s="18"/>
      <c r="D37" s="18"/>
      <c r="E37" s="18"/>
      <c r="F37" s="21"/>
      <c r="G37" s="18"/>
      <c r="H37" s="21"/>
      <c r="I37" s="21"/>
    </row>
    <row r="40" spans="1:10">
      <c r="A40" s="651" t="s">
        <v>2220</v>
      </c>
      <c r="B40" s="651"/>
      <c r="C40" s="651"/>
      <c r="D40" s="651"/>
      <c r="E40" s="651"/>
      <c r="F40" s="651"/>
      <c r="G40" s="651"/>
      <c r="H40" s="651"/>
      <c r="I40" s="651"/>
    </row>
    <row r="41" spans="1:10" ht="28.5">
      <c r="A41" s="16" t="s">
        <v>11</v>
      </c>
      <c r="B41" s="17" t="s">
        <v>697</v>
      </c>
      <c r="C41" s="17" t="s">
        <v>698</v>
      </c>
      <c r="D41" s="17" t="s">
        <v>12</v>
      </c>
      <c r="E41" s="16" t="s">
        <v>699</v>
      </c>
      <c r="F41" s="16" t="s">
        <v>657</v>
      </c>
      <c r="G41" s="17" t="s">
        <v>700</v>
      </c>
      <c r="H41" s="16" t="s">
        <v>660</v>
      </c>
      <c r="I41" s="16" t="s">
        <v>27</v>
      </c>
    </row>
    <row r="42" spans="1:10">
      <c r="A42" s="18">
        <v>1</v>
      </c>
      <c r="B42" s="18" t="s">
        <v>2199</v>
      </c>
      <c r="C42" s="18" t="s">
        <v>495</v>
      </c>
      <c r="D42" s="18" t="s">
        <v>2200</v>
      </c>
      <c r="E42" s="34" t="s">
        <v>2221</v>
      </c>
      <c r="F42" s="20" t="s">
        <v>2222</v>
      </c>
      <c r="G42" s="18" t="s">
        <v>2223</v>
      </c>
      <c r="H42" s="21">
        <v>450000</v>
      </c>
      <c r="I42" s="21"/>
    </row>
    <row r="43" spans="1:10">
      <c r="A43" s="18"/>
      <c r="B43" s="18"/>
      <c r="C43" s="18"/>
      <c r="D43" s="18"/>
      <c r="E43" s="19" t="s">
        <v>2224</v>
      </c>
      <c r="F43" s="20"/>
      <c r="G43" s="18"/>
      <c r="H43" s="21">
        <v>80000</v>
      </c>
      <c r="I43" s="21"/>
      <c r="J43" s="25" t="s">
        <v>2225</v>
      </c>
    </row>
    <row r="44" spans="1:10">
      <c r="A44" s="18"/>
      <c r="B44" s="18"/>
      <c r="C44" s="18"/>
      <c r="D44" s="18"/>
      <c r="E44" s="18"/>
      <c r="F44" s="20"/>
      <c r="G44" s="18"/>
      <c r="H44" s="21"/>
      <c r="I44" s="21"/>
    </row>
    <row r="45" spans="1:10">
      <c r="A45" s="18"/>
      <c r="B45" s="18"/>
      <c r="C45" s="18"/>
      <c r="D45" s="18"/>
      <c r="E45" s="18"/>
      <c r="F45" s="20"/>
      <c r="G45" s="18"/>
      <c r="H45" s="21"/>
      <c r="I45" s="21"/>
    </row>
    <row r="46" spans="1:10">
      <c r="A46" s="18"/>
      <c r="B46" s="18"/>
      <c r="C46" s="18"/>
      <c r="D46" s="18"/>
      <c r="E46" s="18"/>
      <c r="F46" s="20"/>
      <c r="G46" s="18"/>
      <c r="H46" s="21"/>
      <c r="I46" s="21"/>
    </row>
    <row r="47" spans="1:10">
      <c r="A47" s="18"/>
      <c r="B47" s="18"/>
      <c r="C47" s="18"/>
      <c r="D47" s="18"/>
      <c r="E47" s="41"/>
      <c r="F47" s="21"/>
      <c r="G47" s="18"/>
      <c r="H47" s="21"/>
      <c r="I47" s="21"/>
    </row>
    <row r="48" spans="1:10">
      <c r="A48" s="18"/>
      <c r="B48" s="18"/>
      <c r="C48" s="18"/>
      <c r="D48" s="18"/>
      <c r="E48" s="18"/>
      <c r="F48" s="21"/>
      <c r="G48" s="18"/>
      <c r="H48" s="21"/>
      <c r="I48" s="21"/>
    </row>
    <row r="50" spans="1:10">
      <c r="A50" s="651" t="s">
        <v>2226</v>
      </c>
      <c r="B50" s="651"/>
      <c r="C50" s="651"/>
      <c r="D50" s="651"/>
      <c r="E50" s="651"/>
      <c r="F50" s="651"/>
      <c r="G50" s="651"/>
      <c r="H50" s="651"/>
      <c r="I50" s="651"/>
    </row>
    <row r="51" spans="1:10" ht="28.5">
      <c r="A51" s="16" t="s">
        <v>11</v>
      </c>
      <c r="B51" s="17" t="s">
        <v>697</v>
      </c>
      <c r="C51" s="17" t="s">
        <v>698</v>
      </c>
      <c r="D51" s="17" t="s">
        <v>12</v>
      </c>
      <c r="E51" s="16" t="s">
        <v>699</v>
      </c>
      <c r="F51" s="16" t="s">
        <v>657</v>
      </c>
      <c r="G51" s="17" t="s">
        <v>700</v>
      </c>
      <c r="H51" s="16" t="s">
        <v>660</v>
      </c>
      <c r="I51" s="16" t="s">
        <v>27</v>
      </c>
    </row>
    <row r="52" spans="1:10">
      <c r="A52" s="18">
        <v>1</v>
      </c>
      <c r="B52" s="18" t="s">
        <v>2199</v>
      </c>
      <c r="C52" s="18" t="s">
        <v>495</v>
      </c>
      <c r="D52" s="18" t="s">
        <v>2200</v>
      </c>
      <c r="E52" s="34" t="s">
        <v>2227</v>
      </c>
      <c r="F52" s="20" t="s">
        <v>2228</v>
      </c>
      <c r="G52" s="18" t="s">
        <v>2229</v>
      </c>
      <c r="H52" s="21">
        <v>450000</v>
      </c>
      <c r="I52" s="21"/>
    </row>
    <row r="53" spans="1:10">
      <c r="A53" s="18"/>
      <c r="B53" s="18"/>
      <c r="C53" s="18"/>
      <c r="D53" s="18"/>
      <c r="E53" s="19" t="s">
        <v>2230</v>
      </c>
      <c r="F53" s="20" t="s">
        <v>2228</v>
      </c>
      <c r="G53" s="18" t="s">
        <v>2229</v>
      </c>
      <c r="H53" s="21">
        <v>450000</v>
      </c>
      <c r="I53" s="21"/>
      <c r="J53" s="25" t="s">
        <v>2231</v>
      </c>
    </row>
    <row r="54" spans="1:10">
      <c r="A54" s="18"/>
      <c r="B54" s="18"/>
      <c r="C54" s="18"/>
      <c r="D54" s="18"/>
      <c r="E54" s="18" t="s">
        <v>2232</v>
      </c>
      <c r="F54" s="20"/>
      <c r="G54" s="18"/>
      <c r="H54" s="21">
        <v>-450000</v>
      </c>
      <c r="I54" s="21"/>
    </row>
    <row r="55" spans="1:10">
      <c r="A55" s="18"/>
      <c r="B55" s="18"/>
      <c r="C55" s="18"/>
      <c r="D55" s="18"/>
      <c r="E55" s="18"/>
      <c r="F55" s="20"/>
      <c r="G55" s="18"/>
      <c r="H55" s="21"/>
      <c r="I55" s="21"/>
    </row>
    <row r="56" spans="1:10">
      <c r="A56" s="18"/>
      <c r="B56" s="18"/>
      <c r="C56" s="18"/>
      <c r="D56" s="18"/>
      <c r="E56" s="18"/>
      <c r="F56" s="20"/>
      <c r="G56" s="18"/>
      <c r="H56" s="21"/>
      <c r="I56" s="21"/>
    </row>
    <row r="57" spans="1:10">
      <c r="A57" s="18"/>
      <c r="B57" s="18"/>
      <c r="C57" s="18"/>
      <c r="D57" s="18"/>
      <c r="E57" s="41"/>
      <c r="F57" s="21"/>
      <c r="G57" s="18"/>
      <c r="H57" s="21"/>
      <c r="I57" s="21"/>
    </row>
    <row r="58" spans="1:10">
      <c r="A58" s="18"/>
      <c r="B58" s="18"/>
      <c r="C58" s="18"/>
      <c r="D58" s="18"/>
      <c r="E58" s="18"/>
      <c r="F58" s="21"/>
      <c r="G58" s="18"/>
      <c r="H58" s="21">
        <f>SUM(H52:H57)</f>
        <v>450000</v>
      </c>
      <c r="I58" s="21"/>
    </row>
    <row r="60" spans="1:10">
      <c r="A60" s="651" t="s">
        <v>2233</v>
      </c>
      <c r="B60" s="651"/>
      <c r="C60" s="651"/>
      <c r="D60" s="651"/>
      <c r="E60" s="651"/>
      <c r="F60" s="651"/>
      <c r="G60" s="651"/>
      <c r="H60" s="651"/>
      <c r="I60" s="651"/>
    </row>
    <row r="61" spans="1:10" ht="28.5">
      <c r="A61" s="16" t="s">
        <v>11</v>
      </c>
      <c r="B61" s="17" t="s">
        <v>697</v>
      </c>
      <c r="C61" s="17" t="s">
        <v>698</v>
      </c>
      <c r="D61" s="17" t="s">
        <v>12</v>
      </c>
      <c r="E61" s="16" t="s">
        <v>699</v>
      </c>
      <c r="F61" s="16" t="s">
        <v>657</v>
      </c>
      <c r="G61" s="17" t="s">
        <v>700</v>
      </c>
      <c r="H61" s="16" t="s">
        <v>660</v>
      </c>
      <c r="I61" s="16" t="s">
        <v>27</v>
      </c>
    </row>
    <row r="62" spans="1:10">
      <c r="A62" s="18">
        <v>1</v>
      </c>
      <c r="B62" s="18" t="s">
        <v>2199</v>
      </c>
      <c r="C62" s="18" t="s">
        <v>495</v>
      </c>
      <c r="D62" s="18" t="s">
        <v>2200</v>
      </c>
      <c r="E62" s="34" t="s">
        <v>2227</v>
      </c>
      <c r="F62" s="20" t="s">
        <v>2234</v>
      </c>
      <c r="G62" s="18" t="s">
        <v>2235</v>
      </c>
      <c r="H62" s="21">
        <v>500000</v>
      </c>
      <c r="I62" s="21"/>
      <c r="J62" s="25" t="s">
        <v>2236</v>
      </c>
    </row>
    <row r="63" spans="1:10">
      <c r="A63" s="18"/>
      <c r="B63" s="18"/>
      <c r="C63" s="18"/>
      <c r="D63" s="18"/>
      <c r="E63" s="19" t="s">
        <v>2237</v>
      </c>
      <c r="F63" s="20" t="s">
        <v>2234</v>
      </c>
      <c r="G63" s="18" t="s">
        <v>2235</v>
      </c>
      <c r="H63" s="21">
        <v>500000</v>
      </c>
      <c r="I63" s="21"/>
    </row>
    <row r="64" spans="1:10">
      <c r="A64" s="18"/>
      <c r="B64" s="18"/>
      <c r="C64" s="18"/>
      <c r="D64" s="18"/>
      <c r="E64" s="18"/>
      <c r="F64" s="20"/>
      <c r="G64" s="18"/>
      <c r="H64" s="21"/>
      <c r="I64" s="21"/>
    </row>
    <row r="65" spans="1:10">
      <c r="A65" s="18"/>
      <c r="B65" s="18"/>
      <c r="C65" s="18"/>
      <c r="D65" s="18"/>
      <c r="E65" s="18"/>
      <c r="F65" s="20"/>
      <c r="G65" s="18"/>
      <c r="H65" s="21"/>
      <c r="I65" s="21"/>
    </row>
    <row r="66" spans="1:10">
      <c r="A66" s="18"/>
      <c r="B66" s="18"/>
      <c r="C66" s="18"/>
      <c r="D66" s="18"/>
      <c r="E66" s="18"/>
      <c r="F66" s="20"/>
      <c r="G66" s="18"/>
      <c r="H66" s="21"/>
      <c r="I66" s="21"/>
    </row>
    <row r="67" spans="1:10">
      <c r="A67" s="18"/>
      <c r="B67" s="18"/>
      <c r="C67" s="18"/>
      <c r="D67" s="18"/>
      <c r="E67" s="41"/>
      <c r="F67" s="21"/>
      <c r="G67" s="18"/>
      <c r="H67" s="21"/>
      <c r="I67" s="21"/>
    </row>
    <row r="68" spans="1:10">
      <c r="A68" s="18"/>
      <c r="B68" s="18"/>
      <c r="C68" s="18"/>
      <c r="D68" s="18"/>
      <c r="E68" s="18"/>
      <c r="F68" s="21"/>
      <c r="G68" s="18"/>
      <c r="H68" s="21">
        <f>SUM(H62:H67)</f>
        <v>1000000</v>
      </c>
      <c r="I68" s="21"/>
    </row>
    <row r="71" spans="1:10">
      <c r="A71" s="651" t="s">
        <v>2238</v>
      </c>
      <c r="B71" s="651"/>
      <c r="C71" s="651"/>
      <c r="D71" s="651"/>
      <c r="E71" s="651"/>
      <c r="F71" s="651"/>
      <c r="G71" s="651"/>
      <c r="H71" s="651"/>
      <c r="I71" s="651"/>
    </row>
    <row r="72" spans="1:10" ht="28.5">
      <c r="A72" s="16" t="s">
        <v>11</v>
      </c>
      <c r="B72" s="17" t="s">
        <v>697</v>
      </c>
      <c r="C72" s="17" t="s">
        <v>698</v>
      </c>
      <c r="D72" s="17" t="s">
        <v>12</v>
      </c>
      <c r="E72" s="16" t="s">
        <v>699</v>
      </c>
      <c r="F72" s="16" t="s">
        <v>657</v>
      </c>
      <c r="G72" s="17" t="s">
        <v>700</v>
      </c>
      <c r="H72" s="16" t="s">
        <v>660</v>
      </c>
      <c r="I72" s="16" t="s">
        <v>27</v>
      </c>
    </row>
    <row r="73" spans="1:10">
      <c r="A73" s="18">
        <v>1</v>
      </c>
      <c r="B73" s="18" t="s">
        <v>2199</v>
      </c>
      <c r="C73" s="18" t="s">
        <v>495</v>
      </c>
      <c r="D73" s="18" t="s">
        <v>2200</v>
      </c>
      <c r="E73" s="34" t="s">
        <v>2239</v>
      </c>
      <c r="F73" s="20" t="s">
        <v>2240</v>
      </c>
      <c r="G73" s="18" t="s">
        <v>2241</v>
      </c>
      <c r="H73" s="21">
        <v>2400000</v>
      </c>
      <c r="I73" s="21"/>
      <c r="J73" s="25" t="s">
        <v>2242</v>
      </c>
    </row>
    <row r="74" spans="1:10">
      <c r="A74" s="18"/>
      <c r="B74" s="18"/>
      <c r="C74" s="18"/>
      <c r="D74" s="18"/>
      <c r="E74" s="19" t="s">
        <v>2243</v>
      </c>
      <c r="F74" s="20" t="s">
        <v>2244</v>
      </c>
      <c r="G74" s="18" t="s">
        <v>2245</v>
      </c>
      <c r="H74" s="21">
        <v>1600000</v>
      </c>
      <c r="I74" s="21"/>
      <c r="J74" s="25" t="s">
        <v>2246</v>
      </c>
    </row>
    <row r="75" spans="1:10">
      <c r="A75" s="18"/>
      <c r="B75" s="18"/>
      <c r="C75" s="18"/>
      <c r="D75" s="18"/>
      <c r="E75" s="18" t="s">
        <v>1006</v>
      </c>
      <c r="F75" s="20" t="s">
        <v>2244</v>
      </c>
      <c r="G75" s="18" t="s">
        <v>2245</v>
      </c>
      <c r="H75" s="21">
        <v>-80000</v>
      </c>
      <c r="I75" s="21"/>
    </row>
    <row r="76" spans="1:10">
      <c r="A76" s="18"/>
      <c r="B76" s="18"/>
      <c r="C76" s="18"/>
      <c r="D76" s="18"/>
      <c r="E76" s="18" t="s">
        <v>1006</v>
      </c>
      <c r="F76" s="20" t="s">
        <v>2244</v>
      </c>
      <c r="G76" s="18" t="s">
        <v>2245</v>
      </c>
      <c r="H76" s="21">
        <v>-80000</v>
      </c>
      <c r="I76" s="21"/>
      <c r="J76" s="25" t="s">
        <v>2247</v>
      </c>
    </row>
    <row r="77" spans="1:10">
      <c r="A77" s="18"/>
      <c r="B77" s="18"/>
      <c r="C77" s="18"/>
      <c r="D77" s="18"/>
      <c r="E77" s="18"/>
      <c r="F77" s="20"/>
      <c r="G77" s="18"/>
      <c r="H77" s="21"/>
      <c r="I77" s="21"/>
    </row>
    <row r="78" spans="1:10">
      <c r="A78" s="18"/>
      <c r="B78" s="18"/>
      <c r="C78" s="18"/>
      <c r="D78" s="18"/>
      <c r="E78" s="41"/>
      <c r="F78" s="21"/>
      <c r="G78" s="18"/>
      <c r="H78" s="21"/>
      <c r="I78" s="21"/>
    </row>
    <row r="79" spans="1:10">
      <c r="A79" s="18"/>
      <c r="B79" s="18"/>
      <c r="C79" s="18"/>
      <c r="D79" s="18"/>
      <c r="E79" s="18"/>
      <c r="F79" s="21"/>
      <c r="G79" s="18"/>
      <c r="H79" s="21">
        <f>SUM(H73:H78)</f>
        <v>3840000</v>
      </c>
      <c r="I79" s="21"/>
    </row>
    <row r="82" spans="1:10">
      <c r="A82" s="651" t="s">
        <v>2248</v>
      </c>
      <c r="B82" s="651"/>
      <c r="C82" s="651"/>
      <c r="D82" s="651"/>
      <c r="E82" s="651"/>
      <c r="F82" s="651"/>
      <c r="G82" s="651"/>
      <c r="H82" s="651"/>
      <c r="I82" s="651"/>
    </row>
    <row r="83" spans="1:10" ht="28.5">
      <c r="A83" s="16" t="s">
        <v>11</v>
      </c>
      <c r="B83" s="17" t="s">
        <v>697</v>
      </c>
      <c r="C83" s="17" t="s">
        <v>698</v>
      </c>
      <c r="D83" s="17" t="s">
        <v>12</v>
      </c>
      <c r="E83" s="16" t="s">
        <v>699</v>
      </c>
      <c r="F83" s="16" t="s">
        <v>657</v>
      </c>
      <c r="G83" s="17" t="s">
        <v>700</v>
      </c>
      <c r="H83" s="16" t="s">
        <v>660</v>
      </c>
      <c r="I83" s="16" t="s">
        <v>27</v>
      </c>
    </row>
    <row r="84" spans="1:10">
      <c r="A84" s="18">
        <v>1</v>
      </c>
      <c r="B84" s="18" t="s">
        <v>2199</v>
      </c>
      <c r="C84" s="18" t="s">
        <v>495</v>
      </c>
      <c r="D84" s="18" t="s">
        <v>2200</v>
      </c>
      <c r="E84" s="34" t="s">
        <v>703</v>
      </c>
      <c r="F84" s="20" t="s">
        <v>2249</v>
      </c>
      <c r="G84" s="18" t="s">
        <v>2250</v>
      </c>
      <c r="H84" s="21">
        <v>500000</v>
      </c>
      <c r="I84" s="21"/>
    </row>
    <row r="85" spans="1:10">
      <c r="A85" s="18"/>
      <c r="B85" s="18"/>
      <c r="C85" s="18"/>
      <c r="D85" s="18"/>
      <c r="E85" s="19" t="s">
        <v>2251</v>
      </c>
      <c r="F85" s="20" t="s">
        <v>2249</v>
      </c>
      <c r="G85" s="18" t="s">
        <v>2250</v>
      </c>
      <c r="H85" s="21">
        <v>500000</v>
      </c>
      <c r="I85" s="21"/>
    </row>
    <row r="86" spans="1:10">
      <c r="A86" s="18"/>
      <c r="B86" s="18"/>
      <c r="C86" s="18"/>
      <c r="D86" s="18"/>
      <c r="E86" s="18" t="s">
        <v>2252</v>
      </c>
      <c r="F86" s="20" t="s">
        <v>2253</v>
      </c>
      <c r="G86" s="18" t="s">
        <v>2254</v>
      </c>
      <c r="H86" s="21">
        <v>718000</v>
      </c>
      <c r="I86" s="21"/>
    </row>
    <row r="87" spans="1:10">
      <c r="A87" s="18"/>
      <c r="B87" s="18"/>
      <c r="C87" s="18"/>
      <c r="D87" s="18"/>
      <c r="E87" s="18" t="s">
        <v>1066</v>
      </c>
      <c r="F87" s="20" t="s">
        <v>2253</v>
      </c>
      <c r="G87" s="18" t="s">
        <v>2254</v>
      </c>
      <c r="H87" s="21">
        <v>-500000</v>
      </c>
      <c r="I87" s="21"/>
    </row>
    <row r="88" spans="1:10">
      <c r="A88" s="18"/>
      <c r="B88" s="18"/>
      <c r="C88" s="18"/>
      <c r="D88" s="18"/>
      <c r="E88" s="18"/>
      <c r="F88" s="20"/>
      <c r="G88" s="18"/>
      <c r="H88" s="21"/>
      <c r="I88" s="21"/>
      <c r="J88" s="25" t="s">
        <v>2255</v>
      </c>
    </row>
    <row r="89" spans="1:10">
      <c r="A89" s="18"/>
      <c r="B89" s="18"/>
      <c r="C89" s="18"/>
      <c r="D89" s="18"/>
      <c r="E89" s="41"/>
      <c r="F89" s="21"/>
      <c r="G89" s="18"/>
      <c r="H89" s="21"/>
      <c r="I89" s="21"/>
    </row>
    <row r="90" spans="1:10">
      <c r="A90" s="18"/>
      <c r="B90" s="18"/>
      <c r="C90" s="18"/>
      <c r="D90" s="18"/>
      <c r="E90" s="18"/>
      <c r="F90" s="21"/>
      <c r="G90" s="18"/>
      <c r="H90" s="21">
        <f>SUM(H84:H89)</f>
        <v>1218000</v>
      </c>
      <c r="I90" s="21"/>
    </row>
    <row r="93" spans="1:10">
      <c r="A93" s="651" t="s">
        <v>356</v>
      </c>
      <c r="B93" s="651"/>
      <c r="C93" s="651"/>
      <c r="D93" s="651"/>
      <c r="E93" s="651"/>
      <c r="F93" s="651"/>
      <c r="G93" s="651"/>
      <c r="H93" s="651"/>
      <c r="I93" s="651"/>
    </row>
    <row r="94" spans="1:10" ht="28.5">
      <c r="A94" s="16" t="s">
        <v>11</v>
      </c>
      <c r="B94" s="17" t="s">
        <v>697</v>
      </c>
      <c r="C94" s="17" t="s">
        <v>698</v>
      </c>
      <c r="D94" s="17" t="s">
        <v>12</v>
      </c>
      <c r="E94" s="16" t="s">
        <v>699</v>
      </c>
      <c r="F94" s="16" t="s">
        <v>657</v>
      </c>
      <c r="G94" s="17" t="s">
        <v>700</v>
      </c>
      <c r="H94" s="16" t="s">
        <v>660</v>
      </c>
      <c r="I94" s="16" t="s">
        <v>27</v>
      </c>
    </row>
    <row r="95" spans="1:10">
      <c r="A95" s="18">
        <v>1</v>
      </c>
      <c r="B95" s="18" t="s">
        <v>2199</v>
      </c>
      <c r="C95" s="18" t="s">
        <v>495</v>
      </c>
      <c r="D95" s="18" t="s">
        <v>2200</v>
      </c>
      <c r="E95" s="34" t="s">
        <v>703</v>
      </c>
      <c r="F95" s="20" t="s">
        <v>2256</v>
      </c>
      <c r="G95" s="18" t="s">
        <v>2257</v>
      </c>
      <c r="H95" s="21">
        <v>500000</v>
      </c>
      <c r="I95" s="21"/>
    </row>
    <row r="96" spans="1:10">
      <c r="A96" s="18"/>
      <c r="B96" s="18"/>
      <c r="C96" s="18"/>
      <c r="D96" s="18"/>
      <c r="E96" s="19" t="s">
        <v>2258</v>
      </c>
      <c r="F96" s="20" t="s">
        <v>2256</v>
      </c>
      <c r="G96" s="18" t="s">
        <v>2257</v>
      </c>
      <c r="H96" s="21">
        <v>500000</v>
      </c>
      <c r="I96" s="21"/>
    </row>
    <row r="97" spans="1:10">
      <c r="A97" s="18"/>
      <c r="B97" s="18"/>
      <c r="C97" s="18"/>
      <c r="D97" s="18"/>
      <c r="E97" s="18" t="s">
        <v>2259</v>
      </c>
      <c r="F97" s="20" t="s">
        <v>2260</v>
      </c>
      <c r="G97" s="18" t="s">
        <v>2261</v>
      </c>
      <c r="H97" s="21">
        <v>404000</v>
      </c>
      <c r="I97" s="21"/>
    </row>
    <row r="98" spans="1:10">
      <c r="A98" s="18"/>
      <c r="B98" s="18"/>
      <c r="C98" s="18"/>
      <c r="D98" s="18"/>
      <c r="E98" s="18" t="s">
        <v>2262</v>
      </c>
      <c r="F98" s="20" t="s">
        <v>2260</v>
      </c>
      <c r="G98" s="18" t="s">
        <v>2261</v>
      </c>
      <c r="H98" s="21">
        <v>-500000</v>
      </c>
      <c r="I98" s="21"/>
      <c r="J98" s="25" t="s">
        <v>2263</v>
      </c>
    </row>
    <row r="99" spans="1:10">
      <c r="A99" s="18"/>
      <c r="B99" s="18"/>
      <c r="C99" s="18"/>
      <c r="D99" s="18"/>
      <c r="E99" s="18" t="s">
        <v>2264</v>
      </c>
      <c r="F99" s="20" t="s">
        <v>2260</v>
      </c>
      <c r="G99" s="18" t="s">
        <v>832</v>
      </c>
      <c r="H99" s="21">
        <v>96000</v>
      </c>
      <c r="I99" s="21"/>
    </row>
    <row r="100" spans="1:10">
      <c r="A100" s="18"/>
      <c r="B100" s="18"/>
      <c r="C100" s="18"/>
      <c r="D100" s="18"/>
      <c r="E100" s="41"/>
      <c r="F100" s="21"/>
      <c r="G100" s="18"/>
      <c r="H100" s="21"/>
      <c r="I100" s="21"/>
    </row>
    <row r="101" spans="1:10">
      <c r="A101" s="18"/>
      <c r="B101" s="18"/>
      <c r="C101" s="18"/>
      <c r="D101" s="18"/>
      <c r="E101" s="18"/>
      <c r="F101" s="21"/>
      <c r="G101" s="18"/>
      <c r="H101" s="21">
        <f>SUM(H95:H100)</f>
        <v>1000000</v>
      </c>
      <c r="I101" s="21"/>
    </row>
    <row r="104" spans="1:10">
      <c r="A104" s="651" t="s">
        <v>2265</v>
      </c>
      <c r="B104" s="651"/>
      <c r="C104" s="651"/>
      <c r="D104" s="651"/>
      <c r="E104" s="651"/>
      <c r="F104" s="651"/>
      <c r="G104" s="651"/>
      <c r="H104" s="651"/>
      <c r="I104" s="651"/>
    </row>
    <row r="105" spans="1:10" ht="28.5">
      <c r="A105" s="16" t="s">
        <v>11</v>
      </c>
      <c r="B105" s="17" t="s">
        <v>697</v>
      </c>
      <c r="C105" s="17" t="s">
        <v>698</v>
      </c>
      <c r="D105" s="17" t="s">
        <v>12</v>
      </c>
      <c r="E105" s="16" t="s">
        <v>699</v>
      </c>
      <c r="F105" s="16" t="s">
        <v>657</v>
      </c>
      <c r="G105" s="17" t="s">
        <v>700</v>
      </c>
      <c r="H105" s="16" t="s">
        <v>660</v>
      </c>
      <c r="I105" s="16" t="s">
        <v>27</v>
      </c>
    </row>
    <row r="106" spans="1:10">
      <c r="A106" s="18">
        <v>1</v>
      </c>
      <c r="B106" s="18" t="s">
        <v>2199</v>
      </c>
      <c r="C106" s="18" t="s">
        <v>495</v>
      </c>
      <c r="D106" s="18" t="s">
        <v>2200</v>
      </c>
      <c r="E106" s="34" t="s">
        <v>703</v>
      </c>
      <c r="F106" s="20" t="s">
        <v>2266</v>
      </c>
      <c r="G106" s="18" t="s">
        <v>1065</v>
      </c>
      <c r="H106" s="21">
        <v>400000</v>
      </c>
      <c r="I106" s="21"/>
    </row>
    <row r="107" spans="1:10">
      <c r="A107" s="18"/>
      <c r="B107" s="18"/>
      <c r="C107" s="18"/>
      <c r="D107" s="18"/>
      <c r="E107" s="19" t="s">
        <v>2267</v>
      </c>
      <c r="F107" s="20" t="s">
        <v>2266</v>
      </c>
      <c r="G107" s="18" t="s">
        <v>1065</v>
      </c>
      <c r="H107" s="21">
        <v>400000</v>
      </c>
      <c r="I107" s="21"/>
    </row>
    <row r="108" spans="1:10">
      <c r="A108" s="18"/>
      <c r="B108" s="18"/>
      <c r="C108" s="18"/>
      <c r="D108" s="18"/>
      <c r="E108" s="18" t="s">
        <v>2184</v>
      </c>
      <c r="F108" s="20" t="s">
        <v>2268</v>
      </c>
      <c r="G108" s="18" t="s">
        <v>2269</v>
      </c>
      <c r="H108" s="21">
        <v>400000</v>
      </c>
      <c r="I108" s="21"/>
    </row>
    <row r="109" spans="1:10">
      <c r="A109" s="18"/>
      <c r="B109" s="18"/>
      <c r="C109" s="18"/>
      <c r="D109" s="18"/>
      <c r="E109" s="18" t="s">
        <v>2188</v>
      </c>
      <c r="F109" s="20" t="s">
        <v>2270</v>
      </c>
      <c r="G109" s="18" t="s">
        <v>2271</v>
      </c>
      <c r="H109" s="21">
        <v>400000</v>
      </c>
      <c r="I109" s="21"/>
      <c r="J109" s="25" t="s">
        <v>1042</v>
      </c>
    </row>
    <row r="110" spans="1:10">
      <c r="A110" s="18"/>
      <c r="B110" s="18"/>
      <c r="C110" s="18"/>
      <c r="D110" s="18"/>
      <c r="E110" s="18" t="s">
        <v>2272</v>
      </c>
      <c r="F110" s="20" t="s">
        <v>2273</v>
      </c>
      <c r="G110" s="18" t="s">
        <v>2274</v>
      </c>
      <c r="H110" s="21">
        <v>800000</v>
      </c>
      <c r="I110" s="21"/>
      <c r="J110" s="25" t="s">
        <v>1042</v>
      </c>
    </row>
    <row r="111" spans="1:10">
      <c r="A111" s="18"/>
      <c r="B111" s="18"/>
      <c r="C111" s="18"/>
      <c r="D111" s="18"/>
      <c r="E111" s="18" t="s">
        <v>2275</v>
      </c>
      <c r="F111" s="20" t="s">
        <v>2276</v>
      </c>
      <c r="G111" s="18" t="s">
        <v>2277</v>
      </c>
      <c r="H111" s="21">
        <v>400000</v>
      </c>
      <c r="I111" s="21"/>
      <c r="J111" s="25" t="s">
        <v>1042</v>
      </c>
    </row>
    <row r="112" spans="1:10">
      <c r="A112" s="18"/>
      <c r="B112" s="18"/>
      <c r="C112" s="18"/>
      <c r="D112" s="18"/>
      <c r="E112" s="18" t="s">
        <v>2278</v>
      </c>
      <c r="F112" s="20" t="s">
        <v>2279</v>
      </c>
      <c r="G112" s="18" t="s">
        <v>2280</v>
      </c>
      <c r="H112" s="21">
        <v>800000</v>
      </c>
      <c r="I112" s="21"/>
      <c r="J112" s="25" t="s">
        <v>2281</v>
      </c>
    </row>
    <row r="113" spans="1:9">
      <c r="A113" s="18"/>
      <c r="B113" s="18"/>
      <c r="C113" s="18"/>
      <c r="D113" s="18"/>
      <c r="E113" s="18"/>
      <c r="F113" s="20"/>
      <c r="G113" s="18"/>
      <c r="H113" s="21"/>
      <c r="I113" s="21"/>
    </row>
    <row r="114" spans="1:9">
      <c r="A114" s="18"/>
      <c r="B114" s="18"/>
      <c r="C114" s="18"/>
      <c r="D114" s="18"/>
      <c r="E114" s="18"/>
      <c r="F114" s="20"/>
      <c r="G114" s="18"/>
      <c r="H114" s="21"/>
      <c r="I114" s="21"/>
    </row>
    <row r="115" spans="1:9">
      <c r="A115" s="18"/>
      <c r="B115" s="18"/>
      <c r="C115" s="18"/>
      <c r="D115" s="18"/>
      <c r="E115" s="18"/>
      <c r="F115" s="20"/>
      <c r="G115" s="18"/>
      <c r="H115" s="21"/>
      <c r="I115" s="21"/>
    </row>
    <row r="116" spans="1:9">
      <c r="A116" s="18"/>
      <c r="B116" s="18"/>
      <c r="C116" s="18"/>
      <c r="D116" s="18"/>
      <c r="E116" s="18"/>
      <c r="F116" s="20"/>
      <c r="G116" s="18"/>
      <c r="H116" s="21"/>
      <c r="I116" s="21"/>
    </row>
    <row r="117" spans="1:9">
      <c r="A117" s="18"/>
      <c r="B117" s="18"/>
      <c r="C117" s="18"/>
      <c r="D117" s="18"/>
      <c r="E117" s="18"/>
      <c r="F117" s="20"/>
      <c r="G117" s="18"/>
      <c r="H117" s="21"/>
      <c r="I117" s="21"/>
    </row>
    <row r="118" spans="1:9">
      <c r="A118" s="18"/>
      <c r="B118" s="18"/>
      <c r="C118" s="18"/>
      <c r="D118" s="18"/>
      <c r="E118" s="41"/>
      <c r="F118" s="21"/>
      <c r="G118" s="18"/>
      <c r="H118" s="21"/>
      <c r="I118" s="21"/>
    </row>
    <row r="119" spans="1:9">
      <c r="A119" s="18"/>
      <c r="B119" s="18"/>
      <c r="C119" s="18"/>
      <c r="D119" s="18"/>
      <c r="E119" s="18"/>
      <c r="F119" s="21"/>
      <c r="G119" s="18"/>
      <c r="H119" s="21">
        <f>SUM(H106:H118)</f>
        <v>3600000</v>
      </c>
      <c r="I119" s="21"/>
    </row>
    <row r="123" spans="1:9">
      <c r="A123" s="651" t="s">
        <v>2282</v>
      </c>
      <c r="B123" s="651"/>
      <c r="C123" s="651"/>
      <c r="D123" s="651"/>
      <c r="E123" s="651"/>
      <c r="F123" s="651"/>
      <c r="G123" s="651"/>
      <c r="H123" s="651"/>
      <c r="I123" s="651"/>
    </row>
    <row r="124" spans="1:9" ht="28.5">
      <c r="A124" s="16" t="s">
        <v>11</v>
      </c>
      <c r="B124" s="17" t="s">
        <v>697</v>
      </c>
      <c r="C124" s="17" t="s">
        <v>698</v>
      </c>
      <c r="D124" s="17" t="s">
        <v>12</v>
      </c>
      <c r="E124" s="16" t="s">
        <v>699</v>
      </c>
      <c r="F124" s="16" t="s">
        <v>657</v>
      </c>
      <c r="G124" s="17" t="s">
        <v>700</v>
      </c>
      <c r="H124" s="16" t="s">
        <v>660</v>
      </c>
      <c r="I124" s="16" t="s">
        <v>27</v>
      </c>
    </row>
    <row r="125" spans="1:9">
      <c r="A125" s="18">
        <v>1</v>
      </c>
      <c r="B125" s="18" t="s">
        <v>2199</v>
      </c>
      <c r="C125" s="18" t="s">
        <v>495</v>
      </c>
      <c r="D125" s="18" t="s">
        <v>2200</v>
      </c>
      <c r="E125" s="34" t="s">
        <v>2283</v>
      </c>
      <c r="F125" s="20" t="s">
        <v>2284</v>
      </c>
      <c r="G125" s="18" t="s">
        <v>2071</v>
      </c>
      <c r="H125" s="21">
        <v>500000</v>
      </c>
      <c r="I125" s="21"/>
    </row>
    <row r="126" spans="1:9">
      <c r="A126" s="18"/>
      <c r="B126" s="18"/>
      <c r="C126" s="18"/>
      <c r="D126" s="18"/>
      <c r="E126" s="19"/>
      <c r="F126" s="20"/>
      <c r="G126" s="18"/>
      <c r="H126" s="21"/>
      <c r="I126" s="21"/>
    </row>
    <row r="127" spans="1:9">
      <c r="A127" s="18"/>
      <c r="B127" s="18"/>
      <c r="C127" s="18"/>
      <c r="D127" s="18"/>
      <c r="E127" s="18"/>
      <c r="F127" s="20"/>
      <c r="G127" s="18"/>
      <c r="H127" s="21"/>
      <c r="I127" s="21"/>
    </row>
    <row r="128" spans="1:9">
      <c r="A128" s="18"/>
      <c r="B128" s="18"/>
      <c r="C128" s="18"/>
      <c r="D128" s="18"/>
      <c r="E128" s="18"/>
      <c r="F128" s="20"/>
      <c r="G128" s="18"/>
      <c r="H128" s="21"/>
      <c r="I128" s="21"/>
    </row>
    <row r="129" spans="1:9">
      <c r="A129" s="18"/>
      <c r="B129" s="18"/>
      <c r="C129" s="18"/>
      <c r="D129" s="18"/>
      <c r="E129" s="18"/>
      <c r="F129" s="20"/>
      <c r="G129" s="18"/>
      <c r="H129" s="21"/>
      <c r="I129" s="21"/>
    </row>
    <row r="131" spans="1:9">
      <c r="A131" s="410" t="s">
        <v>648</v>
      </c>
    </row>
    <row r="132" spans="1:9">
      <c r="A132" s="651" t="s">
        <v>2285</v>
      </c>
      <c r="B132" s="651"/>
      <c r="C132" s="651"/>
      <c r="D132" s="651"/>
      <c r="E132" s="651"/>
      <c r="F132" s="651"/>
      <c r="G132" s="651"/>
      <c r="H132" s="651"/>
      <c r="I132" s="651"/>
    </row>
    <row r="133" spans="1:9" ht="28.5">
      <c r="A133" s="16" t="s">
        <v>11</v>
      </c>
      <c r="B133" s="17" t="s">
        <v>697</v>
      </c>
      <c r="C133" s="17" t="s">
        <v>698</v>
      </c>
      <c r="D133" s="17" t="s">
        <v>12</v>
      </c>
      <c r="E133" s="16" t="s">
        <v>699</v>
      </c>
      <c r="F133" s="16" t="s">
        <v>657</v>
      </c>
      <c r="G133" s="17" t="s">
        <v>700</v>
      </c>
      <c r="H133" s="16" t="s">
        <v>660</v>
      </c>
      <c r="I133" s="16" t="s">
        <v>27</v>
      </c>
    </row>
    <row r="134" spans="1:9" ht="24" customHeight="1">
      <c r="A134" s="18">
        <v>1</v>
      </c>
      <c r="B134" s="18" t="s">
        <v>2199</v>
      </c>
      <c r="C134" s="18" t="s">
        <v>495</v>
      </c>
      <c r="D134" s="18" t="s">
        <v>2200</v>
      </c>
      <c r="E134" s="34" t="s">
        <v>661</v>
      </c>
      <c r="F134" s="20" t="s">
        <v>2286</v>
      </c>
      <c r="G134" s="18" t="s">
        <v>2287</v>
      </c>
      <c r="H134" s="21">
        <v>700000</v>
      </c>
      <c r="I134" s="21"/>
    </row>
    <row r="135" spans="1:9" ht="24" customHeight="1">
      <c r="A135" s="18"/>
      <c r="B135" s="18"/>
      <c r="C135" s="18"/>
      <c r="D135" s="18"/>
      <c r="E135" s="19" t="s">
        <v>497</v>
      </c>
      <c r="F135" s="20" t="s">
        <v>2286</v>
      </c>
      <c r="G135" s="18" t="s">
        <v>2287</v>
      </c>
      <c r="H135" s="21">
        <v>700000</v>
      </c>
      <c r="I135" s="21"/>
    </row>
    <row r="136" spans="1:9" ht="24" customHeight="1">
      <c r="A136" s="18"/>
      <c r="B136" s="18"/>
      <c r="C136" s="18"/>
      <c r="D136" s="18"/>
      <c r="E136" s="22"/>
      <c r="F136" s="20"/>
      <c r="G136" s="18"/>
      <c r="H136" s="21"/>
      <c r="I136" s="21"/>
    </row>
    <row r="137" spans="1:9" ht="24" customHeight="1">
      <c r="A137" s="18"/>
      <c r="B137" s="18"/>
      <c r="C137" s="18"/>
      <c r="D137" s="18"/>
      <c r="E137" s="22"/>
      <c r="F137" s="20"/>
      <c r="G137" s="18"/>
      <c r="H137" s="21"/>
      <c r="I137" s="21"/>
    </row>
    <row r="138" spans="1:9" ht="24" customHeight="1">
      <c r="A138" s="18"/>
      <c r="B138" s="18"/>
      <c r="C138" s="18"/>
      <c r="D138" s="18"/>
      <c r="E138" s="18"/>
      <c r="F138" s="20"/>
      <c r="G138" s="18"/>
      <c r="H138" s="21"/>
      <c r="I138" s="21"/>
    </row>
    <row r="139" spans="1:9" ht="24" customHeight="1">
      <c r="A139" s="18"/>
      <c r="B139" s="18"/>
      <c r="C139" s="18"/>
      <c r="D139" s="18"/>
      <c r="E139" s="18"/>
      <c r="F139" s="20"/>
      <c r="G139" s="18"/>
      <c r="H139" s="21"/>
      <c r="I139" s="21"/>
    </row>
    <row r="140" spans="1:9" ht="24" customHeight="1">
      <c r="A140" s="18"/>
      <c r="B140" s="18"/>
      <c r="C140" s="18"/>
      <c r="D140" s="18"/>
      <c r="E140" s="18"/>
      <c r="F140" s="20"/>
      <c r="G140" s="18"/>
      <c r="H140" s="21">
        <f>SUM(H134:H139)</f>
        <v>1400000</v>
      </c>
      <c r="I140" s="21"/>
    </row>
    <row r="141" spans="1:9" ht="24" customHeight="1"/>
    <row r="142" spans="1:9" ht="24" customHeight="1"/>
    <row r="143" spans="1:9" ht="24" customHeight="1"/>
  </sheetData>
  <mergeCells count="12">
    <mergeCell ref="A132:I132"/>
    <mergeCell ref="A2:I2"/>
    <mergeCell ref="A11:I11"/>
    <mergeCell ref="A29:I29"/>
    <mergeCell ref="A40:I40"/>
    <mergeCell ref="A50:I50"/>
    <mergeCell ref="A60:I60"/>
    <mergeCell ref="A71:I71"/>
    <mergeCell ref="A82:I82"/>
    <mergeCell ref="A93:I93"/>
    <mergeCell ref="A104:I104"/>
    <mergeCell ref="A123:I123"/>
  </mergeCells>
  <hyperlinks>
    <hyperlink ref="A1" location="Name!A1" display="Name!A1" xr:uid="{95276CD5-7A13-4C8A-A0DA-5951DF27797F}"/>
    <hyperlink ref="A131" location="Name!A1" display="Name!A1" xr:uid="{31F3DF84-FAE0-4E19-B19B-7CF7159DDD1A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D7A0-39A2-4839-BCFF-F5D23AC34FEB}">
  <dimension ref="A1:J48"/>
  <sheetViews>
    <sheetView workbookViewId="0"/>
  </sheetViews>
  <sheetFormatPr defaultRowHeight="15"/>
  <cols>
    <col min="2" max="2" width="13.7109375" customWidth="1"/>
    <col min="3" max="3" width="16.28515625" customWidth="1"/>
    <col min="5" max="5" width="24.85546875" customWidth="1"/>
    <col min="8" max="8" width="11.7109375" customWidth="1"/>
  </cols>
  <sheetData>
    <row r="1" spans="1:9">
      <c r="A1" s="410" t="s">
        <v>648</v>
      </c>
    </row>
    <row r="2" spans="1:9" ht="18.75">
      <c r="A2" s="651" t="s">
        <v>2288</v>
      </c>
      <c r="B2" s="651"/>
      <c r="C2" s="651"/>
      <c r="D2" s="651"/>
      <c r="E2" s="651"/>
      <c r="F2" s="651"/>
      <c r="G2" s="651"/>
      <c r="H2" s="651"/>
      <c r="I2" s="651"/>
    </row>
    <row r="3" spans="1:9" ht="57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9">
      <c r="A4" s="18">
        <v>1</v>
      </c>
      <c r="B4" s="18" t="s">
        <v>2289</v>
      </c>
      <c r="C4" s="18" t="s">
        <v>2290</v>
      </c>
      <c r="D4" s="18" t="s">
        <v>2291</v>
      </c>
      <c r="E4" s="18" t="s">
        <v>2292</v>
      </c>
      <c r="F4" s="20"/>
      <c r="G4" s="18"/>
      <c r="H4" s="353"/>
      <c r="I4" s="21"/>
    </row>
    <row r="5" spans="1:9">
      <c r="A5" s="18"/>
      <c r="B5" s="18"/>
      <c r="C5" s="18"/>
      <c r="D5" s="18"/>
      <c r="E5" s="18" t="s">
        <v>2293</v>
      </c>
      <c r="F5" s="20" t="s">
        <v>2294</v>
      </c>
      <c r="G5" s="18" t="s">
        <v>2295</v>
      </c>
      <c r="H5" s="21">
        <v>30000</v>
      </c>
      <c r="I5" s="21"/>
    </row>
    <row r="6" spans="1:9">
      <c r="A6" s="18"/>
      <c r="B6" s="18"/>
      <c r="C6" s="18"/>
      <c r="D6" s="18"/>
      <c r="E6" s="18" t="s">
        <v>2296</v>
      </c>
      <c r="F6" s="20"/>
      <c r="G6" s="18"/>
      <c r="H6" s="21">
        <v>30000</v>
      </c>
      <c r="I6" s="21"/>
    </row>
    <row r="7" spans="1:9">
      <c r="A7" s="18"/>
      <c r="B7" s="18"/>
      <c r="C7" s="18"/>
      <c r="D7" s="18"/>
      <c r="E7" s="18" t="s">
        <v>2297</v>
      </c>
      <c r="F7" s="20"/>
      <c r="G7" s="18"/>
      <c r="H7" s="21">
        <v>30000</v>
      </c>
      <c r="I7" s="21"/>
    </row>
    <row r="8" spans="1:9">
      <c r="A8" s="18"/>
      <c r="B8" s="18"/>
      <c r="C8" s="18"/>
      <c r="D8" s="18"/>
      <c r="E8" s="18"/>
      <c r="F8" s="21"/>
      <c r="G8" s="18"/>
      <c r="H8" s="21">
        <f>SUM(H4:H7)</f>
        <v>90000</v>
      </c>
      <c r="I8" s="21"/>
    </row>
    <row r="10" spans="1:9">
      <c r="A10" s="670" t="s">
        <v>2298</v>
      </c>
      <c r="B10" s="670"/>
      <c r="C10" s="670"/>
      <c r="D10" s="670"/>
      <c r="E10" s="670"/>
      <c r="F10" s="670"/>
      <c r="G10" s="670"/>
      <c r="H10" s="670"/>
    </row>
    <row r="11" spans="1:9">
      <c r="A11" s="653"/>
      <c r="B11" s="653"/>
      <c r="C11" s="653"/>
      <c r="D11" s="653"/>
      <c r="E11" s="653"/>
      <c r="F11" s="653"/>
      <c r="G11" s="653"/>
      <c r="H11" s="653"/>
    </row>
    <row r="12" spans="1:9" ht="18">
      <c r="A12" s="671" t="s">
        <v>653</v>
      </c>
      <c r="B12" s="673" t="s">
        <v>654</v>
      </c>
      <c r="C12" s="671" t="s">
        <v>655</v>
      </c>
      <c r="D12" s="671" t="s">
        <v>12</v>
      </c>
      <c r="E12" s="673" t="s">
        <v>656</v>
      </c>
      <c r="F12" s="671" t="s">
        <v>657</v>
      </c>
      <c r="G12" s="673" t="s">
        <v>658</v>
      </c>
      <c r="H12" s="240" t="s">
        <v>659</v>
      </c>
    </row>
    <row r="13" spans="1:9" ht="18">
      <c r="A13" s="672"/>
      <c r="B13" s="672"/>
      <c r="C13" s="672"/>
      <c r="D13" s="672"/>
      <c r="E13" s="674"/>
      <c r="F13" s="672"/>
      <c r="G13" s="672"/>
      <c r="H13" s="241" t="s">
        <v>660</v>
      </c>
    </row>
    <row r="14" spans="1:9" ht="18">
      <c r="A14" s="242">
        <v>1</v>
      </c>
      <c r="B14" s="242" t="s">
        <v>2299</v>
      </c>
      <c r="C14" s="242" t="s">
        <v>2290</v>
      </c>
      <c r="D14" s="242" t="s">
        <v>2291</v>
      </c>
      <c r="E14" s="243" t="s">
        <v>1202</v>
      </c>
      <c r="F14" s="244" t="s">
        <v>1316</v>
      </c>
      <c r="G14" s="243" t="s">
        <v>2300</v>
      </c>
      <c r="H14" s="243">
        <v>550000</v>
      </c>
    </row>
    <row r="15" spans="1:9" ht="18">
      <c r="A15" s="242"/>
      <c r="B15" s="242"/>
      <c r="C15" s="242"/>
      <c r="D15" s="242"/>
      <c r="E15" s="243" t="s">
        <v>2301</v>
      </c>
      <c r="F15" s="244" t="s">
        <v>1316</v>
      </c>
      <c r="G15" s="243" t="s">
        <v>2300</v>
      </c>
      <c r="H15" s="243">
        <v>550000</v>
      </c>
    </row>
    <row r="16" spans="1:9" ht="18">
      <c r="A16" s="242"/>
      <c r="B16" s="242"/>
      <c r="C16" s="242"/>
      <c r="D16" s="242"/>
      <c r="E16" s="243" t="s">
        <v>2302</v>
      </c>
      <c r="F16" s="244" t="s">
        <v>1316</v>
      </c>
      <c r="G16" s="243" t="s">
        <v>2300</v>
      </c>
      <c r="H16" s="243">
        <v>550000</v>
      </c>
    </row>
    <row r="17" spans="1:10" ht="18">
      <c r="A17" s="242"/>
      <c r="B17" s="242"/>
      <c r="C17" s="242"/>
      <c r="D17" s="242"/>
      <c r="E17" s="243" t="s">
        <v>2303</v>
      </c>
      <c r="F17" s="244"/>
      <c r="G17" s="243"/>
      <c r="H17" s="243">
        <v>-550000</v>
      </c>
    </row>
    <row r="18" spans="1:10" ht="18">
      <c r="A18" s="242"/>
      <c r="B18" s="242"/>
      <c r="C18" s="242"/>
      <c r="D18" s="242"/>
      <c r="E18" s="243"/>
      <c r="F18" s="244"/>
      <c r="G18" s="243"/>
      <c r="H18" s="243"/>
    </row>
    <row r="19" spans="1:10" ht="18">
      <c r="A19" s="242"/>
      <c r="B19" s="242"/>
      <c r="C19" s="354" t="s">
        <v>2304</v>
      </c>
      <c r="D19" s="242"/>
      <c r="E19" s="243"/>
      <c r="F19" s="244"/>
      <c r="G19" s="243"/>
      <c r="H19" s="243"/>
    </row>
    <row r="21" spans="1:10" ht="18.75">
      <c r="A21" s="651" t="s">
        <v>2305</v>
      </c>
      <c r="B21" s="651"/>
      <c r="C21" s="651"/>
      <c r="D21" s="651"/>
      <c r="E21" s="651"/>
      <c r="F21" s="651"/>
      <c r="G21" s="651"/>
      <c r="H21" s="651"/>
      <c r="I21" s="651"/>
    </row>
    <row r="22" spans="1:10" ht="57">
      <c r="A22" s="16" t="s">
        <v>11</v>
      </c>
      <c r="B22" s="17" t="s">
        <v>697</v>
      </c>
      <c r="C22" s="17" t="s">
        <v>698</v>
      </c>
      <c r="D22" s="17" t="s">
        <v>12</v>
      </c>
      <c r="E22" s="16" t="s">
        <v>699</v>
      </c>
      <c r="F22" s="16" t="s">
        <v>657</v>
      </c>
      <c r="G22" s="17" t="s">
        <v>700</v>
      </c>
      <c r="H22" s="16" t="s">
        <v>660</v>
      </c>
      <c r="I22" s="16" t="s">
        <v>27</v>
      </c>
    </row>
    <row r="23" spans="1:10">
      <c r="A23" s="18">
        <v>1</v>
      </c>
      <c r="B23" s="18" t="s">
        <v>487</v>
      </c>
      <c r="C23" s="18" t="s">
        <v>2290</v>
      </c>
      <c r="D23" s="18" t="s">
        <v>2291</v>
      </c>
      <c r="E23" s="18" t="s">
        <v>2306</v>
      </c>
      <c r="F23" s="20" t="s">
        <v>2307</v>
      </c>
      <c r="G23" s="18" t="s">
        <v>2308</v>
      </c>
      <c r="H23" s="21">
        <v>800000</v>
      </c>
      <c r="I23" s="21"/>
    </row>
    <row r="24" spans="1:10">
      <c r="A24" s="18"/>
      <c r="B24" s="18"/>
      <c r="C24" s="18"/>
      <c r="D24" s="18"/>
      <c r="E24" s="18"/>
      <c r="F24" s="20"/>
      <c r="G24" s="18"/>
      <c r="H24" s="21"/>
      <c r="I24" s="21"/>
    </row>
    <row r="25" spans="1:10">
      <c r="A25" s="18"/>
      <c r="B25" s="18"/>
      <c r="C25" s="18"/>
      <c r="D25" s="18"/>
      <c r="E25" s="18"/>
      <c r="F25" s="21"/>
      <c r="G25" s="18"/>
      <c r="H25" s="21"/>
      <c r="I25" s="21"/>
    </row>
    <row r="26" spans="1:10">
      <c r="A26" s="18"/>
      <c r="B26" s="18"/>
      <c r="C26" s="18"/>
      <c r="D26" s="18"/>
      <c r="E26" s="18"/>
      <c r="F26" s="21"/>
      <c r="G26" s="18"/>
      <c r="H26" s="50">
        <f>SUM(H23:H25)</f>
        <v>800000</v>
      </c>
      <c r="I26" s="21"/>
    </row>
    <row r="27" spans="1:10">
      <c r="A27" s="410" t="s">
        <v>648</v>
      </c>
    </row>
    <row r="28" spans="1:10" ht="18.75">
      <c r="A28" s="651" t="s">
        <v>2309</v>
      </c>
      <c r="B28" s="651"/>
      <c r="C28" s="651"/>
      <c r="D28" s="651"/>
      <c r="E28" s="651"/>
      <c r="F28" s="651"/>
      <c r="G28" s="651"/>
      <c r="H28" s="651"/>
      <c r="I28" s="651"/>
    </row>
    <row r="29" spans="1:10" ht="57">
      <c r="A29" s="16" t="s">
        <v>11</v>
      </c>
      <c r="B29" s="17" t="s">
        <v>697</v>
      </c>
      <c r="C29" s="17" t="s">
        <v>698</v>
      </c>
      <c r="D29" s="17" t="s">
        <v>12</v>
      </c>
      <c r="E29" s="16" t="s">
        <v>699</v>
      </c>
      <c r="F29" s="16" t="s">
        <v>657</v>
      </c>
      <c r="G29" s="17" t="s">
        <v>700</v>
      </c>
      <c r="H29" s="16" t="s">
        <v>660</v>
      </c>
      <c r="I29" s="16" t="s">
        <v>27</v>
      </c>
    </row>
    <row r="30" spans="1:10">
      <c r="A30" s="18">
        <v>1</v>
      </c>
      <c r="B30" s="18" t="s">
        <v>2310</v>
      </c>
      <c r="C30" s="18" t="s">
        <v>2290</v>
      </c>
      <c r="D30" s="18" t="s">
        <v>2291</v>
      </c>
      <c r="E30" s="34" t="s">
        <v>2311</v>
      </c>
      <c r="F30" s="20"/>
      <c r="G30" s="18" t="s">
        <v>2312</v>
      </c>
      <c r="H30" s="21">
        <v>500000</v>
      </c>
      <c r="I30" s="21"/>
      <c r="J30" t="s">
        <v>2313</v>
      </c>
    </row>
    <row r="31" spans="1:10">
      <c r="A31" s="18"/>
      <c r="B31" s="18"/>
      <c r="C31" s="18"/>
      <c r="D31" s="18"/>
      <c r="E31" s="318" t="s">
        <v>2314</v>
      </c>
      <c r="F31" s="20"/>
      <c r="G31" s="18"/>
      <c r="H31" s="21">
        <v>500000</v>
      </c>
      <c r="I31" s="21"/>
    </row>
    <row r="32" spans="1:10">
      <c r="A32" s="18"/>
      <c r="B32" s="18"/>
      <c r="C32" s="18"/>
      <c r="D32" s="18"/>
      <c r="E32" s="18" t="s">
        <v>2315</v>
      </c>
      <c r="F32" s="20"/>
      <c r="G32" s="18" t="s">
        <v>2316</v>
      </c>
      <c r="H32" s="21">
        <v>500000</v>
      </c>
      <c r="I32" s="21"/>
      <c r="J32" t="s">
        <v>2313</v>
      </c>
    </row>
    <row r="33" spans="1:10">
      <c r="A33" s="18"/>
      <c r="B33" s="18"/>
      <c r="C33" s="18"/>
      <c r="D33" s="18"/>
      <c r="E33" s="18" t="s">
        <v>2317</v>
      </c>
      <c r="F33" s="20"/>
      <c r="G33" s="18" t="s">
        <v>2318</v>
      </c>
      <c r="H33" s="21">
        <v>500000</v>
      </c>
      <c r="I33" s="21"/>
      <c r="J33" t="s">
        <v>2313</v>
      </c>
    </row>
    <row r="34" spans="1:10">
      <c r="A34" s="18"/>
      <c r="B34" s="18"/>
      <c r="C34" s="18"/>
      <c r="D34" s="18"/>
      <c r="E34" s="18" t="s">
        <v>2319</v>
      </c>
      <c r="F34" s="20" t="s">
        <v>2320</v>
      </c>
      <c r="G34" s="18" t="s">
        <v>2321</v>
      </c>
      <c r="H34" s="21">
        <v>500000</v>
      </c>
      <c r="I34" s="21"/>
      <c r="J34" t="s">
        <v>2313</v>
      </c>
    </row>
    <row r="35" spans="1:10">
      <c r="A35" s="18"/>
      <c r="B35" s="18"/>
      <c r="C35" s="18"/>
      <c r="D35" s="18"/>
      <c r="E35" s="18" t="s">
        <v>2322</v>
      </c>
      <c r="F35" s="20" t="s">
        <v>2323</v>
      </c>
      <c r="G35" s="18" t="s">
        <v>2324</v>
      </c>
      <c r="H35" s="21">
        <v>1000000</v>
      </c>
      <c r="I35" s="21"/>
      <c r="J35" t="s">
        <v>2313</v>
      </c>
    </row>
    <row r="36" spans="1:10">
      <c r="A36" s="18"/>
      <c r="B36" s="18"/>
      <c r="C36" s="18"/>
      <c r="D36" s="18"/>
      <c r="E36" s="18" t="s">
        <v>2325</v>
      </c>
      <c r="F36" s="20" t="s">
        <v>2326</v>
      </c>
      <c r="G36" s="18" t="s">
        <v>2327</v>
      </c>
      <c r="H36" s="21">
        <v>500000</v>
      </c>
      <c r="I36" s="21"/>
      <c r="J36" t="s">
        <v>2313</v>
      </c>
    </row>
    <row r="37" spans="1:10">
      <c r="A37" s="18"/>
      <c r="B37" s="18"/>
      <c r="C37" s="18"/>
      <c r="D37" s="18"/>
      <c r="E37" s="18" t="s">
        <v>2328</v>
      </c>
      <c r="F37" s="20" t="s">
        <v>2329</v>
      </c>
      <c r="G37" s="18" t="s">
        <v>2330</v>
      </c>
      <c r="H37" s="21">
        <v>500000</v>
      </c>
      <c r="I37" s="21"/>
      <c r="J37" t="s">
        <v>2313</v>
      </c>
    </row>
    <row r="38" spans="1:10">
      <c r="A38" s="18"/>
      <c r="B38" s="18"/>
      <c r="C38" s="18"/>
      <c r="D38" s="18"/>
      <c r="E38" s="355" t="s">
        <v>2331</v>
      </c>
      <c r="F38" s="20" t="s">
        <v>2332</v>
      </c>
      <c r="G38" s="18" t="s">
        <v>1589</v>
      </c>
      <c r="H38" s="21">
        <v>1000000</v>
      </c>
      <c r="I38" s="21"/>
      <c r="J38" t="s">
        <v>2333</v>
      </c>
    </row>
    <row r="39" spans="1:10">
      <c r="A39" s="18"/>
      <c r="B39" s="18"/>
      <c r="C39" s="18"/>
      <c r="D39" s="18"/>
      <c r="E39" s="355" t="s">
        <v>2334</v>
      </c>
      <c r="F39" s="20" t="s">
        <v>2335</v>
      </c>
      <c r="G39" s="18" t="s">
        <v>2336</v>
      </c>
      <c r="H39" s="21">
        <v>1000000</v>
      </c>
      <c r="I39" s="21"/>
      <c r="J39" t="s">
        <v>2337</v>
      </c>
    </row>
    <row r="40" spans="1:10">
      <c r="A40" s="18"/>
      <c r="B40" s="18"/>
      <c r="C40" s="18"/>
      <c r="D40" s="18"/>
      <c r="E40" s="41"/>
      <c r="F40" s="20"/>
      <c r="G40" s="18"/>
      <c r="H40" s="21"/>
      <c r="I40" s="21"/>
    </row>
    <row r="41" spans="1:10">
      <c r="A41" s="18"/>
      <c r="B41" s="18"/>
      <c r="C41" s="18"/>
      <c r="D41" s="18"/>
      <c r="E41" s="41"/>
      <c r="F41" s="20"/>
      <c r="G41" s="18"/>
      <c r="H41" s="21"/>
      <c r="I41" s="21"/>
    </row>
    <row r="42" spans="1:10">
      <c r="A42" s="18"/>
      <c r="B42" s="18"/>
      <c r="C42" s="18"/>
      <c r="D42" s="18"/>
      <c r="E42" s="41"/>
      <c r="F42" s="20"/>
      <c r="G42" s="18"/>
      <c r="H42" s="21"/>
      <c r="I42" s="21"/>
    </row>
    <row r="43" spans="1:10">
      <c r="A43" s="18"/>
      <c r="B43" s="18"/>
      <c r="C43" s="18"/>
      <c r="D43" s="18"/>
      <c r="E43" s="41"/>
      <c r="F43" s="20"/>
      <c r="G43" s="18"/>
      <c r="H43" s="21"/>
      <c r="I43" s="21"/>
    </row>
    <row r="44" spans="1:10">
      <c r="A44" s="18"/>
      <c r="B44" s="18"/>
      <c r="C44" s="18"/>
      <c r="D44" s="18"/>
      <c r="E44" s="41"/>
      <c r="F44" s="20"/>
      <c r="G44" s="18"/>
      <c r="H44" s="21"/>
      <c r="I44" s="21"/>
    </row>
    <row r="45" spans="1:10">
      <c r="A45" s="18"/>
      <c r="B45" s="18"/>
      <c r="C45" s="18"/>
      <c r="D45" s="18"/>
      <c r="E45" s="41"/>
      <c r="F45" s="20"/>
      <c r="G45" s="18"/>
      <c r="H45" s="21"/>
      <c r="I45" s="21"/>
    </row>
    <row r="46" spans="1:10">
      <c r="A46" s="18"/>
      <c r="B46" s="18"/>
      <c r="C46" s="18"/>
      <c r="D46" s="18"/>
      <c r="E46" s="41"/>
      <c r="F46" s="20"/>
      <c r="G46" s="18"/>
      <c r="H46" s="21"/>
      <c r="I46" s="21"/>
    </row>
    <row r="47" spans="1:10">
      <c r="A47" s="18"/>
      <c r="B47" s="18"/>
      <c r="C47" s="18"/>
      <c r="D47" s="18"/>
      <c r="E47" s="41"/>
      <c r="F47" s="20"/>
      <c r="G47" s="18"/>
      <c r="H47" s="21"/>
      <c r="I47" s="21"/>
    </row>
    <row r="48" spans="1:10">
      <c r="A48" s="18"/>
      <c r="B48" s="18"/>
      <c r="C48" s="18"/>
      <c r="D48" s="18"/>
      <c r="E48" s="18"/>
      <c r="F48" s="21"/>
      <c r="G48" s="18"/>
      <c r="H48" s="21">
        <f>SUM(H30:H39)</f>
        <v>6500000</v>
      </c>
      <c r="I48" s="21"/>
    </row>
  </sheetData>
  <mergeCells count="11">
    <mergeCell ref="A21:I21"/>
    <mergeCell ref="A28:I28"/>
    <mergeCell ref="A2:I2"/>
    <mergeCell ref="A10:H11"/>
    <mergeCell ref="A12:A13"/>
    <mergeCell ref="B12:B13"/>
    <mergeCell ref="C12:C13"/>
    <mergeCell ref="D12:D13"/>
    <mergeCell ref="E12:E13"/>
    <mergeCell ref="F12:F13"/>
    <mergeCell ref="G12:G13"/>
  </mergeCells>
  <hyperlinks>
    <hyperlink ref="A1" location="Name!A1" display="Name!A1" xr:uid="{8226CEE7-2AFB-4D66-8F8F-C56E3CBF7705}"/>
    <hyperlink ref="A27" location="Name!A1" display="Name!A1" xr:uid="{A2FDE8E7-C375-47E9-82A1-A505EB1CF26E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C2EF-AB7D-40F6-90D7-FDA445C6EE36}">
  <dimension ref="A1:J47"/>
  <sheetViews>
    <sheetView workbookViewId="0">
      <selection activeCell="B1" sqref="B1"/>
    </sheetView>
  </sheetViews>
  <sheetFormatPr defaultColWidth="9.140625" defaultRowHeight="15"/>
  <cols>
    <col min="1" max="1" width="5.140625" style="15" bestFit="1" customWidth="1"/>
    <col min="2" max="3" width="12.85546875" style="15" bestFit="1" customWidth="1"/>
    <col min="4" max="4" width="9.140625" style="15" bestFit="1"/>
    <col min="5" max="5" width="24.85546875" style="15" customWidth="1"/>
    <col min="6" max="6" width="8.5703125" style="15" bestFit="1" customWidth="1"/>
    <col min="7" max="8" width="15.85546875" style="15" customWidth="1"/>
    <col min="9" max="9" width="11.85546875" style="15" customWidth="1"/>
    <col min="10" max="10" width="34.42578125" style="15" customWidth="1"/>
    <col min="11" max="16384" width="9.140625" style="15"/>
  </cols>
  <sheetData>
    <row r="1" spans="1:9">
      <c r="B1" s="411" t="s">
        <v>648</v>
      </c>
    </row>
    <row r="2" spans="1:9" ht="18.75">
      <c r="A2" s="651" t="s">
        <v>479</v>
      </c>
      <c r="B2" s="651"/>
      <c r="C2" s="651"/>
      <c r="D2" s="651"/>
      <c r="E2" s="651"/>
      <c r="F2" s="651"/>
      <c r="G2" s="651"/>
      <c r="H2" s="651"/>
      <c r="I2" s="651"/>
    </row>
    <row r="3" spans="1:9" ht="30" customHeight="1">
      <c r="A3" s="16" t="s">
        <v>11</v>
      </c>
      <c r="B3" s="16" t="s">
        <v>697</v>
      </c>
      <c r="C3" s="16" t="s">
        <v>698</v>
      </c>
      <c r="D3" s="16" t="s">
        <v>12</v>
      </c>
      <c r="E3" s="16" t="s">
        <v>699</v>
      </c>
      <c r="F3" s="16" t="s">
        <v>657</v>
      </c>
      <c r="G3" s="16" t="s">
        <v>1242</v>
      </c>
      <c r="H3" s="16" t="s">
        <v>660</v>
      </c>
      <c r="I3" s="16" t="s">
        <v>27</v>
      </c>
    </row>
    <row r="4" spans="1:9" ht="20.100000000000001" customHeight="1">
      <c r="A4" s="18">
        <v>1</v>
      </c>
      <c r="B4" s="18" t="s">
        <v>2338</v>
      </c>
      <c r="C4" s="18" t="s">
        <v>481</v>
      </c>
      <c r="D4" s="18" t="s">
        <v>2339</v>
      </c>
      <c r="E4" s="21" t="s">
        <v>2340</v>
      </c>
      <c r="F4" s="18"/>
      <c r="G4" s="21" t="s">
        <v>2341</v>
      </c>
      <c r="H4" s="21">
        <v>200000</v>
      </c>
      <c r="I4" s="21"/>
    </row>
    <row r="5" spans="1:9" ht="20.100000000000001" customHeight="1">
      <c r="A5" s="18">
        <v>2</v>
      </c>
      <c r="B5" s="18"/>
      <c r="C5" s="18"/>
      <c r="D5" s="18"/>
      <c r="E5" s="21" t="s">
        <v>2342</v>
      </c>
      <c r="F5" s="18" t="s">
        <v>2343</v>
      </c>
      <c r="G5" s="21" t="s">
        <v>1771</v>
      </c>
      <c r="H5" s="21">
        <v>200000</v>
      </c>
      <c r="I5" s="21"/>
    </row>
    <row r="6" spans="1:9" ht="20.100000000000001" customHeight="1">
      <c r="A6" s="18">
        <v>3</v>
      </c>
      <c r="B6" s="18"/>
      <c r="C6" s="18"/>
      <c r="D6" s="18"/>
      <c r="E6" s="21" t="s">
        <v>2344</v>
      </c>
      <c r="F6" s="164" t="s">
        <v>2345</v>
      </c>
      <c r="G6" s="21" t="s">
        <v>1777</v>
      </c>
      <c r="H6" s="21">
        <v>200000</v>
      </c>
      <c r="I6" s="21"/>
    </row>
    <row r="7" spans="1:9" ht="20.100000000000001" customHeight="1">
      <c r="A7" s="18">
        <v>4</v>
      </c>
      <c r="B7" s="18"/>
      <c r="C7" s="18"/>
      <c r="D7" s="18"/>
      <c r="E7" s="21" t="s">
        <v>2346</v>
      </c>
      <c r="F7" s="164" t="s">
        <v>2345</v>
      </c>
      <c r="G7" s="21" t="s">
        <v>1777</v>
      </c>
      <c r="H7" s="21">
        <v>200000</v>
      </c>
      <c r="I7" s="21"/>
    </row>
    <row r="8" spans="1:9" ht="20.100000000000001" customHeight="1">
      <c r="A8" s="18">
        <v>5</v>
      </c>
      <c r="B8" s="18"/>
      <c r="C8" s="18"/>
      <c r="D8" s="18"/>
      <c r="E8" s="21" t="s">
        <v>2347</v>
      </c>
      <c r="F8" s="164" t="s">
        <v>2348</v>
      </c>
      <c r="G8" s="21" t="s">
        <v>2349</v>
      </c>
      <c r="H8" s="21">
        <v>200000</v>
      </c>
      <c r="I8" s="21"/>
    </row>
    <row r="9" spans="1:9" ht="20.100000000000001" customHeight="1">
      <c r="A9" s="18">
        <v>6</v>
      </c>
      <c r="B9" s="18"/>
      <c r="C9" s="18"/>
      <c r="D9" s="18"/>
      <c r="E9" s="21" t="s">
        <v>2350</v>
      </c>
      <c r="F9" s="164" t="s">
        <v>2351</v>
      </c>
      <c r="G9" s="21" t="s">
        <v>2352</v>
      </c>
      <c r="H9" s="21">
        <v>200000</v>
      </c>
      <c r="I9" s="21"/>
    </row>
    <row r="10" spans="1:9" ht="20.100000000000001" customHeight="1">
      <c r="A10" s="18">
        <v>7</v>
      </c>
      <c r="B10" s="18"/>
      <c r="C10" s="18"/>
      <c r="D10" s="18"/>
      <c r="E10" s="21" t="s">
        <v>2353</v>
      </c>
      <c r="F10" s="164" t="s">
        <v>2351</v>
      </c>
      <c r="G10" s="21" t="s">
        <v>2352</v>
      </c>
      <c r="H10" s="21">
        <v>200000</v>
      </c>
      <c r="I10" s="21"/>
    </row>
    <row r="11" spans="1:9" ht="20.100000000000001" customHeight="1">
      <c r="A11" s="18">
        <v>8</v>
      </c>
      <c r="B11" s="18"/>
      <c r="C11" s="18"/>
      <c r="D11" s="18"/>
      <c r="E11" s="21" t="s">
        <v>2354</v>
      </c>
      <c r="F11" s="164" t="s">
        <v>2355</v>
      </c>
      <c r="G11" s="21" t="s">
        <v>2356</v>
      </c>
      <c r="H11" s="21">
        <v>200000</v>
      </c>
      <c r="I11" s="21"/>
    </row>
    <row r="12" spans="1:9" ht="20.100000000000001" customHeight="1">
      <c r="A12" s="18">
        <v>9</v>
      </c>
      <c r="B12" s="18"/>
      <c r="C12" s="18"/>
      <c r="D12" s="18"/>
      <c r="E12" s="21" t="s">
        <v>2357</v>
      </c>
      <c r="F12" s="164" t="s">
        <v>2358</v>
      </c>
      <c r="G12" s="21" t="s">
        <v>2359</v>
      </c>
      <c r="H12" s="21">
        <v>200000</v>
      </c>
      <c r="I12" s="21"/>
    </row>
    <row r="13" spans="1:9" ht="20.100000000000001" customHeight="1">
      <c r="A13" s="18">
        <v>10</v>
      </c>
      <c r="B13" s="18"/>
      <c r="C13" s="18"/>
      <c r="D13" s="18"/>
      <c r="E13" s="21" t="s">
        <v>2360</v>
      </c>
      <c r="F13" s="164" t="s">
        <v>2358</v>
      </c>
      <c r="G13" s="21" t="s">
        <v>2359</v>
      </c>
      <c r="H13" s="21">
        <v>200000</v>
      </c>
      <c r="I13" s="21"/>
    </row>
    <row r="14" spans="1:9" ht="20.100000000000001" customHeight="1">
      <c r="A14" s="18">
        <v>11</v>
      </c>
      <c r="B14" s="18"/>
      <c r="C14" s="18"/>
      <c r="D14" s="18"/>
      <c r="E14" s="21" t="s">
        <v>2361</v>
      </c>
      <c r="F14" s="164" t="s">
        <v>2362</v>
      </c>
      <c r="G14" s="21" t="s">
        <v>2363</v>
      </c>
      <c r="H14" s="21">
        <v>200000</v>
      </c>
      <c r="I14" s="21"/>
    </row>
    <row r="15" spans="1:9" ht="20.100000000000001" customHeight="1">
      <c r="A15" s="18">
        <v>12</v>
      </c>
      <c r="B15" s="18"/>
      <c r="C15" s="18"/>
      <c r="D15" s="18"/>
      <c r="E15" s="21" t="s">
        <v>2364</v>
      </c>
      <c r="F15" s="164" t="s">
        <v>2362</v>
      </c>
      <c r="G15" s="21" t="s">
        <v>2363</v>
      </c>
      <c r="H15" s="21">
        <v>200000</v>
      </c>
      <c r="I15" s="21"/>
    </row>
    <row r="16" spans="1:9" ht="20.100000000000001" customHeight="1">
      <c r="A16" s="18">
        <v>13</v>
      </c>
      <c r="B16" s="18"/>
      <c r="C16" s="18"/>
      <c r="D16" s="18"/>
      <c r="E16" s="21" t="s">
        <v>2365</v>
      </c>
      <c r="F16" s="164" t="s">
        <v>2366</v>
      </c>
      <c r="G16" s="21" t="s">
        <v>2367</v>
      </c>
      <c r="H16" s="21">
        <v>200000</v>
      </c>
      <c r="I16" s="21"/>
    </row>
    <row r="17" spans="1:9" ht="20.100000000000001" customHeight="1">
      <c r="A17" s="18">
        <v>14</v>
      </c>
      <c r="B17" s="18"/>
      <c r="C17" s="18"/>
      <c r="D17" s="18"/>
      <c r="E17" s="21" t="s">
        <v>2368</v>
      </c>
      <c r="F17" s="164" t="s">
        <v>2369</v>
      </c>
      <c r="G17" s="21" t="s">
        <v>2370</v>
      </c>
      <c r="H17" s="21">
        <v>200000</v>
      </c>
      <c r="I17" s="21"/>
    </row>
    <row r="18" spans="1:9" ht="20.100000000000001" customHeight="1">
      <c r="A18" s="18">
        <v>15</v>
      </c>
      <c r="B18" s="18"/>
      <c r="C18" s="18"/>
      <c r="D18" s="18"/>
      <c r="E18" s="21" t="s">
        <v>2371</v>
      </c>
      <c r="F18" s="164" t="s">
        <v>2369</v>
      </c>
      <c r="G18" s="21" t="s">
        <v>2370</v>
      </c>
      <c r="H18" s="21">
        <v>200000</v>
      </c>
      <c r="I18" s="21"/>
    </row>
    <row r="19" spans="1:9" ht="20.100000000000001" customHeight="1">
      <c r="A19" s="18">
        <v>16</v>
      </c>
      <c r="B19" s="18"/>
      <c r="C19" s="18"/>
      <c r="D19" s="18"/>
      <c r="E19" s="21" t="s">
        <v>2372</v>
      </c>
      <c r="F19" s="164" t="s">
        <v>1352</v>
      </c>
      <c r="G19" s="21" t="s">
        <v>2373</v>
      </c>
      <c r="H19" s="21">
        <v>200000</v>
      </c>
      <c r="I19" s="21"/>
    </row>
    <row r="20" spans="1:9" ht="20.100000000000001" customHeight="1">
      <c r="A20" s="18">
        <v>17</v>
      </c>
      <c r="B20" s="18"/>
      <c r="C20" s="18"/>
      <c r="D20" s="18"/>
      <c r="E20" s="21" t="s">
        <v>2374</v>
      </c>
      <c r="F20" s="164" t="s">
        <v>1352</v>
      </c>
      <c r="G20" s="21" t="s">
        <v>2373</v>
      </c>
      <c r="H20" s="21">
        <v>200000</v>
      </c>
      <c r="I20" s="21"/>
    </row>
    <row r="21" spans="1:9" ht="20.100000000000001" customHeight="1">
      <c r="A21" s="18">
        <v>18</v>
      </c>
      <c r="B21" s="18"/>
      <c r="C21" s="18"/>
      <c r="D21" s="18"/>
      <c r="E21" s="21" t="s">
        <v>2375</v>
      </c>
      <c r="F21" s="164" t="s">
        <v>2376</v>
      </c>
      <c r="G21" s="21" t="s">
        <v>2377</v>
      </c>
      <c r="H21" s="21">
        <v>200000</v>
      </c>
      <c r="I21" s="21"/>
    </row>
    <row r="22" spans="1:9" ht="20.100000000000001" customHeight="1">
      <c r="A22" s="18">
        <v>19</v>
      </c>
      <c r="B22" s="18"/>
      <c r="C22" s="18"/>
      <c r="D22" s="18"/>
      <c r="E22" s="21" t="s">
        <v>2378</v>
      </c>
      <c r="F22" s="164" t="s">
        <v>2376</v>
      </c>
      <c r="G22" s="21" t="s">
        <v>2377</v>
      </c>
      <c r="H22" s="21">
        <v>200000</v>
      </c>
      <c r="I22" s="21"/>
    </row>
    <row r="23" spans="1:9" ht="20.100000000000001" customHeight="1">
      <c r="A23" s="18">
        <v>20</v>
      </c>
      <c r="B23" s="18"/>
      <c r="C23" s="18"/>
      <c r="D23" s="18"/>
      <c r="E23" s="21" t="s">
        <v>2379</v>
      </c>
      <c r="F23" s="164" t="s">
        <v>2380</v>
      </c>
      <c r="G23" s="21" t="s">
        <v>2381</v>
      </c>
      <c r="H23" s="21">
        <v>200000</v>
      </c>
      <c r="I23" s="21"/>
    </row>
    <row r="24" spans="1:9" ht="20.100000000000001" customHeight="1">
      <c r="A24" s="18">
        <v>21</v>
      </c>
      <c r="B24" s="18"/>
      <c r="C24" s="18"/>
      <c r="D24" s="18"/>
      <c r="E24" s="21" t="s">
        <v>2382</v>
      </c>
      <c r="F24" s="164" t="s">
        <v>2383</v>
      </c>
      <c r="G24" s="21" t="s">
        <v>2308</v>
      </c>
      <c r="H24" s="21">
        <v>200000</v>
      </c>
      <c r="I24" s="21"/>
    </row>
    <row r="25" spans="1:9" ht="20.100000000000001" customHeight="1">
      <c r="A25" s="18">
        <v>22</v>
      </c>
      <c r="B25" s="18"/>
      <c r="C25" s="18"/>
      <c r="D25" s="18"/>
      <c r="E25" s="21" t="s">
        <v>2384</v>
      </c>
      <c r="F25" s="164" t="s">
        <v>2385</v>
      </c>
      <c r="G25" s="21" t="s">
        <v>2308</v>
      </c>
      <c r="H25" s="21">
        <v>200000</v>
      </c>
      <c r="I25" s="21"/>
    </row>
    <row r="26" spans="1:9" ht="20.100000000000001" customHeight="1">
      <c r="A26" s="18">
        <v>23</v>
      </c>
      <c r="B26" s="18"/>
      <c r="C26" s="18"/>
      <c r="D26" s="18"/>
      <c r="E26" s="21" t="s">
        <v>2386</v>
      </c>
      <c r="F26" s="164" t="s">
        <v>2387</v>
      </c>
      <c r="G26" s="21" t="s">
        <v>2388</v>
      </c>
      <c r="H26" s="21">
        <v>200000</v>
      </c>
      <c r="I26" s="21"/>
    </row>
    <row r="27" spans="1:9" ht="20.100000000000001" customHeight="1">
      <c r="A27" s="18">
        <v>24</v>
      </c>
      <c r="B27" s="18"/>
      <c r="C27" s="18"/>
      <c r="D27" s="18"/>
      <c r="E27" s="21" t="s">
        <v>2389</v>
      </c>
      <c r="F27" s="164" t="s">
        <v>2387</v>
      </c>
      <c r="G27" s="21" t="s">
        <v>2388</v>
      </c>
      <c r="H27" s="21">
        <v>200000</v>
      </c>
      <c r="I27" s="21"/>
    </row>
    <row r="28" spans="1:9" ht="20.100000000000001" customHeight="1">
      <c r="A28" s="18">
        <v>25</v>
      </c>
      <c r="B28" s="18"/>
      <c r="C28" s="18"/>
      <c r="D28" s="18"/>
      <c r="E28" s="21" t="s">
        <v>2390</v>
      </c>
      <c r="F28" s="164" t="s">
        <v>2391</v>
      </c>
      <c r="G28" s="21" t="s">
        <v>2392</v>
      </c>
      <c r="H28" s="21">
        <v>400000</v>
      </c>
      <c r="I28" s="21"/>
    </row>
    <row r="29" spans="1:9" ht="20.100000000000001" customHeight="1">
      <c r="A29" s="18">
        <v>26</v>
      </c>
      <c r="B29" s="18"/>
      <c r="C29" s="18"/>
      <c r="D29" s="18"/>
      <c r="E29" s="21" t="s">
        <v>2393</v>
      </c>
      <c r="F29" s="164" t="s">
        <v>2394</v>
      </c>
      <c r="G29" s="21" t="s">
        <v>2395</v>
      </c>
      <c r="H29" s="21">
        <v>200000</v>
      </c>
      <c r="I29" s="21"/>
    </row>
    <row r="30" spans="1:9" ht="20.100000000000001" customHeight="1">
      <c r="A30" s="18"/>
      <c r="B30" s="18"/>
      <c r="C30" s="18"/>
      <c r="D30" s="18"/>
      <c r="E30" s="21" t="s">
        <v>2396</v>
      </c>
      <c r="F30" s="164" t="s">
        <v>2397</v>
      </c>
      <c r="G30" s="21" t="s">
        <v>2398</v>
      </c>
      <c r="H30" s="21">
        <v>200000</v>
      </c>
      <c r="I30" s="21"/>
    </row>
    <row r="31" spans="1:9" ht="20.100000000000001" customHeight="1">
      <c r="A31" s="18"/>
      <c r="B31" s="18"/>
      <c r="C31" s="18"/>
      <c r="D31" s="18"/>
      <c r="E31" s="21" t="s">
        <v>2399</v>
      </c>
      <c r="F31" s="164" t="s">
        <v>2400</v>
      </c>
      <c r="G31" s="21" t="s">
        <v>2401</v>
      </c>
      <c r="H31" s="21">
        <v>400000</v>
      </c>
      <c r="I31" s="21"/>
    </row>
    <row r="32" spans="1:9" ht="20.100000000000001" customHeight="1">
      <c r="A32" s="18"/>
      <c r="B32" s="18"/>
      <c r="C32" s="18"/>
      <c r="D32" s="18"/>
      <c r="E32" s="21" t="s">
        <v>2402</v>
      </c>
      <c r="F32" s="164" t="s">
        <v>2403</v>
      </c>
      <c r="G32" s="21" t="s">
        <v>2404</v>
      </c>
      <c r="H32" s="21">
        <v>400000</v>
      </c>
      <c r="I32" s="21"/>
    </row>
    <row r="33" spans="1:10" ht="20.100000000000001" customHeight="1">
      <c r="A33" s="18"/>
      <c r="B33" s="18"/>
      <c r="C33" s="18"/>
      <c r="D33" s="18"/>
      <c r="E33" s="21" t="s">
        <v>2405</v>
      </c>
      <c r="F33" s="164" t="s">
        <v>2406</v>
      </c>
      <c r="G33" s="21" t="s">
        <v>2407</v>
      </c>
      <c r="H33" s="21">
        <v>600000</v>
      </c>
      <c r="I33" s="21"/>
    </row>
    <row r="34" spans="1:10" ht="20.100000000000001" customHeight="1">
      <c r="A34" s="18"/>
      <c r="B34" s="18"/>
      <c r="C34" s="18"/>
      <c r="D34" s="18"/>
      <c r="E34" s="21" t="s">
        <v>2408</v>
      </c>
      <c r="F34" s="164" t="s">
        <v>2409</v>
      </c>
      <c r="G34" s="21" t="s">
        <v>2410</v>
      </c>
      <c r="H34" s="21">
        <v>600000</v>
      </c>
      <c r="I34" s="21"/>
    </row>
    <row r="35" spans="1:10" ht="20.100000000000001" customHeight="1">
      <c r="A35" s="18"/>
      <c r="B35" s="18"/>
      <c r="C35" s="18"/>
      <c r="D35" s="18"/>
      <c r="E35" s="21" t="s">
        <v>2411</v>
      </c>
      <c r="F35" s="164" t="s">
        <v>2412</v>
      </c>
      <c r="G35" s="21" t="s">
        <v>2413</v>
      </c>
      <c r="H35" s="21">
        <v>450000</v>
      </c>
      <c r="I35" s="21"/>
      <c r="J35" s="15" t="s">
        <v>2414</v>
      </c>
    </row>
    <row r="36" spans="1:10" ht="20.100000000000001" customHeight="1">
      <c r="A36" s="18"/>
      <c r="B36" s="18"/>
      <c r="C36" s="18"/>
      <c r="D36" s="18"/>
      <c r="E36" s="21" t="s">
        <v>2411</v>
      </c>
      <c r="F36" s="164" t="s">
        <v>2415</v>
      </c>
      <c r="G36" s="21" t="s">
        <v>2416</v>
      </c>
      <c r="H36" s="21">
        <v>150000</v>
      </c>
      <c r="I36" s="21"/>
      <c r="J36" s="706" t="s">
        <v>2417</v>
      </c>
    </row>
    <row r="37" spans="1:10" ht="20.100000000000001" customHeight="1">
      <c r="A37" s="18"/>
      <c r="B37" s="18"/>
      <c r="C37" s="18"/>
      <c r="D37" s="18"/>
      <c r="E37" s="21" t="s">
        <v>2418</v>
      </c>
      <c r="F37" s="164" t="s">
        <v>2415</v>
      </c>
      <c r="G37" s="21" t="s">
        <v>2416</v>
      </c>
      <c r="H37" s="21">
        <v>1000000</v>
      </c>
      <c r="I37" s="21"/>
      <c r="J37" s="706"/>
    </row>
    <row r="38" spans="1:10" ht="20.100000000000001" customHeight="1">
      <c r="A38" s="18"/>
      <c r="B38" s="18"/>
      <c r="C38" s="18"/>
      <c r="D38" s="18"/>
      <c r="E38" s="21" t="s">
        <v>1006</v>
      </c>
      <c r="F38" s="164" t="s">
        <v>2415</v>
      </c>
      <c r="G38" s="21" t="s">
        <v>2416</v>
      </c>
      <c r="H38" s="21">
        <v>-100000</v>
      </c>
      <c r="I38" s="21"/>
      <c r="J38" s="706"/>
    </row>
    <row r="39" spans="1:10" ht="20.100000000000001" customHeight="1">
      <c r="A39" s="18"/>
      <c r="B39" s="18"/>
      <c r="C39" s="18"/>
      <c r="D39" s="18"/>
      <c r="E39" s="21" t="s">
        <v>2419</v>
      </c>
      <c r="F39" s="164" t="s">
        <v>2415</v>
      </c>
      <c r="G39" s="21" t="s">
        <v>2416</v>
      </c>
      <c r="H39" s="21">
        <v>-640000</v>
      </c>
      <c r="I39" s="21"/>
      <c r="J39" s="706"/>
    </row>
    <row r="40" spans="1:10" ht="20.100000000000001" customHeight="1">
      <c r="A40" s="18"/>
      <c r="B40" s="18"/>
      <c r="C40" s="18"/>
      <c r="D40" s="18"/>
      <c r="E40" s="21" t="s">
        <v>2420</v>
      </c>
      <c r="F40" s="164" t="s">
        <v>2421</v>
      </c>
      <c r="G40" s="21" t="s">
        <v>2422</v>
      </c>
      <c r="H40" s="21">
        <v>600000</v>
      </c>
      <c r="I40" s="21"/>
      <c r="J40" s="15" t="s">
        <v>2423</v>
      </c>
    </row>
    <row r="41" spans="1:10" ht="20.100000000000001" customHeight="1">
      <c r="A41" s="18"/>
      <c r="B41" s="18"/>
      <c r="C41" s="18"/>
      <c r="D41" s="18"/>
      <c r="E41" s="21" t="s">
        <v>2424</v>
      </c>
      <c r="F41" s="164" t="s">
        <v>2425</v>
      </c>
      <c r="G41" s="21" t="s">
        <v>2426</v>
      </c>
      <c r="H41" s="21">
        <v>1200000</v>
      </c>
      <c r="I41" s="21"/>
    </row>
    <row r="42" spans="1:10" ht="20.100000000000001" customHeight="1">
      <c r="A42" s="18"/>
      <c r="B42" s="18"/>
      <c r="C42" s="18"/>
      <c r="D42" s="18"/>
      <c r="E42" s="21" t="s">
        <v>1006</v>
      </c>
      <c r="F42" s="164" t="s">
        <v>2425</v>
      </c>
      <c r="G42" s="21" t="s">
        <v>2426</v>
      </c>
      <c r="H42" s="21">
        <v>-100000</v>
      </c>
      <c r="I42" s="21"/>
    </row>
    <row r="43" spans="1:10" ht="20.100000000000001" customHeight="1">
      <c r="A43" s="18"/>
      <c r="B43" s="18"/>
      <c r="C43" s="18"/>
      <c r="D43" s="18"/>
      <c r="E43" s="21" t="s">
        <v>2427</v>
      </c>
      <c r="F43" s="164" t="s">
        <v>2428</v>
      </c>
      <c r="G43" s="21" t="s">
        <v>2429</v>
      </c>
      <c r="H43" s="21">
        <v>800000</v>
      </c>
      <c r="I43" s="21"/>
    </row>
    <row r="44" spans="1:10" ht="20.100000000000001" customHeight="1">
      <c r="A44" s="18"/>
      <c r="B44" s="18"/>
      <c r="C44" s="18"/>
      <c r="D44" s="18"/>
      <c r="E44" s="21" t="s">
        <v>2430</v>
      </c>
      <c r="F44" s="164" t="s">
        <v>2431</v>
      </c>
      <c r="G44" s="21" t="s">
        <v>2432</v>
      </c>
      <c r="H44" s="21">
        <v>1000000</v>
      </c>
      <c r="I44" s="21"/>
    </row>
    <row r="45" spans="1:10" ht="20.100000000000001" customHeight="1">
      <c r="A45" s="18"/>
      <c r="B45" s="18"/>
      <c r="C45" s="18"/>
      <c r="D45" s="18"/>
      <c r="E45" s="21"/>
      <c r="F45" s="164"/>
      <c r="G45" s="21"/>
      <c r="H45" s="21"/>
      <c r="I45" s="21"/>
    </row>
    <row r="46" spans="1:10" ht="20.100000000000001" customHeight="1">
      <c r="A46" s="18"/>
      <c r="B46" s="18"/>
      <c r="C46" s="18"/>
      <c r="D46" s="18"/>
      <c r="E46" s="21"/>
      <c r="F46" s="164"/>
      <c r="G46" s="21"/>
      <c r="H46" s="21"/>
      <c r="I46" s="21"/>
    </row>
    <row r="47" spans="1:10" ht="20.100000000000001" customHeight="1">
      <c r="A47" s="18"/>
      <c r="B47" s="18"/>
      <c r="C47" s="18"/>
      <c r="D47" s="18"/>
      <c r="E47" s="21"/>
      <c r="F47" s="164"/>
      <c r="G47" s="21"/>
      <c r="H47" s="21">
        <f>SUM(H4:H44)</f>
        <v>11960000</v>
      </c>
      <c r="I47" s="21"/>
    </row>
  </sheetData>
  <mergeCells count="2">
    <mergeCell ref="A2:I2"/>
    <mergeCell ref="J36:J39"/>
  </mergeCells>
  <hyperlinks>
    <hyperlink ref="B1" location="Name!A1" display="Name!A1" xr:uid="{8CBE3421-1B74-492B-9C08-DAECE0D03CEF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7E02-AE7E-404F-9358-2F2A11743B3F}">
  <dimension ref="A1:O42"/>
  <sheetViews>
    <sheetView workbookViewId="0"/>
  </sheetViews>
  <sheetFormatPr defaultRowHeight="15.75"/>
  <cols>
    <col min="3" max="3" width="26.85546875" customWidth="1"/>
    <col min="5" max="5" width="22.7109375" customWidth="1"/>
    <col min="6" max="6" width="13.7109375" customWidth="1"/>
    <col min="7" max="7" width="21.28515625" customWidth="1"/>
    <col min="8" max="8" width="13.140625" customWidth="1"/>
    <col min="13" max="13" width="15.7109375" style="444" customWidth="1"/>
    <col min="14" max="14" width="33.42578125" style="444" customWidth="1"/>
    <col min="15" max="15" width="18.85546875" style="447" customWidth="1"/>
  </cols>
  <sheetData>
    <row r="1" spans="1:10">
      <c r="A1" s="410" t="s">
        <v>648</v>
      </c>
    </row>
    <row r="2" spans="1:10" ht="18.75">
      <c r="A2" s="651" t="s">
        <v>2433</v>
      </c>
      <c r="B2" s="651"/>
      <c r="C2" s="651"/>
      <c r="D2" s="651"/>
      <c r="E2" s="651"/>
      <c r="F2" s="651"/>
      <c r="G2" s="651"/>
      <c r="H2" s="651"/>
      <c r="I2" s="651"/>
      <c r="J2" s="651"/>
    </row>
    <row r="3" spans="1:10" ht="28.5">
      <c r="A3" s="16" t="s">
        <v>818</v>
      </c>
      <c r="B3" s="17" t="s">
        <v>697</v>
      </c>
      <c r="C3" s="17" t="s">
        <v>15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1176</v>
      </c>
      <c r="J3" s="16" t="s">
        <v>27</v>
      </c>
    </row>
    <row r="4" spans="1:10" ht="23.25" customHeight="1">
      <c r="A4" s="18">
        <v>1</v>
      </c>
      <c r="B4" s="18" t="s">
        <v>130</v>
      </c>
      <c r="C4" s="18" t="s">
        <v>463</v>
      </c>
      <c r="D4" s="18" t="s">
        <v>2434</v>
      </c>
      <c r="E4" s="21" t="s">
        <v>2435</v>
      </c>
      <c r="F4" s="20" t="s">
        <v>2436</v>
      </c>
      <c r="G4" s="21" t="s">
        <v>2437</v>
      </c>
      <c r="H4" s="21">
        <v>600000</v>
      </c>
      <c r="I4" s="21"/>
      <c r="J4" s="21"/>
    </row>
    <row r="5" spans="1:10" ht="23.25" customHeight="1">
      <c r="A5" s="18"/>
      <c r="B5" s="18"/>
      <c r="C5" s="18"/>
      <c r="D5" s="18"/>
      <c r="E5" s="21" t="s">
        <v>1357</v>
      </c>
      <c r="F5" s="20" t="s">
        <v>2436</v>
      </c>
      <c r="G5" s="21" t="s">
        <v>2437</v>
      </c>
      <c r="H5" s="21">
        <v>600000</v>
      </c>
      <c r="I5" s="21"/>
      <c r="J5" s="21"/>
    </row>
    <row r="6" spans="1:10" ht="23.25" customHeight="1">
      <c r="A6" s="18"/>
      <c r="B6" s="18"/>
      <c r="C6" s="18"/>
      <c r="D6" s="18"/>
      <c r="E6" s="98" t="s">
        <v>2438</v>
      </c>
      <c r="F6" s="20" t="s">
        <v>2439</v>
      </c>
      <c r="G6" s="21" t="s">
        <v>2440</v>
      </c>
      <c r="H6" s="21">
        <v>1800000</v>
      </c>
      <c r="I6" s="21"/>
      <c r="J6" s="21"/>
    </row>
    <row r="7" spans="1:10" ht="23.25" customHeight="1">
      <c r="A7" s="18"/>
      <c r="B7" s="18"/>
      <c r="C7" s="18"/>
      <c r="D7" s="18"/>
      <c r="E7" s="98"/>
      <c r="F7" s="20"/>
      <c r="G7" s="21"/>
      <c r="H7" s="21"/>
      <c r="I7" s="21"/>
      <c r="J7" s="21"/>
    </row>
    <row r="8" spans="1:10" ht="23.25" customHeight="1">
      <c r="A8" s="18"/>
      <c r="B8" s="18"/>
      <c r="C8" s="18"/>
      <c r="D8" s="18"/>
      <c r="E8" s="21"/>
      <c r="F8" s="21"/>
      <c r="G8" s="21"/>
      <c r="H8" s="50">
        <f>SUM(H4:H7)</f>
        <v>3000000</v>
      </c>
      <c r="I8" s="50"/>
      <c r="J8" s="21"/>
    </row>
    <row r="9" spans="1:10" ht="23.25" customHeight="1"/>
    <row r="14" spans="1:10" ht="18.75">
      <c r="A14" s="651" t="s">
        <v>2441</v>
      </c>
      <c r="B14" s="651"/>
      <c r="C14" s="651"/>
      <c r="D14" s="651"/>
      <c r="E14" s="651"/>
      <c r="F14" s="651"/>
      <c r="G14" s="651"/>
      <c r="H14" s="651"/>
      <c r="I14" s="651"/>
      <c r="J14" s="651"/>
    </row>
    <row r="15" spans="1:10" ht="28.5">
      <c r="A15" s="16" t="s">
        <v>818</v>
      </c>
      <c r="B15" s="17" t="s">
        <v>697</v>
      </c>
      <c r="C15" s="17" t="s">
        <v>2442</v>
      </c>
      <c r="D15" s="17" t="s">
        <v>12</v>
      </c>
      <c r="E15" s="16" t="s">
        <v>699</v>
      </c>
      <c r="F15" s="16" t="s">
        <v>657</v>
      </c>
      <c r="G15" s="17" t="s">
        <v>700</v>
      </c>
      <c r="H15" s="16" t="s">
        <v>660</v>
      </c>
      <c r="I15" s="16" t="s">
        <v>1176</v>
      </c>
      <c r="J15" s="16" t="s">
        <v>27</v>
      </c>
    </row>
    <row r="16" spans="1:10">
      <c r="A16" s="18">
        <v>1</v>
      </c>
      <c r="B16" s="18" t="s">
        <v>130</v>
      </c>
      <c r="C16" s="18" t="s">
        <v>463</v>
      </c>
      <c r="D16" s="18" t="s">
        <v>2434</v>
      </c>
      <c r="E16" s="21" t="s">
        <v>2435</v>
      </c>
      <c r="F16" s="20" t="s">
        <v>2443</v>
      </c>
      <c r="G16" s="21" t="s">
        <v>2444</v>
      </c>
      <c r="H16" s="21">
        <v>800000</v>
      </c>
      <c r="I16" s="21"/>
      <c r="J16" s="21"/>
    </row>
    <row r="17" spans="1:15">
      <c r="A17" s="18"/>
      <c r="B17" s="18"/>
      <c r="C17" s="18"/>
      <c r="D17" s="18"/>
      <c r="E17" s="21" t="s">
        <v>2445</v>
      </c>
      <c r="F17" s="20" t="s">
        <v>2443</v>
      </c>
      <c r="G17" s="21" t="s">
        <v>2444</v>
      </c>
      <c r="H17" s="21">
        <v>800000</v>
      </c>
      <c r="I17" s="21"/>
      <c r="J17" s="21"/>
    </row>
    <row r="18" spans="1:15">
      <c r="A18" s="18"/>
      <c r="B18" s="18"/>
      <c r="C18" s="18"/>
      <c r="D18" s="18"/>
      <c r="E18" s="352" t="s">
        <v>2446</v>
      </c>
      <c r="F18" s="20" t="s">
        <v>2447</v>
      </c>
      <c r="G18" s="21" t="s">
        <v>2448</v>
      </c>
      <c r="H18" s="21">
        <v>800000</v>
      </c>
      <c r="I18" s="21"/>
      <c r="J18" s="21"/>
    </row>
    <row r="19" spans="1:15">
      <c r="A19" s="18"/>
      <c r="B19" s="18"/>
      <c r="C19" s="18"/>
      <c r="D19" s="18"/>
      <c r="E19" s="352" t="s">
        <v>2449</v>
      </c>
      <c r="F19" s="20" t="s">
        <v>2450</v>
      </c>
      <c r="G19" s="21" t="s">
        <v>2451</v>
      </c>
      <c r="H19" s="21">
        <v>800000</v>
      </c>
      <c r="I19" s="21"/>
      <c r="J19" s="21"/>
    </row>
    <row r="20" spans="1:15">
      <c r="A20" s="18"/>
      <c r="B20" s="18"/>
      <c r="C20" s="18"/>
      <c r="D20" s="18"/>
      <c r="E20" s="98" t="s">
        <v>2452</v>
      </c>
      <c r="F20" s="20" t="s">
        <v>2453</v>
      </c>
      <c r="G20" s="21" t="s">
        <v>2454</v>
      </c>
      <c r="H20" s="21">
        <v>800000</v>
      </c>
      <c r="I20" s="21"/>
      <c r="J20" s="21" t="s">
        <v>2455</v>
      </c>
    </row>
    <row r="21" spans="1:15">
      <c r="A21" s="18"/>
      <c r="B21" s="18"/>
      <c r="C21" s="18"/>
      <c r="D21" s="18"/>
      <c r="E21" s="98" t="s">
        <v>924</v>
      </c>
      <c r="F21" s="20" t="s">
        <v>2456</v>
      </c>
      <c r="G21" s="21" t="s">
        <v>2457</v>
      </c>
      <c r="H21" s="21">
        <v>800000</v>
      </c>
      <c r="I21" s="21"/>
      <c r="J21" s="21" t="s">
        <v>2455</v>
      </c>
    </row>
    <row r="22" spans="1:15">
      <c r="A22" s="18"/>
      <c r="B22" s="18"/>
      <c r="C22" s="18"/>
      <c r="D22" s="18"/>
      <c r="E22" s="98" t="s">
        <v>684</v>
      </c>
      <c r="F22" s="20"/>
      <c r="G22" s="21"/>
      <c r="H22" s="21">
        <v>-800000</v>
      </c>
      <c r="I22" s="42"/>
      <c r="J22" s="42" t="s">
        <v>2458</v>
      </c>
      <c r="K22" s="44"/>
    </row>
    <row r="23" spans="1:15">
      <c r="A23" s="18"/>
      <c r="B23" s="18"/>
      <c r="C23" s="18"/>
      <c r="D23" s="18"/>
      <c r="E23" s="98" t="s">
        <v>805</v>
      </c>
      <c r="F23" s="20"/>
      <c r="G23" s="21"/>
      <c r="H23" s="21">
        <v>-330000</v>
      </c>
      <c r="I23" s="42"/>
      <c r="J23" s="42"/>
      <c r="K23" s="44"/>
    </row>
    <row r="24" spans="1:15">
      <c r="A24" s="18"/>
      <c r="B24" s="18"/>
      <c r="C24" s="18"/>
      <c r="D24" s="18"/>
      <c r="E24" s="98" t="s">
        <v>2459</v>
      </c>
      <c r="F24" s="20"/>
      <c r="G24" s="21"/>
      <c r="H24" s="21">
        <v>70000</v>
      </c>
      <c r="I24" s="42"/>
      <c r="J24" s="42"/>
      <c r="K24" s="44"/>
    </row>
    <row r="25" spans="1:15">
      <c r="A25" s="18"/>
      <c r="B25" s="18"/>
      <c r="C25" s="18"/>
      <c r="D25" s="18"/>
      <c r="E25" s="98"/>
      <c r="F25" s="20"/>
      <c r="G25" s="21"/>
      <c r="H25" s="21"/>
      <c r="I25" s="21"/>
      <c r="J25" s="21"/>
    </row>
    <row r="26" spans="1:15">
      <c r="A26" s="18"/>
      <c r="B26" s="18"/>
      <c r="C26" s="18"/>
      <c r="D26" s="18"/>
      <c r="E26" s="21"/>
      <c r="F26" s="21"/>
      <c r="G26" s="21"/>
      <c r="H26" s="50">
        <f>SUM(H16:H25)</f>
        <v>3740000</v>
      </c>
      <c r="I26" s="50"/>
      <c r="J26" s="21"/>
    </row>
    <row r="30" spans="1:15" ht="18.75">
      <c r="A30" s="651" t="s">
        <v>462</v>
      </c>
      <c r="B30" s="651"/>
      <c r="C30" s="651"/>
      <c r="D30" s="651"/>
      <c r="E30" s="651"/>
      <c r="F30" s="651"/>
      <c r="G30" s="651"/>
      <c r="H30" s="651"/>
      <c r="I30" s="651"/>
      <c r="J30" s="651"/>
      <c r="N30" s="561" t="s">
        <v>649</v>
      </c>
    </row>
    <row r="31" spans="1:15" ht="28.5">
      <c r="A31" s="16" t="s">
        <v>818</v>
      </c>
      <c r="B31" s="17" t="s">
        <v>697</v>
      </c>
      <c r="C31" s="17" t="s">
        <v>2442</v>
      </c>
      <c r="D31" s="17" t="s">
        <v>12</v>
      </c>
      <c r="E31" s="16" t="s">
        <v>699</v>
      </c>
      <c r="F31" s="16" t="s">
        <v>657</v>
      </c>
      <c r="G31" s="17" t="s">
        <v>700</v>
      </c>
      <c r="H31" s="16" t="s">
        <v>660</v>
      </c>
      <c r="I31" s="16" t="s">
        <v>1176</v>
      </c>
      <c r="J31" s="16" t="s">
        <v>27</v>
      </c>
      <c r="M31" s="569" t="s">
        <v>807</v>
      </c>
      <c r="N31" s="569" t="s">
        <v>651</v>
      </c>
      <c r="O31" s="569" t="s">
        <v>652</v>
      </c>
    </row>
    <row r="32" spans="1:15" ht="19.899999999999999" customHeight="1">
      <c r="A32" s="18">
        <v>1</v>
      </c>
      <c r="B32" s="18" t="s">
        <v>130</v>
      </c>
      <c r="C32" s="18" t="s">
        <v>463</v>
      </c>
      <c r="D32" s="18" t="s">
        <v>2434</v>
      </c>
      <c r="E32" s="21" t="s">
        <v>661</v>
      </c>
      <c r="F32" s="20" t="s">
        <v>2460</v>
      </c>
      <c r="G32" s="21" t="s">
        <v>792</v>
      </c>
      <c r="H32" s="21">
        <v>800000</v>
      </c>
      <c r="I32" s="21"/>
      <c r="J32" s="21" t="s">
        <v>664</v>
      </c>
      <c r="M32" s="444" t="s">
        <v>793</v>
      </c>
      <c r="N32" s="444" t="s">
        <v>2461</v>
      </c>
      <c r="O32" s="447">
        <v>15000</v>
      </c>
    </row>
    <row r="33" spans="1:15" ht="19.899999999999999" customHeight="1">
      <c r="A33" s="18"/>
      <c r="B33" s="18"/>
      <c r="C33" s="18"/>
      <c r="D33" s="18"/>
      <c r="E33" s="21" t="s">
        <v>962</v>
      </c>
      <c r="F33" s="20" t="s">
        <v>2460</v>
      </c>
      <c r="G33" s="21" t="s">
        <v>792</v>
      </c>
      <c r="H33" s="21">
        <v>800000</v>
      </c>
      <c r="I33" s="21"/>
      <c r="J33" s="21" t="s">
        <v>664</v>
      </c>
      <c r="M33" s="444" t="s">
        <v>793</v>
      </c>
      <c r="N33" s="444" t="s">
        <v>2462</v>
      </c>
      <c r="O33" s="447">
        <v>50000</v>
      </c>
    </row>
    <row r="34" spans="1:15" ht="19.899999999999999" customHeight="1">
      <c r="A34" s="18"/>
      <c r="B34" s="18"/>
      <c r="C34" s="18"/>
      <c r="D34" s="18"/>
      <c r="E34" s="352" t="s">
        <v>466</v>
      </c>
      <c r="F34" s="20" t="s">
        <v>2463</v>
      </c>
      <c r="G34" s="21" t="s">
        <v>1138</v>
      </c>
      <c r="H34" s="21">
        <v>1600000</v>
      </c>
      <c r="I34" s="21"/>
      <c r="J34" s="21" t="s">
        <v>664</v>
      </c>
    </row>
    <row r="35" spans="1:15" ht="19.899999999999999" customHeight="1">
      <c r="A35" s="18"/>
      <c r="B35" s="18"/>
      <c r="C35" s="18"/>
      <c r="D35" s="18"/>
      <c r="E35" s="352"/>
      <c r="F35" s="20"/>
      <c r="G35" s="21"/>
      <c r="H35" s="21"/>
      <c r="I35" s="21"/>
      <c r="J35" s="21"/>
    </row>
    <row r="36" spans="1:15" ht="19.899999999999999" customHeight="1">
      <c r="A36" s="18"/>
      <c r="B36" s="18"/>
      <c r="C36" s="18"/>
      <c r="D36" s="18"/>
      <c r="E36" s="98"/>
      <c r="F36" s="20"/>
      <c r="G36" s="21"/>
      <c r="H36" s="21"/>
      <c r="I36" s="21"/>
      <c r="J36" s="21"/>
    </row>
    <row r="37" spans="1:15" ht="19.899999999999999" customHeight="1">
      <c r="A37" s="18"/>
      <c r="B37" s="18"/>
      <c r="C37" s="18"/>
      <c r="D37" s="18"/>
      <c r="E37" s="98"/>
      <c r="F37" s="20"/>
      <c r="G37" s="21"/>
      <c r="H37" s="21"/>
      <c r="I37" s="21"/>
      <c r="J37" s="21"/>
    </row>
    <row r="38" spans="1:15" ht="19.899999999999999" customHeight="1">
      <c r="A38" s="18"/>
      <c r="B38" s="18"/>
      <c r="C38" s="18"/>
      <c r="D38" s="18"/>
      <c r="E38" s="98"/>
      <c r="F38" s="20"/>
      <c r="G38" s="21"/>
      <c r="H38" s="21"/>
      <c r="I38" s="42"/>
      <c r="J38" s="42"/>
    </row>
    <row r="39" spans="1:15" ht="19.899999999999999" customHeight="1">
      <c r="A39" s="18"/>
      <c r="B39" s="18"/>
      <c r="C39" s="18"/>
      <c r="D39" s="18"/>
      <c r="E39" s="98"/>
      <c r="F39" s="20"/>
      <c r="G39" s="21"/>
      <c r="H39" s="21"/>
      <c r="I39" s="42"/>
      <c r="J39" s="42"/>
    </row>
    <row r="40" spans="1:15" ht="19.899999999999999" customHeight="1">
      <c r="A40" s="18"/>
      <c r="B40" s="18"/>
      <c r="C40" s="18"/>
      <c r="D40" s="18"/>
      <c r="E40" s="98"/>
      <c r="F40" s="20"/>
      <c r="G40" s="21"/>
      <c r="H40" s="21"/>
      <c r="I40" s="42"/>
      <c r="J40" s="42"/>
    </row>
    <row r="41" spans="1:15" ht="19.899999999999999" customHeight="1">
      <c r="A41" s="18"/>
      <c r="B41" s="18"/>
      <c r="C41" s="18"/>
      <c r="D41" s="18"/>
      <c r="E41" s="98"/>
      <c r="F41" s="20"/>
      <c r="G41" s="21"/>
      <c r="H41" s="21"/>
      <c r="I41" s="21"/>
      <c r="J41" s="21"/>
    </row>
    <row r="42" spans="1:15" ht="19.899999999999999" customHeight="1">
      <c r="A42" s="99"/>
      <c r="B42" s="99"/>
      <c r="C42" s="99"/>
      <c r="D42" s="99"/>
      <c r="E42" s="102"/>
      <c r="F42" s="102"/>
      <c r="G42" s="102"/>
      <c r="H42" s="406">
        <f>SUM(H32:H40)</f>
        <v>3200000</v>
      </c>
      <c r="I42" s="406"/>
      <c r="J42" s="102"/>
      <c r="M42" s="549"/>
      <c r="N42" s="549" t="s">
        <v>665</v>
      </c>
      <c r="O42" s="550">
        <f>SUM(O32:O41)</f>
        <v>65000</v>
      </c>
    </row>
  </sheetData>
  <mergeCells count="3">
    <mergeCell ref="A2:J2"/>
    <mergeCell ref="A14:J14"/>
    <mergeCell ref="A30:J30"/>
  </mergeCells>
  <hyperlinks>
    <hyperlink ref="A1" location="Name!A1" display="Name!A1" xr:uid="{7A3A3FCE-8783-4B01-B427-23FE8B11E638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1F7C-1F98-4147-B32D-B3D1C2684DA8}">
  <dimension ref="A1:K13"/>
  <sheetViews>
    <sheetView workbookViewId="0"/>
  </sheetViews>
  <sheetFormatPr defaultColWidth="9.140625" defaultRowHeight="15"/>
  <cols>
    <col min="1" max="2" width="9.140625" style="328"/>
    <col min="3" max="3" width="20.42578125" style="328" customWidth="1"/>
    <col min="4" max="4" width="9.140625" style="328"/>
    <col min="5" max="5" width="36" style="328" customWidth="1"/>
    <col min="6" max="8" width="14.28515625" style="328" customWidth="1"/>
    <col min="9" max="9" width="20.28515625" style="328" customWidth="1"/>
    <col min="10" max="16384" width="9.140625" style="328"/>
  </cols>
  <sheetData>
    <row r="1" spans="1:11">
      <c r="A1" s="412" t="s">
        <v>648</v>
      </c>
    </row>
    <row r="2" spans="1:11" ht="18.75">
      <c r="A2" s="707" t="s">
        <v>444</v>
      </c>
      <c r="B2" s="707"/>
      <c r="C2" s="707"/>
      <c r="D2" s="707"/>
      <c r="E2" s="707"/>
      <c r="F2" s="707"/>
      <c r="G2" s="707"/>
      <c r="H2" s="707"/>
      <c r="I2" s="707"/>
    </row>
    <row r="3" spans="1:11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1" ht="32.25" customHeight="1">
      <c r="A4" s="37">
        <v>1</v>
      </c>
      <c r="B4" s="37" t="s">
        <v>152</v>
      </c>
      <c r="C4" s="37" t="s">
        <v>445</v>
      </c>
      <c r="D4" s="37" t="s">
        <v>443</v>
      </c>
      <c r="E4" s="370" t="s">
        <v>703</v>
      </c>
      <c r="F4" s="36" t="s">
        <v>2464</v>
      </c>
      <c r="G4" s="37" t="s">
        <v>1925</v>
      </c>
      <c r="H4" s="37">
        <v>600000</v>
      </c>
      <c r="I4" s="37"/>
    </row>
    <row r="5" spans="1:11" ht="32.25" customHeight="1">
      <c r="A5" s="37"/>
      <c r="B5" s="37"/>
      <c r="C5" s="37"/>
      <c r="D5" s="37"/>
      <c r="E5" s="370" t="s">
        <v>2465</v>
      </c>
      <c r="F5" s="36" t="s">
        <v>2464</v>
      </c>
      <c r="G5" s="37" t="s">
        <v>1925</v>
      </c>
      <c r="H5" s="37">
        <v>600000</v>
      </c>
      <c r="I5" s="37"/>
    </row>
    <row r="6" spans="1:11" ht="32.25" customHeight="1">
      <c r="A6" s="37"/>
      <c r="B6" s="37"/>
      <c r="C6" s="37"/>
      <c r="D6" s="37"/>
      <c r="E6" s="37" t="s">
        <v>2466</v>
      </c>
      <c r="F6" s="36" t="s">
        <v>2467</v>
      </c>
      <c r="G6" s="37" t="s">
        <v>2468</v>
      </c>
      <c r="H6" s="37">
        <v>600000</v>
      </c>
      <c r="I6" s="37"/>
    </row>
    <row r="7" spans="1:11" ht="32.25" customHeight="1">
      <c r="A7" s="37"/>
      <c r="B7" s="37"/>
      <c r="C7" s="37"/>
      <c r="D7" s="37"/>
      <c r="E7" s="37" t="s">
        <v>2469</v>
      </c>
      <c r="F7" s="36" t="s">
        <v>2470</v>
      </c>
      <c r="G7" s="37" t="s">
        <v>2471</v>
      </c>
      <c r="H7" s="37">
        <v>600000</v>
      </c>
      <c r="I7" s="37"/>
      <c r="K7" s="328" t="s">
        <v>732</v>
      </c>
    </row>
    <row r="8" spans="1:11" ht="32.25" customHeight="1">
      <c r="A8" s="37"/>
      <c r="B8" s="37"/>
      <c r="C8" s="37"/>
      <c r="D8" s="37"/>
      <c r="E8" s="37" t="s">
        <v>2472</v>
      </c>
      <c r="F8" s="36" t="s">
        <v>2473</v>
      </c>
      <c r="G8" s="37" t="s">
        <v>758</v>
      </c>
      <c r="H8" s="37">
        <v>5200000</v>
      </c>
      <c r="I8" s="638" t="s">
        <v>2474</v>
      </c>
    </row>
    <row r="9" spans="1:11" ht="32.25" customHeight="1">
      <c r="A9" s="37"/>
      <c r="B9" s="37"/>
      <c r="C9" s="37"/>
      <c r="D9" s="37"/>
      <c r="E9" s="37" t="s">
        <v>2475</v>
      </c>
      <c r="F9" s="36" t="s">
        <v>2476</v>
      </c>
      <c r="G9" s="37" t="s">
        <v>1140</v>
      </c>
      <c r="H9" s="37">
        <v>2000000</v>
      </c>
      <c r="I9" s="37" t="s">
        <v>664</v>
      </c>
    </row>
    <row r="10" spans="1:11" ht="32.25" customHeight="1">
      <c r="A10" s="37"/>
      <c r="B10" s="37"/>
      <c r="C10" s="37"/>
      <c r="D10" s="37"/>
      <c r="E10" s="37" t="s">
        <v>2477</v>
      </c>
      <c r="F10" s="36" t="s">
        <v>2478</v>
      </c>
      <c r="G10" s="37" t="s">
        <v>1140</v>
      </c>
      <c r="H10" s="37">
        <v>1600000</v>
      </c>
      <c r="I10" s="37" t="s">
        <v>664</v>
      </c>
    </row>
    <row r="11" spans="1:11" ht="32.25" customHeight="1">
      <c r="A11" s="37"/>
      <c r="B11" s="37"/>
      <c r="C11" s="37"/>
      <c r="D11" s="37"/>
      <c r="E11" s="37"/>
      <c r="F11" s="36"/>
      <c r="G11" s="37"/>
      <c r="H11" s="37"/>
      <c r="I11" s="37"/>
    </row>
    <row r="12" spans="1:11" ht="32.25" customHeight="1">
      <c r="A12" s="37"/>
      <c r="B12" s="37"/>
      <c r="C12" s="37"/>
      <c r="D12" s="37"/>
      <c r="E12" s="37"/>
      <c r="F12" s="36"/>
      <c r="G12" s="37"/>
      <c r="H12" s="37"/>
      <c r="I12" s="37"/>
    </row>
    <row r="13" spans="1:11" ht="32.25" customHeight="1">
      <c r="A13" s="639"/>
      <c r="B13" s="639"/>
      <c r="C13" s="639"/>
      <c r="D13" s="639"/>
      <c r="E13" s="639"/>
      <c r="F13" s="639"/>
      <c r="G13" s="639"/>
      <c r="H13" s="640">
        <f>SUM(H4:H10)</f>
        <v>11200000</v>
      </c>
      <c r="I13" s="639"/>
    </row>
  </sheetData>
  <mergeCells count="1">
    <mergeCell ref="A2:I2"/>
  </mergeCells>
  <hyperlinks>
    <hyperlink ref="A1" location="Name!A1" display="Name!A1" xr:uid="{3D8DE71A-B113-4445-AA3E-54E08B0ABA46}"/>
  </hyperlinks>
  <pageMargins left="0.7" right="0.7" top="0.75" bottom="0.75" header="0.3" footer="0.3"/>
  <pageSetup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0EAD-12EA-4C16-A285-B7D56BB4797C}">
  <dimension ref="A1:I29"/>
  <sheetViews>
    <sheetView workbookViewId="0"/>
  </sheetViews>
  <sheetFormatPr defaultRowHeight="15"/>
  <cols>
    <col min="2" max="2" width="11.7109375" customWidth="1"/>
    <col min="3" max="3" width="19.140625" customWidth="1"/>
    <col min="4" max="4" width="11.42578125" customWidth="1"/>
    <col min="5" max="5" width="24.7109375" customWidth="1"/>
    <col min="7" max="8" width="15.28515625" customWidth="1"/>
    <col min="9" max="9" width="30.7109375" customWidth="1"/>
  </cols>
  <sheetData>
    <row r="1" spans="1:9">
      <c r="A1" s="410" t="s">
        <v>648</v>
      </c>
    </row>
    <row r="2" spans="1:9" ht="21.75">
      <c r="A2" s="698" t="s">
        <v>2479</v>
      </c>
      <c r="B2" s="698"/>
      <c r="C2" s="698"/>
      <c r="D2" s="698"/>
      <c r="E2" s="698"/>
      <c r="F2" s="698"/>
      <c r="G2" s="698"/>
      <c r="H2" s="698"/>
      <c r="I2" s="332"/>
    </row>
    <row r="3" spans="1:9" ht="21.75">
      <c r="A3" s="699" t="s">
        <v>653</v>
      </c>
      <c r="B3" s="701" t="s">
        <v>654</v>
      </c>
      <c r="C3" s="703" t="s">
        <v>655</v>
      </c>
      <c r="D3" s="703" t="s">
        <v>12</v>
      </c>
      <c r="E3" s="701" t="s">
        <v>656</v>
      </c>
      <c r="F3" s="703" t="s">
        <v>657</v>
      </c>
      <c r="G3" s="701" t="s">
        <v>658</v>
      </c>
      <c r="H3" s="334" t="s">
        <v>659</v>
      </c>
      <c r="I3" s="332"/>
    </row>
    <row r="4" spans="1:9" ht="21.75">
      <c r="A4" s="700"/>
      <c r="B4" s="702"/>
      <c r="C4" s="702"/>
      <c r="D4" s="702"/>
      <c r="E4" s="704"/>
      <c r="F4" s="702"/>
      <c r="G4" s="702"/>
      <c r="H4" s="335" t="s">
        <v>660</v>
      </c>
      <c r="I4" s="332"/>
    </row>
    <row r="5" spans="1:9" ht="21.75">
      <c r="A5" s="336">
        <v>1</v>
      </c>
      <c r="B5" s="337" t="s">
        <v>152</v>
      </c>
      <c r="C5" s="338" t="s">
        <v>439</v>
      </c>
      <c r="D5" s="337" t="s">
        <v>437</v>
      </c>
      <c r="E5" s="339" t="s">
        <v>703</v>
      </c>
      <c r="F5" s="340" t="s">
        <v>2480</v>
      </c>
      <c r="G5" s="341" t="s">
        <v>2061</v>
      </c>
      <c r="H5" s="342">
        <v>600000</v>
      </c>
      <c r="I5" s="332"/>
    </row>
    <row r="6" spans="1:9" ht="21.75">
      <c r="A6" s="336"/>
      <c r="B6" s="337"/>
      <c r="C6" s="337"/>
      <c r="D6" s="337"/>
      <c r="E6" s="341" t="s">
        <v>2481</v>
      </c>
      <c r="F6" s="340" t="s">
        <v>2480</v>
      </c>
      <c r="G6" s="341" t="s">
        <v>2061</v>
      </c>
      <c r="H6" s="342">
        <v>600000</v>
      </c>
      <c r="I6" s="332"/>
    </row>
    <row r="7" spans="1:9" ht="21.75">
      <c r="A7" s="336"/>
      <c r="B7" s="337"/>
      <c r="C7" s="337"/>
      <c r="D7" s="337"/>
      <c r="E7" s="341" t="s">
        <v>1006</v>
      </c>
      <c r="F7" s="340" t="s">
        <v>2480</v>
      </c>
      <c r="G7" s="341" t="s">
        <v>2061</v>
      </c>
      <c r="H7" s="342">
        <v>-60000</v>
      </c>
      <c r="I7" s="332"/>
    </row>
    <row r="8" spans="1:9" ht="21.75">
      <c r="A8" s="336"/>
      <c r="B8" s="337"/>
      <c r="C8" s="337"/>
      <c r="D8" s="337"/>
      <c r="E8" s="341" t="s">
        <v>2482</v>
      </c>
      <c r="F8" s="340" t="s">
        <v>2483</v>
      </c>
      <c r="G8" s="341" t="s">
        <v>2484</v>
      </c>
      <c r="H8" s="342">
        <v>1200000</v>
      </c>
      <c r="I8" s="708" t="s">
        <v>2485</v>
      </c>
    </row>
    <row r="9" spans="1:9" ht="21.75">
      <c r="A9" s="336"/>
      <c r="B9" s="337"/>
      <c r="C9" s="337"/>
      <c r="D9" s="337"/>
      <c r="E9" s="341" t="s">
        <v>1066</v>
      </c>
      <c r="F9" s="340" t="s">
        <v>2483</v>
      </c>
      <c r="G9" s="341" t="s">
        <v>2484</v>
      </c>
      <c r="H9" s="342">
        <v>-600000</v>
      </c>
      <c r="I9" s="708"/>
    </row>
    <row r="10" spans="1:9" ht="21.75">
      <c r="A10" s="336"/>
      <c r="B10" s="337"/>
      <c r="C10" s="337"/>
      <c r="D10" s="337"/>
      <c r="E10" s="341" t="s">
        <v>2486</v>
      </c>
      <c r="F10" s="340" t="s">
        <v>2483</v>
      </c>
      <c r="G10" s="341" t="s">
        <v>2484</v>
      </c>
      <c r="H10" s="342">
        <v>-60000</v>
      </c>
      <c r="I10" s="708"/>
    </row>
    <row r="11" spans="1:9" ht="21.75">
      <c r="A11" s="343"/>
      <c r="B11" s="344"/>
      <c r="C11" s="344"/>
      <c r="D11" s="344"/>
      <c r="E11" s="344" t="s">
        <v>2487</v>
      </c>
      <c r="F11" s="340" t="s">
        <v>2483</v>
      </c>
      <c r="G11" s="341" t="s">
        <v>2484</v>
      </c>
      <c r="H11" s="345">
        <v>36000</v>
      </c>
      <c r="I11" s="708"/>
    </row>
    <row r="12" spans="1:9" ht="21.75">
      <c r="A12" s="343"/>
      <c r="B12" s="344"/>
      <c r="C12" s="344"/>
      <c r="D12" s="344"/>
      <c r="E12" s="344"/>
      <c r="F12" s="344"/>
      <c r="G12" s="344"/>
      <c r="H12" s="345"/>
      <c r="I12" s="332"/>
    </row>
    <row r="13" spans="1:9" ht="21.75">
      <c r="A13" s="343"/>
      <c r="B13" s="344"/>
      <c r="C13" s="344"/>
      <c r="D13" s="344"/>
      <c r="E13" s="344"/>
      <c r="F13" s="344"/>
      <c r="G13" s="344"/>
      <c r="H13" s="346">
        <f>SUM(H5:H12)</f>
        <v>1716000</v>
      </c>
      <c r="I13" s="332"/>
    </row>
    <row r="14" spans="1:9" ht="21.75">
      <c r="A14" s="347"/>
      <c r="B14" s="348"/>
      <c r="C14" s="348"/>
      <c r="D14" s="348"/>
      <c r="E14" s="348"/>
      <c r="F14" s="348"/>
      <c r="G14" s="348"/>
      <c r="H14" s="349"/>
      <c r="I14" s="332"/>
    </row>
    <row r="15" spans="1:9" ht="21.75">
      <c r="A15" s="332"/>
      <c r="B15" s="332"/>
      <c r="C15" s="332"/>
      <c r="D15" s="332"/>
      <c r="E15" s="332"/>
      <c r="F15" s="332"/>
      <c r="G15" s="332"/>
      <c r="H15" s="332"/>
      <c r="I15" s="332"/>
    </row>
    <row r="16" spans="1:9" ht="21.75">
      <c r="A16" s="332"/>
      <c r="B16" s="332"/>
      <c r="C16" s="332"/>
      <c r="D16" s="332"/>
      <c r="E16" s="332"/>
      <c r="F16" s="332"/>
      <c r="G16" s="332"/>
      <c r="H16" s="332"/>
      <c r="I16" s="332"/>
    </row>
    <row r="17" spans="1:9" ht="21.75">
      <c r="A17" s="698" t="s">
        <v>438</v>
      </c>
      <c r="B17" s="698"/>
      <c r="C17" s="698"/>
      <c r="D17" s="698"/>
      <c r="E17" s="698"/>
      <c r="F17" s="698"/>
      <c r="G17" s="698"/>
      <c r="H17" s="698"/>
      <c r="I17" s="332"/>
    </row>
    <row r="18" spans="1:9" ht="21.75">
      <c r="A18" s="699" t="s">
        <v>653</v>
      </c>
      <c r="B18" s="701" t="s">
        <v>654</v>
      </c>
      <c r="C18" s="703" t="s">
        <v>655</v>
      </c>
      <c r="D18" s="703" t="s">
        <v>12</v>
      </c>
      <c r="E18" s="701" t="s">
        <v>656</v>
      </c>
      <c r="F18" s="703" t="s">
        <v>657</v>
      </c>
      <c r="G18" s="701" t="s">
        <v>658</v>
      </c>
      <c r="H18" s="334" t="s">
        <v>659</v>
      </c>
    </row>
    <row r="19" spans="1:9" ht="21.75">
      <c r="A19" s="700"/>
      <c r="B19" s="702"/>
      <c r="C19" s="702"/>
      <c r="D19" s="702"/>
      <c r="E19" s="704"/>
      <c r="F19" s="702"/>
      <c r="G19" s="702"/>
      <c r="H19" s="335" t="s">
        <v>660</v>
      </c>
    </row>
    <row r="20" spans="1:9" ht="21.75">
      <c r="A20" s="336">
        <v>1</v>
      </c>
      <c r="B20" s="337" t="s">
        <v>152</v>
      </c>
      <c r="C20" s="338" t="s">
        <v>439</v>
      </c>
      <c r="D20" s="337" t="s">
        <v>437</v>
      </c>
      <c r="E20" s="339" t="s">
        <v>703</v>
      </c>
      <c r="F20" s="340" t="s">
        <v>2488</v>
      </c>
      <c r="G20" s="341" t="s">
        <v>1361</v>
      </c>
      <c r="H20" s="342">
        <v>600000</v>
      </c>
    </row>
    <row r="21" spans="1:9" ht="21.75">
      <c r="A21" s="336"/>
      <c r="B21" s="337"/>
      <c r="C21" s="337"/>
      <c r="D21" s="337"/>
      <c r="E21" s="341" t="s">
        <v>2489</v>
      </c>
      <c r="F21" s="340" t="s">
        <v>2488</v>
      </c>
      <c r="G21" s="341" t="s">
        <v>1361</v>
      </c>
      <c r="H21" s="342">
        <v>600000</v>
      </c>
    </row>
    <row r="22" spans="1:9" ht="21.75">
      <c r="A22" s="336"/>
      <c r="B22" s="337"/>
      <c r="C22" s="337"/>
      <c r="D22" s="337"/>
      <c r="E22" s="341"/>
      <c r="F22" s="340"/>
      <c r="G22" s="341"/>
      <c r="H22" s="342"/>
    </row>
    <row r="23" spans="1:9" ht="21.75">
      <c r="A23" s="336"/>
      <c r="B23" s="337"/>
      <c r="C23" s="337"/>
      <c r="D23" s="337"/>
      <c r="E23" s="341"/>
      <c r="F23" s="340"/>
      <c r="G23" s="341"/>
      <c r="H23" s="342"/>
    </row>
    <row r="24" spans="1:9" ht="21.75">
      <c r="A24" s="336"/>
      <c r="B24" s="337"/>
      <c r="C24" s="337"/>
      <c r="D24" s="337"/>
      <c r="E24" s="341"/>
      <c r="F24" s="340"/>
      <c r="G24" s="341"/>
      <c r="H24" s="342"/>
    </row>
    <row r="25" spans="1:9" ht="21.75">
      <c r="A25" s="336"/>
      <c r="B25" s="337"/>
      <c r="C25" s="337"/>
      <c r="D25" s="337"/>
      <c r="E25" s="341"/>
      <c r="F25" s="340"/>
      <c r="G25" s="341"/>
      <c r="H25" s="342"/>
    </row>
    <row r="26" spans="1:9" ht="21.75">
      <c r="A26" s="343"/>
      <c r="B26" s="344"/>
      <c r="C26" s="344"/>
      <c r="D26" s="344"/>
      <c r="E26" s="344"/>
      <c r="F26" s="340"/>
      <c r="G26" s="341"/>
      <c r="H26" s="345"/>
    </row>
    <row r="27" spans="1:9" ht="21.75">
      <c r="A27" s="343"/>
      <c r="B27" s="344"/>
      <c r="C27" s="344"/>
      <c r="D27" s="344"/>
      <c r="E27" s="344"/>
      <c r="F27" s="344"/>
      <c r="G27" s="344"/>
      <c r="H27" s="345"/>
    </row>
    <row r="28" spans="1:9" ht="21.75">
      <c r="A28" s="343"/>
      <c r="B28" s="344"/>
      <c r="C28" s="344"/>
      <c r="D28" s="344"/>
      <c r="E28" s="344"/>
      <c r="F28" s="344"/>
      <c r="G28" s="344"/>
      <c r="H28" s="346">
        <f>SUM(H20:H27)</f>
        <v>1200000</v>
      </c>
    </row>
    <row r="29" spans="1:9" ht="21.75">
      <c r="A29" s="347"/>
      <c r="B29" s="348"/>
      <c r="C29" s="348"/>
      <c r="D29" s="348"/>
      <c r="E29" s="348"/>
      <c r="F29" s="348"/>
      <c r="G29" s="348"/>
      <c r="H29" s="349"/>
    </row>
  </sheetData>
  <mergeCells count="17">
    <mergeCell ref="I8:I11"/>
    <mergeCell ref="A17:H17"/>
    <mergeCell ref="A18:A19"/>
    <mergeCell ref="B18:B19"/>
    <mergeCell ref="C18:C19"/>
    <mergeCell ref="D18:D19"/>
    <mergeCell ref="E18:E19"/>
    <mergeCell ref="F18:F19"/>
    <mergeCell ref="G18:G19"/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B3262819-DE31-4199-BB68-8AE8F7052DA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89C6-3D59-4EC4-96BC-4A0B26DA6BE8}">
  <dimension ref="A1:J16"/>
  <sheetViews>
    <sheetView workbookViewId="0"/>
  </sheetViews>
  <sheetFormatPr defaultRowHeight="15"/>
  <cols>
    <col min="3" max="3" width="27.28515625" customWidth="1"/>
    <col min="4" max="4" width="12.28515625" customWidth="1"/>
    <col min="5" max="5" width="29.5703125" customWidth="1"/>
    <col min="6" max="6" width="10" customWidth="1"/>
    <col min="7" max="7" width="13" customWidth="1"/>
    <col min="8" max="8" width="18.5703125" customWidth="1"/>
  </cols>
  <sheetData>
    <row r="1" spans="1:10">
      <c r="A1" s="410" t="s">
        <v>648</v>
      </c>
    </row>
    <row r="2" spans="1:10" ht="21.75">
      <c r="A2" s="644" t="s">
        <v>432</v>
      </c>
      <c r="B2" s="644"/>
      <c r="C2" s="644"/>
      <c r="D2" s="644"/>
      <c r="E2" s="644"/>
      <c r="F2" s="644"/>
      <c r="G2" s="644"/>
      <c r="H2" s="644"/>
    </row>
    <row r="3" spans="1:10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0" ht="21.75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0" ht="21.75">
      <c r="A5" s="7">
        <v>1</v>
      </c>
      <c r="B5" s="7" t="s">
        <v>152</v>
      </c>
      <c r="C5" s="7" t="s">
        <v>433</v>
      </c>
      <c r="D5" s="7" t="s">
        <v>431</v>
      </c>
      <c r="E5" s="9" t="s">
        <v>703</v>
      </c>
      <c r="F5" s="10" t="s">
        <v>2490</v>
      </c>
      <c r="G5" s="9" t="s">
        <v>1353</v>
      </c>
      <c r="H5" s="9">
        <v>600000</v>
      </c>
    </row>
    <row r="6" spans="1:10" ht="21.75">
      <c r="A6" s="7"/>
      <c r="B6" s="7"/>
      <c r="C6" s="7"/>
      <c r="D6" s="7"/>
      <c r="E6" s="9" t="s">
        <v>2491</v>
      </c>
      <c r="F6" s="10" t="s">
        <v>2490</v>
      </c>
      <c r="G6" s="9" t="s">
        <v>1353</v>
      </c>
      <c r="H6" s="9">
        <v>600000</v>
      </c>
    </row>
    <row r="7" spans="1:10" ht="21.75">
      <c r="A7" s="7"/>
      <c r="B7" s="7"/>
      <c r="C7" s="7"/>
      <c r="D7" s="7"/>
      <c r="E7" s="9" t="s">
        <v>435</v>
      </c>
      <c r="F7" s="10" t="s">
        <v>2492</v>
      </c>
      <c r="G7" s="9" t="s">
        <v>2440</v>
      </c>
      <c r="H7" s="9">
        <v>3000000</v>
      </c>
      <c r="J7" s="333" t="s">
        <v>2493</v>
      </c>
    </row>
    <row r="8" spans="1:10" ht="21.75">
      <c r="A8" s="7"/>
      <c r="B8" s="7"/>
      <c r="C8" s="7"/>
      <c r="D8" s="7"/>
      <c r="E8" s="9"/>
      <c r="F8" s="10"/>
      <c r="G8" s="9"/>
      <c r="H8" s="9"/>
    </row>
    <row r="9" spans="1:10" ht="21.75">
      <c r="A9" s="7"/>
      <c r="B9" s="7"/>
      <c r="C9" s="7"/>
      <c r="D9" s="7"/>
      <c r="E9" s="9"/>
      <c r="F9" s="10"/>
      <c r="G9" s="9"/>
      <c r="H9" s="9"/>
    </row>
    <row r="10" spans="1:10" ht="21.75">
      <c r="A10" s="7"/>
      <c r="B10" s="7"/>
      <c r="C10" s="7"/>
      <c r="D10" s="7"/>
      <c r="E10" s="9"/>
      <c r="F10" s="10"/>
      <c r="G10" s="9"/>
      <c r="H10" s="9"/>
    </row>
    <row r="11" spans="1:10" ht="21.75">
      <c r="A11" s="7"/>
      <c r="B11" s="7"/>
      <c r="C11" s="7"/>
      <c r="D11" s="7"/>
      <c r="E11" s="9"/>
      <c r="F11" s="10"/>
      <c r="G11" s="9"/>
      <c r="H11" s="9"/>
    </row>
    <row r="12" spans="1:10" ht="21.75">
      <c r="A12" s="7"/>
      <c r="B12" s="7"/>
      <c r="C12" s="7"/>
      <c r="D12" s="7"/>
      <c r="E12" s="9"/>
      <c r="F12" s="10"/>
      <c r="G12" s="9"/>
      <c r="H12" s="9"/>
    </row>
    <row r="13" spans="1:10" ht="21.75">
      <c r="A13" s="7"/>
      <c r="B13" s="7"/>
      <c r="C13" s="7"/>
      <c r="D13" s="7"/>
      <c r="E13" s="9"/>
      <c r="F13" s="10"/>
      <c r="G13" s="9"/>
      <c r="H13" s="9"/>
    </row>
    <row r="14" spans="1:10" ht="21.75">
      <c r="A14" s="7"/>
      <c r="B14" s="7"/>
      <c r="C14" s="7"/>
      <c r="D14" s="7"/>
      <c r="E14" s="9"/>
      <c r="F14" s="10"/>
      <c r="G14" s="9"/>
      <c r="H14" s="9"/>
    </row>
    <row r="15" spans="1:10" ht="21.75">
      <c r="A15" s="7"/>
      <c r="B15" s="7"/>
      <c r="C15" s="7"/>
      <c r="D15" s="7"/>
      <c r="E15" s="9"/>
      <c r="F15" s="10"/>
      <c r="G15" s="9"/>
      <c r="H15" s="9"/>
    </row>
    <row r="16" spans="1:10" ht="21.75">
      <c r="A16" s="166"/>
      <c r="B16" s="166"/>
      <c r="C16" s="166"/>
      <c r="D16" s="166"/>
      <c r="E16" s="167"/>
      <c r="F16" s="168"/>
      <c r="G16" s="167">
        <f>SUM(G5:G15)</f>
        <v>0</v>
      </c>
      <c r="H16" s="167">
        <f>SUM(H5:H15)</f>
        <v>4200000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867F6769-4C36-4B4F-996A-8CE4230967D1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61A5-3011-4D8B-9E61-6E4E1453491B}">
  <dimension ref="A1:I31"/>
  <sheetViews>
    <sheetView workbookViewId="0"/>
  </sheetViews>
  <sheetFormatPr defaultRowHeight="15"/>
  <cols>
    <col min="3" max="3" width="19" customWidth="1"/>
    <col min="5" max="5" width="26.7109375" customWidth="1"/>
    <col min="7" max="7" width="15.7109375" customWidth="1"/>
    <col min="8" max="8" width="16.85546875" customWidth="1"/>
  </cols>
  <sheetData>
    <row r="1" spans="1:9">
      <c r="A1" s="410" t="s">
        <v>648</v>
      </c>
    </row>
    <row r="2" spans="1:9" ht="21.75">
      <c r="A2" s="709" t="s">
        <v>2494</v>
      </c>
      <c r="B2" s="709"/>
      <c r="C2" s="709"/>
      <c r="D2" s="709"/>
      <c r="E2" s="709"/>
      <c r="F2" s="709"/>
      <c r="G2" s="709"/>
      <c r="H2" s="709"/>
    </row>
    <row r="3" spans="1:9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</row>
    <row r="4" spans="1:9" ht="21.75">
      <c r="A4" s="655"/>
      <c r="B4" s="660"/>
      <c r="C4" s="660"/>
      <c r="D4" s="660"/>
      <c r="E4" s="710"/>
      <c r="F4" s="660"/>
      <c r="G4" s="660"/>
      <c r="H4" s="202" t="s">
        <v>660</v>
      </c>
    </row>
    <row r="5" spans="1:9" ht="21.75">
      <c r="A5" s="203">
        <v>1</v>
      </c>
      <c r="B5" s="204" t="s">
        <v>152</v>
      </c>
      <c r="C5" s="205" t="s">
        <v>427</v>
      </c>
      <c r="D5" s="204" t="s">
        <v>425</v>
      </c>
      <c r="E5" s="206" t="s">
        <v>703</v>
      </c>
      <c r="F5" s="207" t="s">
        <v>2495</v>
      </c>
      <c r="G5" s="208" t="s">
        <v>2496</v>
      </c>
      <c r="H5" s="209">
        <v>600000</v>
      </c>
    </row>
    <row r="6" spans="1:9" ht="21.75">
      <c r="A6" s="203"/>
      <c r="B6" s="204"/>
      <c r="C6" s="204"/>
      <c r="D6" s="204"/>
      <c r="E6" s="208" t="s">
        <v>2497</v>
      </c>
      <c r="F6" s="207" t="s">
        <v>2495</v>
      </c>
      <c r="G6" s="208" t="s">
        <v>2496</v>
      </c>
      <c r="H6" s="209">
        <v>600000</v>
      </c>
    </row>
    <row r="7" spans="1:9" ht="21.75">
      <c r="A7" s="203"/>
      <c r="B7" s="204"/>
      <c r="C7" s="204"/>
      <c r="D7" s="204"/>
      <c r="E7" s="208" t="s">
        <v>2498</v>
      </c>
      <c r="F7" s="207" t="s">
        <v>2499</v>
      </c>
      <c r="G7" s="208" t="s">
        <v>2277</v>
      </c>
      <c r="H7" s="209">
        <v>1200000</v>
      </c>
    </row>
    <row r="8" spans="1:9" ht="21.75">
      <c r="A8" s="203"/>
      <c r="B8" s="204"/>
      <c r="C8" s="204"/>
      <c r="D8" s="204"/>
      <c r="E8" s="208" t="s">
        <v>2500</v>
      </c>
      <c r="F8" s="207" t="s">
        <v>2501</v>
      </c>
      <c r="G8" s="208" t="s">
        <v>2502</v>
      </c>
      <c r="H8" s="209">
        <v>1200000</v>
      </c>
    </row>
    <row r="9" spans="1:9" ht="21.75">
      <c r="A9" s="203"/>
      <c r="B9" s="204"/>
      <c r="C9" s="204"/>
      <c r="D9" s="204"/>
      <c r="E9" s="208" t="s">
        <v>1532</v>
      </c>
      <c r="F9" s="207" t="s">
        <v>2503</v>
      </c>
      <c r="G9" s="208" t="s">
        <v>861</v>
      </c>
      <c r="H9" s="209">
        <v>600000</v>
      </c>
    </row>
    <row r="10" spans="1:9" ht="21.75">
      <c r="A10" s="203"/>
      <c r="B10" s="204"/>
      <c r="C10" s="204"/>
      <c r="D10" s="204"/>
      <c r="E10" s="208" t="s">
        <v>2504</v>
      </c>
      <c r="F10" s="207" t="s">
        <v>2503</v>
      </c>
      <c r="G10" s="208" t="s">
        <v>861</v>
      </c>
      <c r="H10" s="209">
        <v>600000</v>
      </c>
    </row>
    <row r="11" spans="1:9" ht="21.75">
      <c r="A11" s="122"/>
      <c r="B11" s="123"/>
      <c r="C11" s="123"/>
      <c r="D11" s="123"/>
      <c r="E11" s="204" t="s">
        <v>2505</v>
      </c>
      <c r="F11" s="207" t="s">
        <v>2503</v>
      </c>
      <c r="G11" s="208" t="s">
        <v>861</v>
      </c>
      <c r="H11" s="227">
        <v>600000</v>
      </c>
    </row>
    <row r="12" spans="1:9" ht="21.75">
      <c r="A12" s="66"/>
      <c r="B12" s="68"/>
      <c r="C12" s="68"/>
      <c r="D12" s="68"/>
      <c r="E12" s="204" t="s">
        <v>2506</v>
      </c>
      <c r="F12" s="207" t="s">
        <v>2507</v>
      </c>
      <c r="G12" s="208" t="s">
        <v>2508</v>
      </c>
      <c r="H12" s="227">
        <v>4000000</v>
      </c>
    </row>
    <row r="13" spans="1:9" ht="21.75">
      <c r="A13" s="66"/>
      <c r="B13" s="68"/>
      <c r="C13" s="68"/>
      <c r="D13" s="68"/>
      <c r="E13" s="204" t="s">
        <v>2509</v>
      </c>
      <c r="F13" s="207" t="s">
        <v>2510</v>
      </c>
      <c r="G13" s="204" t="s">
        <v>2508</v>
      </c>
      <c r="H13" s="594">
        <v>186000</v>
      </c>
    </row>
    <row r="14" spans="1:9" ht="21.75">
      <c r="A14" s="77"/>
      <c r="B14" s="79"/>
      <c r="C14" s="79"/>
      <c r="D14" s="79"/>
      <c r="E14" s="596" t="s">
        <v>2511</v>
      </c>
      <c r="F14" s="79"/>
      <c r="G14" s="79"/>
      <c r="H14" s="595">
        <v>-530000</v>
      </c>
      <c r="I14" s="44" t="s">
        <v>2512</v>
      </c>
    </row>
    <row r="15" spans="1:9" s="332" customFormat="1" ht="34.15" customHeight="1">
      <c r="A15" s="329"/>
      <c r="B15" s="330"/>
      <c r="C15" s="330"/>
      <c r="D15" s="330"/>
      <c r="E15" s="330"/>
      <c r="F15" s="330"/>
      <c r="G15" s="330"/>
      <c r="H15" s="331">
        <f>SUM(H5:H14)</f>
        <v>9056000</v>
      </c>
    </row>
    <row r="18" spans="1:9" ht="21.75">
      <c r="A18" s="709" t="s">
        <v>426</v>
      </c>
      <c r="B18" s="709"/>
      <c r="C18" s="709"/>
      <c r="D18" s="709"/>
      <c r="E18" s="709"/>
      <c r="F18" s="709"/>
      <c r="G18" s="709"/>
      <c r="H18" s="709"/>
    </row>
    <row r="19" spans="1:9" ht="21.75">
      <c r="A19" s="654" t="s">
        <v>653</v>
      </c>
      <c r="B19" s="659" t="s">
        <v>654</v>
      </c>
      <c r="C19" s="661" t="s">
        <v>655</v>
      </c>
      <c r="D19" s="661" t="s">
        <v>12</v>
      </c>
      <c r="E19" s="659" t="s">
        <v>656</v>
      </c>
      <c r="F19" s="661" t="s">
        <v>657</v>
      </c>
      <c r="G19" s="659" t="s">
        <v>658</v>
      </c>
      <c r="H19" s="201" t="s">
        <v>659</v>
      </c>
    </row>
    <row r="20" spans="1:9" ht="21.75">
      <c r="A20" s="655"/>
      <c r="B20" s="660"/>
      <c r="C20" s="660"/>
      <c r="D20" s="660"/>
      <c r="E20" s="710"/>
      <c r="F20" s="660"/>
      <c r="G20" s="660"/>
      <c r="H20" s="202" t="s">
        <v>660</v>
      </c>
    </row>
    <row r="21" spans="1:9" ht="21.75">
      <c r="A21" s="203">
        <v>1</v>
      </c>
      <c r="B21" s="204" t="s">
        <v>152</v>
      </c>
      <c r="C21" s="205" t="s">
        <v>427</v>
      </c>
      <c r="D21" s="204" t="s">
        <v>425</v>
      </c>
      <c r="E21" s="206" t="s">
        <v>703</v>
      </c>
      <c r="F21" s="207" t="s">
        <v>2513</v>
      </c>
      <c r="G21" s="208" t="s">
        <v>692</v>
      </c>
      <c r="H21" s="209">
        <v>800000</v>
      </c>
      <c r="I21" t="s">
        <v>664</v>
      </c>
    </row>
    <row r="22" spans="1:9" ht="21.75">
      <c r="A22" s="203"/>
      <c r="B22" s="204"/>
      <c r="C22" s="204"/>
      <c r="D22" s="204"/>
      <c r="E22" s="208" t="s">
        <v>429</v>
      </c>
      <c r="F22" s="207" t="s">
        <v>2513</v>
      </c>
      <c r="G22" s="208" t="s">
        <v>692</v>
      </c>
      <c r="H22" s="209">
        <v>1600000</v>
      </c>
      <c r="I22" s="325" t="s">
        <v>664</v>
      </c>
    </row>
    <row r="23" spans="1:9" ht="21.75">
      <c r="A23" s="203"/>
      <c r="B23" s="204"/>
      <c r="C23" s="204"/>
      <c r="D23" s="204"/>
      <c r="E23" s="208"/>
      <c r="F23" s="207"/>
      <c r="G23" s="208"/>
      <c r="H23" s="209"/>
    </row>
    <row r="24" spans="1:9" ht="21.75">
      <c r="A24" s="203"/>
      <c r="B24" s="204"/>
      <c r="C24" s="204"/>
      <c r="D24" s="204"/>
      <c r="E24" s="208"/>
      <c r="F24" s="207"/>
      <c r="G24" s="208"/>
      <c r="H24" s="209"/>
    </row>
    <row r="25" spans="1:9" ht="21.75">
      <c r="A25" s="203"/>
      <c r="B25" s="204"/>
      <c r="C25" s="204"/>
      <c r="D25" s="204"/>
      <c r="E25" s="208"/>
      <c r="F25" s="207"/>
      <c r="G25" s="208"/>
      <c r="H25" s="209"/>
    </row>
    <row r="26" spans="1:9" ht="21.75">
      <c r="A26" s="203"/>
      <c r="B26" s="204"/>
      <c r="C26" s="204"/>
      <c r="D26" s="204"/>
      <c r="E26" s="208"/>
      <c r="F26" s="207"/>
      <c r="G26" s="208"/>
      <c r="H26" s="209"/>
    </row>
    <row r="27" spans="1:9" ht="21.75">
      <c r="A27" s="122"/>
      <c r="B27" s="123"/>
      <c r="C27" s="123"/>
      <c r="D27" s="123"/>
      <c r="E27" s="204"/>
      <c r="F27" s="207"/>
      <c r="G27" s="208"/>
      <c r="H27" s="227"/>
    </row>
    <row r="28" spans="1:9" ht="21.75">
      <c r="A28" s="66"/>
      <c r="B28" s="68"/>
      <c r="C28" s="68"/>
      <c r="D28" s="68"/>
      <c r="E28" s="204"/>
      <c r="F28" s="207"/>
      <c r="G28" s="208"/>
      <c r="H28" s="227"/>
    </row>
    <row r="29" spans="1:9" ht="21.75">
      <c r="A29" s="66"/>
      <c r="B29" s="68"/>
      <c r="C29" s="68"/>
      <c r="D29" s="68"/>
      <c r="E29" s="204"/>
      <c r="F29" s="207"/>
      <c r="G29" s="204"/>
      <c r="H29" s="594"/>
    </row>
    <row r="30" spans="1:9" ht="21.75">
      <c r="A30" s="77"/>
      <c r="B30" s="79"/>
      <c r="C30" s="79"/>
      <c r="D30" s="79"/>
      <c r="E30" s="596"/>
      <c r="F30" s="79"/>
      <c r="G30" s="79"/>
      <c r="H30" s="595"/>
    </row>
    <row r="31" spans="1:9" ht="18">
      <c r="A31" s="329"/>
      <c r="B31" s="330"/>
      <c r="C31" s="330"/>
      <c r="D31" s="330"/>
      <c r="E31" s="330"/>
      <c r="F31" s="330"/>
      <c r="G31" s="330"/>
      <c r="H31" s="331">
        <f>SUM(H21:H30)</f>
        <v>2400000</v>
      </c>
    </row>
  </sheetData>
  <mergeCells count="16">
    <mergeCell ref="A18:H18"/>
    <mergeCell ref="A19:A20"/>
    <mergeCell ref="B19:B20"/>
    <mergeCell ref="C19:C20"/>
    <mergeCell ref="D19:D20"/>
    <mergeCell ref="E19:E20"/>
    <mergeCell ref="F19:F20"/>
    <mergeCell ref="G19:G20"/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3C0F7DB2-CF5B-428C-8F4D-5AF0F14F3F7A}"/>
  </hyperlinks>
  <pageMargins left="0.7" right="0.7" top="0.75" bottom="0.75" header="0.3" footer="0.3"/>
  <pageSetup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9375-2027-4F61-A574-34FB1A8270D9}">
  <dimension ref="A1:N50"/>
  <sheetViews>
    <sheetView workbookViewId="0"/>
  </sheetViews>
  <sheetFormatPr defaultRowHeight="15"/>
  <cols>
    <col min="3" max="3" width="17.85546875" customWidth="1"/>
    <col min="5" max="5" width="20.5703125" customWidth="1"/>
    <col min="7" max="7" width="9.7109375" bestFit="1" customWidth="1"/>
    <col min="8" max="8" width="15.28515625" customWidth="1"/>
    <col min="9" max="9" width="28.5703125" customWidth="1"/>
  </cols>
  <sheetData>
    <row r="1" spans="1:14">
      <c r="A1" s="410" t="s">
        <v>648</v>
      </c>
    </row>
    <row r="2" spans="1:14" ht="21.75">
      <c r="A2" s="644" t="s">
        <v>2514</v>
      </c>
      <c r="B2" s="644"/>
      <c r="C2" s="644"/>
      <c r="D2" s="644"/>
      <c r="E2" s="644"/>
      <c r="F2" s="644"/>
      <c r="G2" s="644"/>
      <c r="H2" s="644"/>
    </row>
    <row r="3" spans="1:14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4" ht="21.75">
      <c r="A4" s="646"/>
      <c r="B4" s="646"/>
      <c r="C4" s="646"/>
      <c r="D4" s="646"/>
      <c r="E4" s="648"/>
      <c r="F4" s="646"/>
      <c r="G4" s="646"/>
      <c r="H4" s="6" t="s">
        <v>660</v>
      </c>
    </row>
    <row r="5" spans="1:14" ht="21.75">
      <c r="A5" s="7">
        <v>1</v>
      </c>
      <c r="B5" s="7" t="s">
        <v>152</v>
      </c>
      <c r="C5" s="7" t="s">
        <v>2515</v>
      </c>
      <c r="D5" s="7" t="s">
        <v>419</v>
      </c>
      <c r="E5" s="9" t="s">
        <v>703</v>
      </c>
      <c r="F5" s="10" t="s">
        <v>2516</v>
      </c>
      <c r="G5" s="9" t="s">
        <v>911</v>
      </c>
      <c r="H5" s="9">
        <v>600000</v>
      </c>
    </row>
    <row r="6" spans="1:14" ht="21.75">
      <c r="A6" s="7"/>
      <c r="B6" s="7"/>
      <c r="C6" s="7" t="s">
        <v>679</v>
      </c>
      <c r="D6" s="7"/>
      <c r="E6" s="7" t="s">
        <v>2517</v>
      </c>
      <c r="F6" s="10" t="s">
        <v>2518</v>
      </c>
      <c r="G6" s="9" t="s">
        <v>2519</v>
      </c>
      <c r="H6" s="9">
        <v>600000</v>
      </c>
    </row>
    <row r="7" spans="1:14" ht="21.75">
      <c r="A7" s="7"/>
      <c r="B7" s="7"/>
      <c r="C7" s="7"/>
      <c r="D7" s="7"/>
      <c r="E7" s="9" t="s">
        <v>1303</v>
      </c>
      <c r="F7" s="10" t="s">
        <v>2520</v>
      </c>
      <c r="G7" s="9" t="s">
        <v>1925</v>
      </c>
      <c r="H7" s="9">
        <v>600000</v>
      </c>
    </row>
    <row r="8" spans="1:14" ht="21.75">
      <c r="A8" s="7"/>
      <c r="B8" s="7"/>
      <c r="C8" s="7"/>
      <c r="D8" s="7"/>
      <c r="E8" s="9" t="s">
        <v>2521</v>
      </c>
      <c r="F8" s="10" t="s">
        <v>2522</v>
      </c>
      <c r="G8" s="9" t="s">
        <v>2523</v>
      </c>
      <c r="H8" s="9">
        <v>600000</v>
      </c>
    </row>
    <row r="9" spans="1:14" ht="21.75">
      <c r="A9" s="7"/>
      <c r="B9" s="7"/>
      <c r="C9" s="7"/>
      <c r="D9" s="7"/>
      <c r="E9" s="9" t="s">
        <v>2524</v>
      </c>
      <c r="F9" s="10" t="s">
        <v>2525</v>
      </c>
      <c r="G9" s="9" t="s">
        <v>2526</v>
      </c>
      <c r="H9" s="9">
        <v>1200000</v>
      </c>
      <c r="I9" s="146" t="s">
        <v>738</v>
      </c>
    </row>
    <row r="10" spans="1:14" ht="21.75">
      <c r="A10" s="7"/>
      <c r="B10" s="7"/>
      <c r="C10" s="7"/>
      <c r="D10" s="7"/>
      <c r="E10" s="9"/>
      <c r="F10" s="10"/>
      <c r="G10" s="9"/>
      <c r="H10" s="9"/>
      <c r="I10" s="146"/>
    </row>
    <row r="11" spans="1:14" ht="21.75">
      <c r="A11" s="7"/>
      <c r="B11" s="7"/>
      <c r="C11" s="7"/>
      <c r="D11" s="7"/>
      <c r="E11" s="9"/>
      <c r="F11" s="10"/>
      <c r="G11" s="9"/>
      <c r="H11" s="9"/>
      <c r="K11" s="9"/>
      <c r="L11" s="10"/>
      <c r="M11" s="9"/>
      <c r="N11" s="9"/>
    </row>
    <row r="12" spans="1:14" ht="21.75">
      <c r="A12" s="7"/>
      <c r="B12" s="7"/>
      <c r="C12" s="7"/>
      <c r="D12" s="7"/>
      <c r="E12" s="9"/>
      <c r="F12" s="10"/>
      <c r="G12" s="9"/>
      <c r="H12" s="9"/>
    </row>
    <row r="13" spans="1:14" ht="21.75">
      <c r="A13" s="166"/>
      <c r="B13" s="166"/>
      <c r="C13" s="166"/>
      <c r="D13" s="166"/>
      <c r="E13" s="167"/>
      <c r="F13" s="168"/>
      <c r="G13" s="167">
        <f>SUM(G5:G12)</f>
        <v>0</v>
      </c>
      <c r="H13" s="167">
        <f>SUM(H5:H12)</f>
        <v>3600000</v>
      </c>
    </row>
    <row r="16" spans="1:14" ht="21.75">
      <c r="A16" s="644" t="s">
        <v>2527</v>
      </c>
      <c r="B16" s="644"/>
      <c r="C16" s="644"/>
      <c r="D16" s="644"/>
      <c r="E16" s="644"/>
      <c r="F16" s="644"/>
      <c r="G16" s="644"/>
      <c r="H16" s="644"/>
    </row>
    <row r="17" spans="1:9" ht="21.75">
      <c r="A17" s="645" t="s">
        <v>653</v>
      </c>
      <c r="B17" s="647" t="s">
        <v>654</v>
      </c>
      <c r="C17" s="645" t="s">
        <v>655</v>
      </c>
      <c r="D17" s="645" t="s">
        <v>12</v>
      </c>
      <c r="E17" s="647" t="s">
        <v>656</v>
      </c>
      <c r="F17" s="645" t="s">
        <v>657</v>
      </c>
      <c r="G17" s="647" t="s">
        <v>658</v>
      </c>
      <c r="H17" s="3" t="s">
        <v>659</v>
      </c>
    </row>
    <row r="18" spans="1:9" ht="21.75">
      <c r="A18" s="646"/>
      <c r="B18" s="646"/>
      <c r="C18" s="646"/>
      <c r="D18" s="646"/>
      <c r="E18" s="648"/>
      <c r="F18" s="646"/>
      <c r="G18" s="646"/>
      <c r="H18" s="6" t="s">
        <v>660</v>
      </c>
    </row>
    <row r="19" spans="1:9" ht="21.75">
      <c r="A19" s="7">
        <v>1</v>
      </c>
      <c r="B19" s="7" t="s">
        <v>152</v>
      </c>
      <c r="C19" s="7" t="s">
        <v>2515</v>
      </c>
      <c r="D19" s="7" t="s">
        <v>419</v>
      </c>
      <c r="E19" s="9" t="s">
        <v>858</v>
      </c>
      <c r="F19" s="10" t="s">
        <v>2528</v>
      </c>
      <c r="G19" s="9" t="s">
        <v>731</v>
      </c>
      <c r="H19" s="9">
        <v>600000</v>
      </c>
      <c r="I19" s="146" t="s">
        <v>738</v>
      </c>
    </row>
    <row r="20" spans="1:9" ht="21.75">
      <c r="A20" s="7"/>
      <c r="B20" s="7"/>
      <c r="C20" s="7" t="s">
        <v>679</v>
      </c>
      <c r="D20" s="7"/>
      <c r="E20" s="9" t="s">
        <v>860</v>
      </c>
      <c r="F20" s="10" t="s">
        <v>2529</v>
      </c>
      <c r="G20" s="9" t="s">
        <v>2530</v>
      </c>
      <c r="H20" s="9">
        <v>600000</v>
      </c>
    </row>
    <row r="21" spans="1:9" ht="21.75">
      <c r="A21" s="7"/>
      <c r="B21" s="7"/>
      <c r="C21" s="7"/>
      <c r="D21" s="7"/>
      <c r="E21" s="7" t="s">
        <v>864</v>
      </c>
      <c r="F21" s="10" t="s">
        <v>2531</v>
      </c>
      <c r="G21" s="9" t="s">
        <v>2532</v>
      </c>
      <c r="H21" s="9">
        <v>600000</v>
      </c>
    </row>
    <row r="22" spans="1:9" ht="21.75">
      <c r="A22" s="7"/>
      <c r="B22" s="7"/>
      <c r="C22" s="7"/>
      <c r="D22" s="7"/>
      <c r="E22" s="9" t="s">
        <v>2533</v>
      </c>
      <c r="F22" s="10" t="s">
        <v>2534</v>
      </c>
      <c r="G22" s="9" t="s">
        <v>2532</v>
      </c>
      <c r="H22" s="9">
        <v>800000</v>
      </c>
      <c r="I22" s="146" t="s">
        <v>2535</v>
      </c>
    </row>
    <row r="23" spans="1:9" ht="21.75">
      <c r="A23" s="7"/>
      <c r="B23" s="7"/>
      <c r="C23" s="7"/>
      <c r="D23" s="7"/>
      <c r="E23" s="9" t="s">
        <v>2536</v>
      </c>
      <c r="F23" s="10" t="s">
        <v>2537</v>
      </c>
      <c r="G23" s="9" t="s">
        <v>2538</v>
      </c>
      <c r="H23" s="9">
        <v>1600000</v>
      </c>
      <c r="I23" s="146" t="s">
        <v>2535</v>
      </c>
    </row>
    <row r="24" spans="1:9" ht="21.75">
      <c r="A24" s="7"/>
      <c r="B24" s="7"/>
      <c r="C24" s="7"/>
      <c r="D24" s="7"/>
      <c r="E24" s="9"/>
      <c r="F24" s="10"/>
      <c r="G24" s="9"/>
      <c r="H24" s="9"/>
      <c r="I24" s="437" t="s">
        <v>2539</v>
      </c>
    </row>
    <row r="25" spans="1:9" ht="21.75">
      <c r="A25" s="7"/>
      <c r="B25" s="7"/>
      <c r="C25" s="7"/>
      <c r="D25" s="7"/>
      <c r="E25" s="9" t="s">
        <v>2540</v>
      </c>
      <c r="F25" s="10"/>
      <c r="G25" s="9"/>
      <c r="H25" s="9">
        <v>-700000</v>
      </c>
    </row>
    <row r="26" spans="1:9" ht="21.75">
      <c r="A26" s="7"/>
      <c r="B26" s="7"/>
      <c r="C26" s="7"/>
      <c r="D26" s="7"/>
      <c r="E26" s="9" t="s">
        <v>2541</v>
      </c>
      <c r="F26" s="10"/>
      <c r="G26" s="9"/>
      <c r="H26" s="9">
        <v>-163500</v>
      </c>
    </row>
    <row r="27" spans="1:9" ht="21.75">
      <c r="A27" s="7"/>
      <c r="B27" s="7"/>
      <c r="C27" s="7"/>
      <c r="D27" s="7"/>
      <c r="E27" s="9" t="s">
        <v>2542</v>
      </c>
      <c r="F27" s="10"/>
      <c r="G27" s="9"/>
      <c r="H27" s="9">
        <v>-210000</v>
      </c>
    </row>
    <row r="28" spans="1:9" ht="21.75">
      <c r="A28" s="7"/>
      <c r="B28" s="7"/>
      <c r="C28" s="7"/>
      <c r="D28" s="7"/>
      <c r="E28" s="9" t="s">
        <v>686</v>
      </c>
      <c r="F28" s="10"/>
      <c r="G28" s="9"/>
      <c r="H28" s="9">
        <v>500000</v>
      </c>
    </row>
    <row r="29" spans="1:9" ht="21.75">
      <c r="A29" s="7"/>
      <c r="B29" s="7"/>
      <c r="C29" s="7"/>
      <c r="D29" s="7"/>
      <c r="E29" s="9"/>
      <c r="F29" s="10"/>
      <c r="G29" s="9"/>
      <c r="H29" s="9"/>
    </row>
    <row r="30" spans="1:9" ht="21.75">
      <c r="A30" s="7"/>
      <c r="B30" s="7"/>
      <c r="C30" s="7"/>
      <c r="D30" s="7"/>
      <c r="E30" s="9"/>
      <c r="F30" s="10"/>
      <c r="G30" s="9"/>
      <c r="H30" s="9"/>
    </row>
    <row r="31" spans="1:9" ht="21.75">
      <c r="A31" s="166"/>
      <c r="B31" s="166"/>
      <c r="C31" s="166"/>
      <c r="D31" s="166"/>
      <c r="E31" s="167"/>
      <c r="F31" s="168"/>
      <c r="G31" s="167">
        <f>SUM(G19:G30)</f>
        <v>0</v>
      </c>
      <c r="H31" s="167">
        <f>SUM(H19:H30)</f>
        <v>3626500</v>
      </c>
    </row>
    <row r="34" spans="1:9" ht="21.75">
      <c r="A34" s="644" t="s">
        <v>420</v>
      </c>
      <c r="B34" s="644"/>
      <c r="C34" s="644"/>
      <c r="D34" s="644"/>
      <c r="E34" s="644"/>
      <c r="F34" s="644"/>
      <c r="G34" s="644"/>
      <c r="H34" s="644"/>
    </row>
    <row r="35" spans="1:9" ht="21.75">
      <c r="A35" s="645" t="s">
        <v>653</v>
      </c>
      <c r="B35" s="647" t="s">
        <v>654</v>
      </c>
      <c r="C35" s="645" t="s">
        <v>655</v>
      </c>
      <c r="D35" s="645" t="s">
        <v>12</v>
      </c>
      <c r="E35" s="647" t="s">
        <v>656</v>
      </c>
      <c r="F35" s="645" t="s">
        <v>657</v>
      </c>
      <c r="G35" s="647" t="s">
        <v>658</v>
      </c>
      <c r="H35" s="3" t="s">
        <v>659</v>
      </c>
    </row>
    <row r="36" spans="1:9" ht="21.75">
      <c r="A36" s="646"/>
      <c r="B36" s="646"/>
      <c r="C36" s="646"/>
      <c r="D36" s="646"/>
      <c r="E36" s="648"/>
      <c r="F36" s="646"/>
      <c r="G36" s="646"/>
      <c r="H36" s="6" t="s">
        <v>660</v>
      </c>
    </row>
    <row r="37" spans="1:9" ht="27" customHeight="1">
      <c r="A37" s="7">
        <v>1</v>
      </c>
      <c r="B37" s="7" t="s">
        <v>152</v>
      </c>
      <c r="C37" s="7" t="s">
        <v>2515</v>
      </c>
      <c r="D37" s="7" t="s">
        <v>419</v>
      </c>
      <c r="E37" s="9" t="s">
        <v>661</v>
      </c>
      <c r="F37" s="10" t="s">
        <v>2543</v>
      </c>
      <c r="G37" s="9" t="s">
        <v>2544</v>
      </c>
      <c r="H37" s="9">
        <v>800000</v>
      </c>
      <c r="I37" s="146" t="s">
        <v>799</v>
      </c>
    </row>
    <row r="38" spans="1:9" ht="27" customHeight="1">
      <c r="A38" s="7"/>
      <c r="B38" s="7"/>
      <c r="C38" s="7" t="s">
        <v>679</v>
      </c>
      <c r="D38" s="7"/>
      <c r="E38" s="9" t="s">
        <v>2545</v>
      </c>
      <c r="F38" s="10" t="s">
        <v>2543</v>
      </c>
      <c r="G38" s="9" t="s">
        <v>2544</v>
      </c>
      <c r="H38" s="9">
        <v>800000</v>
      </c>
      <c r="I38" s="146" t="s">
        <v>1880</v>
      </c>
    </row>
    <row r="39" spans="1:9" ht="27" customHeight="1">
      <c r="A39" s="7"/>
      <c r="B39" s="7"/>
      <c r="C39" s="7"/>
      <c r="D39" s="7"/>
      <c r="E39" s="7" t="s">
        <v>2546</v>
      </c>
      <c r="F39" s="10" t="s">
        <v>2547</v>
      </c>
      <c r="G39" s="9" t="s">
        <v>2548</v>
      </c>
      <c r="H39" s="9">
        <v>1600000</v>
      </c>
      <c r="I39" s="607" t="s">
        <v>799</v>
      </c>
    </row>
    <row r="40" spans="1:9" ht="27" customHeight="1">
      <c r="A40" s="7"/>
      <c r="B40" s="7"/>
      <c r="C40" s="7"/>
      <c r="D40" s="7"/>
      <c r="E40" s="9" t="s">
        <v>2549</v>
      </c>
      <c r="F40" s="10" t="s">
        <v>2550</v>
      </c>
      <c r="G40" s="9" t="s">
        <v>971</v>
      </c>
      <c r="H40" s="9">
        <v>800000</v>
      </c>
      <c r="I40" s="607" t="s">
        <v>799</v>
      </c>
    </row>
    <row r="41" spans="1:9" ht="27" customHeight="1">
      <c r="A41" s="7"/>
      <c r="B41" s="7"/>
      <c r="C41" s="7"/>
      <c r="D41" s="7"/>
      <c r="E41" s="9" t="s">
        <v>2551</v>
      </c>
      <c r="F41" s="10" t="s">
        <v>2552</v>
      </c>
      <c r="G41" s="9" t="s">
        <v>971</v>
      </c>
      <c r="H41" s="9">
        <v>800000</v>
      </c>
      <c r="I41" s="607" t="s">
        <v>799</v>
      </c>
    </row>
    <row r="42" spans="1:9" ht="27" customHeight="1">
      <c r="A42" s="7"/>
      <c r="B42" s="7"/>
      <c r="C42" s="7"/>
      <c r="D42" s="7"/>
      <c r="E42" s="9"/>
      <c r="F42" s="10"/>
      <c r="G42" s="9"/>
      <c r="H42" s="9"/>
    </row>
    <row r="43" spans="1:9" ht="27" customHeight="1">
      <c r="A43" s="7"/>
      <c r="B43" s="7"/>
      <c r="C43" s="7"/>
      <c r="D43" s="7"/>
      <c r="E43" s="9"/>
      <c r="F43" s="10"/>
      <c r="G43" s="9"/>
      <c r="H43" s="9"/>
    </row>
    <row r="44" spans="1:9" ht="27" customHeight="1">
      <c r="A44" s="7"/>
      <c r="B44" s="7"/>
      <c r="C44" s="7"/>
      <c r="D44" s="7"/>
      <c r="E44" s="9"/>
      <c r="F44" s="10"/>
      <c r="G44" s="9"/>
      <c r="H44" s="9"/>
    </row>
    <row r="45" spans="1:9" ht="27" customHeight="1">
      <c r="A45" s="7"/>
      <c r="B45" s="7"/>
      <c r="C45" s="7"/>
      <c r="D45" s="7"/>
      <c r="E45" s="9"/>
      <c r="F45" s="10"/>
      <c r="G45" s="9"/>
      <c r="H45" s="9"/>
    </row>
    <row r="46" spans="1:9" ht="27" customHeight="1">
      <c r="A46" s="7"/>
      <c r="B46" s="7"/>
      <c r="C46" s="7"/>
      <c r="D46" s="7"/>
      <c r="E46" s="9"/>
      <c r="F46" s="10"/>
      <c r="G46" s="9"/>
      <c r="H46" s="9"/>
    </row>
    <row r="47" spans="1:9" ht="27" customHeight="1">
      <c r="A47" s="7"/>
      <c r="B47" s="7"/>
      <c r="C47" s="7"/>
      <c r="D47" s="7"/>
      <c r="E47" s="9"/>
      <c r="F47" s="10"/>
      <c r="G47" s="9"/>
      <c r="H47" s="9"/>
    </row>
    <row r="48" spans="1:9" ht="27" customHeight="1">
      <c r="A48" s="7"/>
      <c r="B48" s="7"/>
      <c r="C48" s="7"/>
      <c r="D48" s="7"/>
      <c r="E48" s="9"/>
      <c r="F48" s="10"/>
      <c r="G48" s="9"/>
      <c r="H48" s="9"/>
    </row>
    <row r="49" spans="1:8" ht="27" customHeight="1">
      <c r="A49" s="12"/>
      <c r="B49" s="12"/>
      <c r="C49" s="12"/>
      <c r="D49" s="12"/>
      <c r="E49" s="13"/>
      <c r="F49" s="14"/>
      <c r="G49" s="13">
        <f>SUM(G37:G48)</f>
        <v>0</v>
      </c>
      <c r="H49" s="13">
        <f>SUM(H37:H48)</f>
        <v>4800000</v>
      </c>
    </row>
    <row r="50" spans="1:8" ht="27" customHeight="1"/>
  </sheetData>
  <mergeCells count="24">
    <mergeCell ref="A16:H16"/>
    <mergeCell ref="A17:A18"/>
    <mergeCell ref="B17:B18"/>
    <mergeCell ref="C17:C18"/>
    <mergeCell ref="D17:D18"/>
    <mergeCell ref="E17:E18"/>
    <mergeCell ref="F17:F18"/>
    <mergeCell ref="G17:G18"/>
    <mergeCell ref="A2:H2"/>
    <mergeCell ref="A3:A4"/>
    <mergeCell ref="B3:B4"/>
    <mergeCell ref="C3:C4"/>
    <mergeCell ref="D3:D4"/>
    <mergeCell ref="E3:E4"/>
    <mergeCell ref="F3:F4"/>
    <mergeCell ref="G3:G4"/>
    <mergeCell ref="A34:H34"/>
    <mergeCell ref="A35:A36"/>
    <mergeCell ref="B35:B36"/>
    <mergeCell ref="C35:C36"/>
    <mergeCell ref="D35:D36"/>
    <mergeCell ref="E35:E36"/>
    <mergeCell ref="F35:F36"/>
    <mergeCell ref="G35:G36"/>
  </mergeCells>
  <hyperlinks>
    <hyperlink ref="A1" location="Name!A1" display="Name!A1" xr:uid="{2B59525C-230B-48B8-AE7D-0F231BD1CABB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6D8C-7EDE-462F-84EC-5E8F8C216337}">
  <dimension ref="A1:K32"/>
  <sheetViews>
    <sheetView workbookViewId="0"/>
  </sheetViews>
  <sheetFormatPr defaultRowHeight="15"/>
  <cols>
    <col min="3" max="3" width="25.140625" customWidth="1"/>
    <col min="4" max="4" width="21.5703125" customWidth="1"/>
    <col min="5" max="8" width="12.7109375" customWidth="1"/>
  </cols>
  <sheetData>
    <row r="1" spans="1:11">
      <c r="A1" s="410" t="s">
        <v>648</v>
      </c>
    </row>
    <row r="2" spans="1:11" ht="21.75">
      <c r="A2" s="656" t="s">
        <v>2553</v>
      </c>
      <c r="B2" s="657"/>
      <c r="C2" s="657"/>
      <c r="D2" s="657"/>
      <c r="E2" s="657"/>
      <c r="F2" s="657"/>
      <c r="G2" s="657"/>
      <c r="H2" s="658"/>
    </row>
    <row r="3" spans="1:11" ht="21.75">
      <c r="A3" s="7" t="s">
        <v>413</v>
      </c>
      <c r="B3" s="7" t="s">
        <v>152</v>
      </c>
      <c r="C3" s="7" t="s">
        <v>415</v>
      </c>
      <c r="D3" s="7" t="s">
        <v>703</v>
      </c>
      <c r="E3" s="147" t="s">
        <v>2554</v>
      </c>
      <c r="F3" s="10" t="s">
        <v>2519</v>
      </c>
      <c r="G3" s="9">
        <v>600000</v>
      </c>
      <c r="H3" s="9"/>
    </row>
    <row r="4" spans="1:11" ht="21.75">
      <c r="A4" s="7"/>
      <c r="B4" s="7"/>
      <c r="C4" s="7"/>
      <c r="D4" s="7" t="s">
        <v>2555</v>
      </c>
      <c r="E4" s="147" t="s">
        <v>2554</v>
      </c>
      <c r="F4" s="10" t="s">
        <v>2519</v>
      </c>
      <c r="G4" s="9">
        <v>600000</v>
      </c>
      <c r="H4" s="9"/>
    </row>
    <row r="5" spans="1:11" ht="21.75">
      <c r="A5" s="7"/>
      <c r="B5" s="7"/>
      <c r="C5" s="7"/>
      <c r="D5" s="7" t="s">
        <v>1303</v>
      </c>
      <c r="E5" s="147" t="s">
        <v>2556</v>
      </c>
      <c r="F5" s="10" t="s">
        <v>1079</v>
      </c>
      <c r="G5" s="9">
        <v>600000</v>
      </c>
      <c r="H5" s="9"/>
      <c r="I5" t="s">
        <v>1042</v>
      </c>
    </row>
    <row r="6" spans="1:11" ht="21.75">
      <c r="A6" s="7"/>
      <c r="B6" s="7"/>
      <c r="C6" s="7"/>
      <c r="D6" s="7"/>
      <c r="E6" s="9"/>
      <c r="F6" s="10"/>
      <c r="G6" s="9"/>
      <c r="H6" s="9"/>
      <c r="I6" s="44" t="s">
        <v>2557</v>
      </c>
      <c r="J6" s="44"/>
      <c r="K6" s="44"/>
    </row>
    <row r="7" spans="1:11" ht="21.75">
      <c r="A7" s="7"/>
      <c r="B7" s="7"/>
      <c r="C7" s="7"/>
      <c r="D7" s="7"/>
      <c r="E7" s="9"/>
      <c r="F7" s="10"/>
      <c r="G7" s="9"/>
      <c r="H7" s="9"/>
    </row>
    <row r="8" spans="1:11" ht="21.75">
      <c r="A8" s="7"/>
      <c r="B8" s="7"/>
      <c r="C8" s="7"/>
      <c r="D8" s="7"/>
      <c r="E8" s="9"/>
      <c r="F8" s="10"/>
      <c r="G8" s="9"/>
      <c r="H8" s="9"/>
    </row>
    <row r="9" spans="1:11" ht="21.75">
      <c r="A9" s="7"/>
      <c r="B9" s="7"/>
      <c r="C9" s="7"/>
      <c r="D9" s="7"/>
      <c r="E9" s="9"/>
      <c r="F9" s="10"/>
      <c r="G9" s="9"/>
      <c r="H9" s="9"/>
    </row>
    <row r="10" spans="1:11" ht="21.75">
      <c r="A10" s="7"/>
      <c r="B10" s="7"/>
      <c r="C10" s="7"/>
      <c r="D10" s="7"/>
      <c r="E10" s="9"/>
      <c r="F10" s="10"/>
      <c r="G10" s="9"/>
      <c r="H10" s="9"/>
    </row>
    <row r="11" spans="1:11" ht="21.75">
      <c r="A11" s="7"/>
      <c r="B11" s="7"/>
      <c r="C11" s="7"/>
      <c r="D11" s="7"/>
      <c r="E11" s="9"/>
      <c r="F11" s="10"/>
      <c r="G11" s="9"/>
      <c r="H11" s="9"/>
    </row>
    <row r="12" spans="1:11" ht="21.75">
      <c r="A12" s="7"/>
      <c r="B12" s="7"/>
      <c r="C12" s="7"/>
      <c r="D12" s="7"/>
      <c r="E12" s="9"/>
      <c r="F12" s="10"/>
      <c r="G12" s="9"/>
      <c r="H12" s="9"/>
    </row>
    <row r="13" spans="1:11" ht="21.75">
      <c r="A13" s="7"/>
      <c r="B13" s="7"/>
      <c r="C13" s="7"/>
      <c r="D13" s="7"/>
      <c r="E13" s="9"/>
      <c r="F13" s="10"/>
      <c r="G13" s="9"/>
      <c r="H13" s="9"/>
    </row>
    <row r="14" spans="1:11" ht="21.75">
      <c r="A14" s="7"/>
      <c r="B14" s="7"/>
      <c r="C14" s="7"/>
      <c r="D14" s="7"/>
      <c r="E14" s="9"/>
      <c r="F14" s="10"/>
      <c r="G14" s="9"/>
      <c r="H14" s="9"/>
    </row>
    <row r="15" spans="1:11" ht="21.75">
      <c r="A15" s="166"/>
      <c r="B15" s="166"/>
      <c r="C15" s="166"/>
      <c r="D15" s="166"/>
      <c r="E15" s="167"/>
      <c r="F15" s="168"/>
      <c r="G15" s="167"/>
      <c r="H15" s="167">
        <f>SUM(H3:H14)</f>
        <v>0</v>
      </c>
    </row>
    <row r="19" spans="1:8" ht="25.15" customHeight="1">
      <c r="A19" s="711" t="s">
        <v>414</v>
      </c>
      <c r="B19" s="712"/>
      <c r="C19" s="712"/>
      <c r="D19" s="712"/>
      <c r="E19" s="712"/>
      <c r="F19" s="712"/>
      <c r="G19" s="712"/>
      <c r="H19" s="713"/>
    </row>
    <row r="20" spans="1:8" ht="21.6" customHeight="1">
      <c r="A20" s="7" t="s">
        <v>413</v>
      </c>
      <c r="B20" s="7" t="s">
        <v>152</v>
      </c>
      <c r="C20" s="7" t="s">
        <v>415</v>
      </c>
      <c r="D20" s="7" t="s">
        <v>661</v>
      </c>
      <c r="E20" s="147" t="s">
        <v>2558</v>
      </c>
      <c r="F20" s="10" t="s">
        <v>2559</v>
      </c>
      <c r="G20" s="9">
        <v>800000</v>
      </c>
      <c r="H20" s="9" t="s">
        <v>664</v>
      </c>
    </row>
    <row r="21" spans="1:8" ht="21.6" customHeight="1">
      <c r="A21" s="7"/>
      <c r="B21" s="7"/>
      <c r="C21" s="7"/>
      <c r="D21" s="7" t="s">
        <v>417</v>
      </c>
      <c r="E21" s="147" t="s">
        <v>2558</v>
      </c>
      <c r="F21" s="10" t="s">
        <v>2559</v>
      </c>
      <c r="G21" s="9">
        <v>2400000</v>
      </c>
      <c r="H21" s="9" t="s">
        <v>664</v>
      </c>
    </row>
    <row r="22" spans="1:8" ht="21.6" customHeight="1">
      <c r="A22" s="7"/>
      <c r="B22" s="7"/>
      <c r="C22" s="7"/>
      <c r="D22" s="7"/>
      <c r="E22" s="147"/>
      <c r="F22" s="10"/>
      <c r="G22" s="9"/>
      <c r="H22" s="9"/>
    </row>
    <row r="23" spans="1:8" ht="21.6" customHeight="1">
      <c r="A23" s="7"/>
      <c r="B23" s="7"/>
      <c r="C23" s="7"/>
      <c r="D23" s="7"/>
      <c r="E23" s="9"/>
      <c r="F23" s="10"/>
      <c r="G23" s="9"/>
      <c r="H23" s="9"/>
    </row>
    <row r="24" spans="1:8" ht="21.6" customHeight="1">
      <c r="A24" s="7"/>
      <c r="B24" s="7"/>
      <c r="C24" s="7"/>
      <c r="D24" s="7"/>
      <c r="E24" s="9"/>
      <c r="F24" s="10"/>
      <c r="G24" s="9"/>
      <c r="H24" s="9"/>
    </row>
    <row r="25" spans="1:8" ht="21.6" customHeight="1">
      <c r="A25" s="7"/>
      <c r="B25" s="7"/>
      <c r="C25" s="7"/>
      <c r="D25" s="7"/>
      <c r="E25" s="9"/>
      <c r="F25" s="10"/>
      <c r="G25" s="9"/>
      <c r="H25" s="9"/>
    </row>
    <row r="26" spans="1:8" ht="21.6" customHeight="1">
      <c r="A26" s="7"/>
      <c r="B26" s="7"/>
      <c r="C26" s="7"/>
      <c r="D26" s="7"/>
      <c r="E26" s="9"/>
      <c r="F26" s="10"/>
      <c r="G26" s="9"/>
      <c r="H26" s="9"/>
    </row>
    <row r="27" spans="1:8" ht="21.6" customHeight="1">
      <c r="A27" s="7"/>
      <c r="B27" s="7"/>
      <c r="C27" s="7"/>
      <c r="D27" s="7"/>
      <c r="E27" s="9"/>
      <c r="F27" s="10"/>
      <c r="G27" s="9"/>
      <c r="H27" s="9"/>
    </row>
    <row r="28" spans="1:8" ht="21.6" customHeight="1">
      <c r="A28" s="7"/>
      <c r="B28" s="7"/>
      <c r="C28" s="7"/>
      <c r="D28" s="7"/>
      <c r="E28" s="9"/>
      <c r="F28" s="10"/>
      <c r="G28" s="9"/>
      <c r="H28" s="9"/>
    </row>
    <row r="29" spans="1:8" ht="21.6" customHeight="1">
      <c r="A29" s="7"/>
      <c r="B29" s="7"/>
      <c r="C29" s="7"/>
      <c r="D29" s="7"/>
      <c r="E29" s="9"/>
      <c r="F29" s="10"/>
      <c r="G29" s="9"/>
      <c r="H29" s="9"/>
    </row>
    <row r="30" spans="1:8" ht="21.6" customHeight="1">
      <c r="A30" s="7"/>
      <c r="B30" s="7"/>
      <c r="C30" s="7"/>
      <c r="D30" s="7"/>
      <c r="E30" s="9"/>
      <c r="F30" s="10"/>
      <c r="G30" s="9"/>
      <c r="H30" s="9"/>
    </row>
    <row r="31" spans="1:8" ht="21.6" customHeight="1">
      <c r="A31" s="7"/>
      <c r="B31" s="7"/>
      <c r="C31" s="7"/>
      <c r="D31" s="7"/>
      <c r="E31" s="9"/>
      <c r="F31" s="10"/>
      <c r="G31" s="9"/>
      <c r="H31" s="9"/>
    </row>
    <row r="32" spans="1:8" ht="21.75">
      <c r="A32" s="166"/>
      <c r="B32" s="166"/>
      <c r="C32" s="166"/>
      <c r="D32" s="166"/>
      <c r="E32" s="167"/>
      <c r="F32" s="168"/>
      <c r="G32" s="167">
        <f>SUM(G20:G30)</f>
        <v>3200000</v>
      </c>
      <c r="H32" s="167">
        <f>SUM(H20:H31)</f>
        <v>0</v>
      </c>
    </row>
  </sheetData>
  <mergeCells count="2">
    <mergeCell ref="A2:H2"/>
    <mergeCell ref="A19:H19"/>
  </mergeCells>
  <hyperlinks>
    <hyperlink ref="A1" location="Name!A1" display="Name!A1" xr:uid="{6B16CA35-2DA7-4F11-955D-F1DD64C31C8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9201-2352-49AB-BA5E-04607923995D}">
  <dimension ref="A1:I44"/>
  <sheetViews>
    <sheetView topLeftCell="A22" workbookViewId="0">
      <selection activeCell="A32" sqref="A32"/>
    </sheetView>
  </sheetViews>
  <sheetFormatPr defaultRowHeight="15"/>
  <cols>
    <col min="3" max="3" width="19.28515625" customWidth="1"/>
    <col min="4" max="4" width="17.140625" customWidth="1"/>
    <col min="5" max="5" width="28.140625" customWidth="1"/>
    <col min="7" max="7" width="14.7109375" customWidth="1"/>
    <col min="8" max="8" width="16.5703125" customWidth="1"/>
  </cols>
  <sheetData>
    <row r="1" spans="1:8">
      <c r="A1" s="410" t="s">
        <v>648</v>
      </c>
    </row>
    <row r="2" spans="1:8" ht="21.75">
      <c r="A2" s="644" t="s">
        <v>261</v>
      </c>
      <c r="B2" s="644"/>
      <c r="C2" s="644"/>
      <c r="D2" s="644"/>
      <c r="E2" s="644"/>
      <c r="F2" s="644"/>
      <c r="G2" s="644"/>
      <c r="H2" s="644"/>
    </row>
    <row r="3" spans="1:8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</row>
    <row r="4" spans="1:8" ht="21.75">
      <c r="A4" s="714"/>
      <c r="B4" s="715"/>
      <c r="C4" s="715"/>
      <c r="D4" s="715"/>
      <c r="E4" s="716"/>
      <c r="F4" s="715"/>
      <c r="G4" s="715"/>
      <c r="H4" s="288" t="s">
        <v>660</v>
      </c>
    </row>
    <row r="5" spans="1:8" ht="21.75">
      <c r="A5" s="26">
        <v>1</v>
      </c>
      <c r="B5" s="26" t="s">
        <v>152</v>
      </c>
      <c r="C5" s="186" t="s">
        <v>2560</v>
      </c>
      <c r="D5" s="26" t="s">
        <v>2561</v>
      </c>
      <c r="E5" s="289" t="s">
        <v>703</v>
      </c>
      <c r="F5" s="151" t="s">
        <v>2562</v>
      </c>
      <c r="G5" s="28" t="s">
        <v>2563</v>
      </c>
      <c r="H5" s="28">
        <v>600000</v>
      </c>
    </row>
    <row r="6" spans="1:8" ht="21.75">
      <c r="A6" s="26"/>
      <c r="B6" s="26"/>
      <c r="C6" s="26"/>
      <c r="D6" s="26"/>
      <c r="E6" s="28" t="s">
        <v>2564</v>
      </c>
      <c r="F6" s="151" t="s">
        <v>2562</v>
      </c>
      <c r="G6" s="28" t="s">
        <v>2563</v>
      </c>
      <c r="H6" s="28">
        <v>600000</v>
      </c>
    </row>
    <row r="7" spans="1:8" ht="21.75">
      <c r="A7" s="26"/>
      <c r="B7" s="26"/>
      <c r="C7" s="26"/>
      <c r="D7" s="153"/>
      <c r="E7" s="187"/>
      <c r="F7" s="290"/>
      <c r="G7" s="28"/>
      <c r="H7" s="28"/>
    </row>
    <row r="8" spans="1:8" ht="21.75">
      <c r="A8" s="26"/>
      <c r="B8" s="26"/>
      <c r="C8" s="26"/>
      <c r="D8" s="153"/>
      <c r="E8" s="187"/>
      <c r="F8" s="290"/>
      <c r="G8" s="28"/>
      <c r="H8" s="28"/>
    </row>
    <row r="9" spans="1:8" ht="21.75">
      <c r="A9" s="26"/>
      <c r="B9" s="26"/>
      <c r="C9" s="26"/>
      <c r="D9" s="153"/>
      <c r="E9" s="187"/>
      <c r="F9" s="290"/>
      <c r="G9" s="28"/>
      <c r="H9" s="28"/>
    </row>
    <row r="10" spans="1:8" ht="21.75">
      <c r="A10" s="26"/>
      <c r="B10" s="26"/>
      <c r="C10" s="26"/>
      <c r="D10" s="153"/>
      <c r="E10" s="187"/>
      <c r="F10" s="290"/>
      <c r="G10" s="28"/>
      <c r="H10" s="28"/>
    </row>
    <row r="11" spans="1:8" ht="21.75">
      <c r="A11" s="26"/>
      <c r="B11" s="26"/>
      <c r="C11" s="26"/>
      <c r="D11" s="153"/>
      <c r="E11" s="187"/>
      <c r="F11" s="290"/>
      <c r="G11" s="28"/>
      <c r="H11" s="28"/>
    </row>
    <row r="12" spans="1:8" ht="21.75">
      <c r="A12" s="26"/>
      <c r="B12" s="26"/>
      <c r="C12" s="26"/>
      <c r="D12" s="153"/>
      <c r="E12" s="187"/>
      <c r="F12" s="290"/>
      <c r="G12" s="28"/>
      <c r="H12" s="28"/>
    </row>
    <row r="13" spans="1:8" ht="21.75">
      <c r="A13" s="26"/>
      <c r="B13" s="26"/>
      <c r="C13" s="26"/>
      <c r="D13" s="153"/>
      <c r="E13" s="187"/>
      <c r="F13" s="290"/>
      <c r="G13" s="28"/>
      <c r="H13" s="28"/>
    </row>
    <row r="14" spans="1:8" ht="18">
      <c r="A14" s="93"/>
      <c r="B14" s="93"/>
      <c r="C14" s="93"/>
      <c r="D14" s="93"/>
      <c r="E14" s="93"/>
      <c r="F14" s="291"/>
      <c r="G14" s="93"/>
      <c r="H14" s="292">
        <f>SUM(H5:H12)</f>
        <v>1200000</v>
      </c>
    </row>
    <row r="15" spans="1:8" ht="18">
      <c r="A15" s="293"/>
      <c r="B15" s="294"/>
      <c r="C15" s="294"/>
      <c r="D15" s="294"/>
      <c r="E15" s="294"/>
      <c r="F15" s="295"/>
      <c r="G15" s="294"/>
      <c r="H15" s="296"/>
    </row>
    <row r="18" spans="1:8" ht="21.75">
      <c r="A18" s="644" t="s">
        <v>2565</v>
      </c>
      <c r="B18" s="644"/>
      <c r="C18" s="644"/>
      <c r="D18" s="644"/>
      <c r="E18" s="644"/>
      <c r="F18" s="644"/>
      <c r="G18" s="644"/>
      <c r="H18" s="644"/>
    </row>
    <row r="19" spans="1:8" ht="21.75">
      <c r="A19" s="645" t="s">
        <v>653</v>
      </c>
      <c r="B19" s="647" t="s">
        <v>654</v>
      </c>
      <c r="C19" s="645" t="s">
        <v>655</v>
      </c>
      <c r="D19" s="645" t="s">
        <v>12</v>
      </c>
      <c r="E19" s="647" t="s">
        <v>656</v>
      </c>
      <c r="F19" s="645" t="s">
        <v>657</v>
      </c>
      <c r="G19" s="647" t="s">
        <v>658</v>
      </c>
      <c r="H19" s="3" t="s">
        <v>659</v>
      </c>
    </row>
    <row r="20" spans="1:8" ht="21.75">
      <c r="A20" s="646"/>
      <c r="B20" s="646"/>
      <c r="C20" s="646"/>
      <c r="D20" s="646"/>
      <c r="E20" s="648"/>
      <c r="F20" s="646"/>
      <c r="G20" s="646"/>
      <c r="H20" s="6" t="s">
        <v>660</v>
      </c>
    </row>
    <row r="21" spans="1:8" ht="21.75">
      <c r="A21" s="7">
        <v>1</v>
      </c>
      <c r="B21" s="7" t="s">
        <v>152</v>
      </c>
      <c r="C21" s="7" t="s">
        <v>451</v>
      </c>
      <c r="D21" s="7" t="s">
        <v>3</v>
      </c>
      <c r="E21" s="9" t="s">
        <v>2566</v>
      </c>
      <c r="F21" s="10" t="s">
        <v>2567</v>
      </c>
      <c r="G21" s="9" t="s">
        <v>2448</v>
      </c>
      <c r="H21" s="9">
        <v>600000</v>
      </c>
    </row>
    <row r="22" spans="1:8" ht="21.75">
      <c r="A22" s="7"/>
      <c r="B22" s="7"/>
      <c r="C22" s="7" t="s">
        <v>679</v>
      </c>
      <c r="D22" s="7"/>
      <c r="E22" s="9" t="s">
        <v>2568</v>
      </c>
      <c r="F22" s="10" t="s">
        <v>2567</v>
      </c>
      <c r="G22" s="9" t="s">
        <v>2448</v>
      </c>
      <c r="H22" s="9">
        <v>600000</v>
      </c>
    </row>
    <row r="23" spans="1:8" ht="21.75">
      <c r="A23" s="7"/>
      <c r="B23" s="7"/>
      <c r="C23" s="7"/>
      <c r="D23" s="7"/>
      <c r="E23" s="9" t="s">
        <v>2569</v>
      </c>
      <c r="F23" s="10" t="s">
        <v>2567</v>
      </c>
      <c r="G23" s="9" t="s">
        <v>2448</v>
      </c>
      <c r="H23" s="9">
        <v>600000</v>
      </c>
    </row>
    <row r="24" spans="1:8" ht="21.75">
      <c r="A24" s="7"/>
      <c r="B24" s="7"/>
      <c r="C24" s="7"/>
      <c r="D24" s="7"/>
      <c r="E24" s="9" t="s">
        <v>2570</v>
      </c>
      <c r="F24" s="10" t="s">
        <v>2567</v>
      </c>
      <c r="G24" s="9" t="s">
        <v>2448</v>
      </c>
      <c r="H24" s="9">
        <v>600000</v>
      </c>
    </row>
    <row r="25" spans="1:8" ht="21.75">
      <c r="A25" s="7"/>
      <c r="B25" s="7"/>
      <c r="C25" s="7"/>
      <c r="D25" s="7"/>
      <c r="E25" s="9"/>
      <c r="F25" s="10"/>
      <c r="G25" s="9"/>
      <c r="H25" s="9"/>
    </row>
    <row r="26" spans="1:8" ht="21.75">
      <c r="A26" s="7"/>
      <c r="B26" s="7"/>
      <c r="C26" s="7"/>
      <c r="D26" s="7"/>
      <c r="E26" s="9"/>
      <c r="F26" s="10"/>
      <c r="G26" s="9"/>
      <c r="H26" s="9"/>
    </row>
    <row r="27" spans="1:8" ht="21.75">
      <c r="A27" s="7"/>
      <c r="B27" s="7"/>
      <c r="C27" s="7"/>
      <c r="D27" s="7"/>
      <c r="E27" s="9"/>
      <c r="F27" s="10"/>
      <c r="G27" s="9"/>
      <c r="H27" s="9"/>
    </row>
    <row r="28" spans="1:8" ht="21.75">
      <c r="A28" s="7"/>
      <c r="B28" s="7"/>
      <c r="C28" s="7"/>
      <c r="D28" s="7"/>
      <c r="E28" s="9"/>
      <c r="F28" s="10"/>
      <c r="G28" s="9"/>
      <c r="H28" s="9"/>
    </row>
    <row r="29" spans="1:8" ht="21.75">
      <c r="A29" s="166"/>
      <c r="B29" s="166"/>
      <c r="C29" s="166"/>
      <c r="D29" s="166"/>
      <c r="E29" s="167"/>
      <c r="F29" s="168"/>
      <c r="G29" s="167"/>
      <c r="H29" s="167">
        <f>SUM(H21:H25)</f>
        <v>2400000</v>
      </c>
    </row>
    <row r="32" spans="1:8">
      <c r="A32" s="410" t="s">
        <v>648</v>
      </c>
    </row>
    <row r="33" spans="1:9" ht="21.75">
      <c r="A33" s="644" t="s">
        <v>450</v>
      </c>
      <c r="B33" s="644"/>
      <c r="C33" s="644"/>
      <c r="D33" s="644"/>
      <c r="E33" s="644"/>
      <c r="F33" s="644"/>
      <c r="G33" s="644"/>
      <c r="H33" s="644"/>
    </row>
    <row r="34" spans="1:9" ht="21.75">
      <c r="A34" s="645" t="s">
        <v>653</v>
      </c>
      <c r="B34" s="647" t="s">
        <v>654</v>
      </c>
      <c r="C34" s="645" t="s">
        <v>655</v>
      </c>
      <c r="D34" s="645" t="s">
        <v>12</v>
      </c>
      <c r="E34" s="647" t="s">
        <v>656</v>
      </c>
      <c r="F34" s="645" t="s">
        <v>657</v>
      </c>
      <c r="G34" s="647" t="s">
        <v>658</v>
      </c>
      <c r="H34" s="3" t="s">
        <v>659</v>
      </c>
    </row>
    <row r="35" spans="1:9" ht="21.75">
      <c r="A35" s="646"/>
      <c r="B35" s="646"/>
      <c r="C35" s="646"/>
      <c r="D35" s="646"/>
      <c r="E35" s="648"/>
      <c r="F35" s="646"/>
      <c r="G35" s="646"/>
      <c r="H35" s="6" t="s">
        <v>660</v>
      </c>
    </row>
    <row r="36" spans="1:9" ht="21.75">
      <c r="A36" s="7">
        <v>1</v>
      </c>
      <c r="B36" s="7" t="s">
        <v>152</v>
      </c>
      <c r="C36" s="7" t="s">
        <v>451</v>
      </c>
      <c r="D36" s="7" t="s">
        <v>3</v>
      </c>
      <c r="E36" s="9" t="s">
        <v>661</v>
      </c>
      <c r="F36" s="10" t="s">
        <v>2571</v>
      </c>
      <c r="G36" s="9" t="s">
        <v>2572</v>
      </c>
      <c r="H36" s="9">
        <v>800000</v>
      </c>
      <c r="I36" s="146" t="s">
        <v>664</v>
      </c>
    </row>
    <row r="37" spans="1:9" ht="21.75">
      <c r="A37" s="7"/>
      <c r="B37" s="7"/>
      <c r="C37" s="7" t="s">
        <v>679</v>
      </c>
      <c r="D37" s="7"/>
      <c r="E37" s="9" t="s">
        <v>2573</v>
      </c>
      <c r="F37" s="10" t="s">
        <v>2571</v>
      </c>
      <c r="G37" s="9" t="s">
        <v>2572</v>
      </c>
      <c r="H37" s="9">
        <v>800000</v>
      </c>
      <c r="I37" s="146" t="s">
        <v>664</v>
      </c>
    </row>
    <row r="38" spans="1:9" ht="21.75">
      <c r="A38" s="7"/>
      <c r="B38" s="7"/>
      <c r="C38" s="7"/>
      <c r="D38" s="7"/>
      <c r="E38" s="9" t="s">
        <v>453</v>
      </c>
      <c r="F38" s="10" t="s">
        <v>2574</v>
      </c>
      <c r="G38" s="9" t="s">
        <v>682</v>
      </c>
      <c r="H38" s="9">
        <v>2400000</v>
      </c>
      <c r="I38" s="146" t="s">
        <v>667</v>
      </c>
    </row>
    <row r="39" spans="1:9" ht="21.75">
      <c r="A39" s="7"/>
      <c r="B39" s="7"/>
      <c r="C39" s="7"/>
      <c r="D39" s="7"/>
      <c r="E39" s="9"/>
      <c r="F39" s="10"/>
      <c r="G39" s="9"/>
      <c r="H39" s="9"/>
    </row>
    <row r="40" spans="1:9" ht="21.75">
      <c r="A40" s="7"/>
      <c r="B40" s="7"/>
      <c r="C40" s="7"/>
      <c r="D40" s="7"/>
      <c r="E40" s="9"/>
      <c r="F40" s="10"/>
      <c r="G40" s="9"/>
      <c r="H40" s="9"/>
    </row>
    <row r="41" spans="1:9" ht="21.75">
      <c r="A41" s="7"/>
      <c r="B41" s="7"/>
      <c r="C41" s="7"/>
      <c r="D41" s="7"/>
      <c r="E41" s="9"/>
      <c r="F41" s="10"/>
      <c r="G41" s="9"/>
      <c r="H41" s="9"/>
    </row>
    <row r="42" spans="1:9" ht="21.75">
      <c r="A42" s="7"/>
      <c r="B42" s="7"/>
      <c r="C42" s="7"/>
      <c r="D42" s="7"/>
      <c r="E42" s="9"/>
      <c r="F42" s="10"/>
      <c r="G42" s="9"/>
      <c r="H42" s="9"/>
    </row>
    <row r="43" spans="1:9" ht="21.75">
      <c r="A43" s="7"/>
      <c r="B43" s="7"/>
      <c r="C43" s="7"/>
      <c r="D43" s="7"/>
      <c r="E43" s="9"/>
      <c r="F43" s="10"/>
      <c r="G43" s="9"/>
      <c r="H43" s="9"/>
    </row>
    <row r="44" spans="1:9" ht="21.75">
      <c r="A44" s="166"/>
      <c r="B44" s="166"/>
      <c r="C44" s="166"/>
      <c r="D44" s="166"/>
      <c r="E44" s="167"/>
      <c r="F44" s="168"/>
      <c r="G44" s="167"/>
      <c r="H44" s="167">
        <f>SUM(H36:H40)</f>
        <v>4000000</v>
      </c>
    </row>
  </sheetData>
  <mergeCells count="24">
    <mergeCell ref="A33:H33"/>
    <mergeCell ref="A34:A35"/>
    <mergeCell ref="B34:B35"/>
    <mergeCell ref="C34:C35"/>
    <mergeCell ref="D34:D35"/>
    <mergeCell ref="E34:E35"/>
    <mergeCell ref="F34:F35"/>
    <mergeCell ref="G34:G35"/>
    <mergeCell ref="A18:H18"/>
    <mergeCell ref="A19:A20"/>
    <mergeCell ref="B19:B20"/>
    <mergeCell ref="C19:C20"/>
    <mergeCell ref="D19:D20"/>
    <mergeCell ref="E19:E20"/>
    <mergeCell ref="F19:F20"/>
    <mergeCell ref="G19:G20"/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954236E5-BCF2-4906-BC2F-01B942D5C6ED}"/>
    <hyperlink ref="A32" location="Name!A1" display="Name!A1" xr:uid="{2C49B265-7120-47EC-94CF-96722EC939FC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0A7B-2F53-4103-85A4-A7F74B8EA3FA}">
  <dimension ref="A1:H27"/>
  <sheetViews>
    <sheetView workbookViewId="0"/>
  </sheetViews>
  <sheetFormatPr defaultRowHeight="15"/>
  <cols>
    <col min="3" max="3" width="24.85546875" customWidth="1"/>
    <col min="4" max="4" width="31.7109375" customWidth="1"/>
    <col min="6" max="6" width="13.7109375" customWidth="1"/>
    <col min="7" max="8" width="16.140625" customWidth="1"/>
  </cols>
  <sheetData>
    <row r="1" spans="1:8">
      <c r="A1" s="410" t="s">
        <v>648</v>
      </c>
    </row>
    <row r="2" spans="1:8" ht="26.25">
      <c r="A2" s="680" t="s">
        <v>2575</v>
      </c>
      <c r="B2" s="680"/>
      <c r="C2" s="680"/>
      <c r="D2" s="680"/>
      <c r="E2" s="680"/>
      <c r="F2" s="680"/>
      <c r="G2" s="680"/>
      <c r="H2" s="680"/>
    </row>
    <row r="3" spans="1:8" ht="43.5">
      <c r="A3" s="33" t="s">
        <v>818</v>
      </c>
      <c r="B3" s="145" t="s">
        <v>697</v>
      </c>
      <c r="C3" s="145" t="s">
        <v>12</v>
      </c>
      <c r="D3" s="33" t="s">
        <v>699</v>
      </c>
      <c r="E3" s="33" t="s">
        <v>657</v>
      </c>
      <c r="F3" s="145" t="s">
        <v>700</v>
      </c>
      <c r="G3" s="33" t="s">
        <v>660</v>
      </c>
      <c r="H3" s="33" t="s">
        <v>27</v>
      </c>
    </row>
    <row r="4" spans="1:8" ht="21.75">
      <c r="A4" s="7">
        <v>1</v>
      </c>
      <c r="B4" s="7" t="s">
        <v>152</v>
      </c>
      <c r="C4" s="7" t="s">
        <v>407</v>
      </c>
      <c r="D4" s="146" t="s">
        <v>703</v>
      </c>
      <c r="E4" s="147" t="s">
        <v>2576</v>
      </c>
      <c r="F4" s="9" t="s">
        <v>2519</v>
      </c>
      <c r="G4" s="9">
        <v>600000</v>
      </c>
      <c r="H4" s="9"/>
    </row>
    <row r="5" spans="1:8" ht="21.75">
      <c r="A5" s="7"/>
      <c r="B5" s="7"/>
      <c r="C5" s="7" t="s">
        <v>2577</v>
      </c>
      <c r="D5" s="473" t="s">
        <v>2517</v>
      </c>
      <c r="E5" s="147" t="s">
        <v>2576</v>
      </c>
      <c r="F5" s="9" t="s">
        <v>2519</v>
      </c>
      <c r="G5" s="9">
        <v>600000</v>
      </c>
      <c r="H5" s="9"/>
    </row>
    <row r="6" spans="1:8" ht="21.75">
      <c r="A6" s="7"/>
      <c r="B6" s="7"/>
      <c r="C6" s="7"/>
      <c r="D6" s="469" t="s">
        <v>2578</v>
      </c>
      <c r="E6" s="147" t="s">
        <v>2579</v>
      </c>
      <c r="F6" s="9" t="s">
        <v>2580</v>
      </c>
      <c r="G6" s="9">
        <v>1200000</v>
      </c>
      <c r="H6" s="9"/>
    </row>
    <row r="7" spans="1:8" ht="21.75">
      <c r="A7" s="7"/>
      <c r="B7" s="7"/>
      <c r="C7" s="7"/>
      <c r="D7" s="149"/>
      <c r="E7" s="147"/>
      <c r="F7" s="9"/>
      <c r="G7" s="9"/>
      <c r="H7" s="9"/>
    </row>
    <row r="8" spans="1:8" ht="21.75">
      <c r="A8" s="7"/>
      <c r="B8" s="7"/>
      <c r="C8" s="7"/>
      <c r="D8" s="149"/>
      <c r="E8" s="147"/>
      <c r="F8" s="9"/>
      <c r="G8" s="9"/>
      <c r="H8" s="9"/>
    </row>
    <row r="9" spans="1:8" ht="21.75">
      <c r="A9" s="7"/>
      <c r="B9" s="7"/>
      <c r="C9" s="7"/>
      <c r="D9" s="149"/>
      <c r="E9" s="147"/>
      <c r="F9" s="9"/>
      <c r="G9" s="9"/>
      <c r="H9" s="9"/>
    </row>
    <row r="10" spans="1:8" ht="21.75">
      <c r="A10" s="7"/>
      <c r="B10" s="7"/>
      <c r="C10" s="7"/>
      <c r="D10" s="149"/>
      <c r="E10" s="147"/>
      <c r="F10" s="9"/>
      <c r="G10" s="9"/>
      <c r="H10" s="9"/>
    </row>
    <row r="11" spans="1:8" ht="21.75">
      <c r="A11" s="7"/>
      <c r="B11" s="7"/>
      <c r="C11" s="7"/>
      <c r="D11" s="149"/>
      <c r="E11" s="147"/>
      <c r="F11" s="9"/>
      <c r="G11" s="9"/>
      <c r="H11" s="9"/>
    </row>
    <row r="12" spans="1:8" ht="21.75">
      <c r="A12" s="7"/>
      <c r="B12" s="7"/>
      <c r="C12" s="7"/>
      <c r="D12" s="149"/>
      <c r="E12" s="147"/>
      <c r="F12" s="9"/>
      <c r="G12" s="9"/>
      <c r="H12" s="9"/>
    </row>
    <row r="13" spans="1:8" ht="21.75">
      <c r="A13" s="7"/>
      <c r="B13" s="7"/>
      <c r="C13" s="7"/>
      <c r="D13" s="9"/>
      <c r="E13" s="9"/>
      <c r="F13" s="9"/>
      <c r="G13" s="150">
        <f>SUM(G4:G12)</f>
        <v>2400000</v>
      </c>
      <c r="H13" s="9"/>
    </row>
    <row r="16" spans="1:8" ht="26.25">
      <c r="A16" s="680" t="s">
        <v>688</v>
      </c>
      <c r="B16" s="680"/>
      <c r="C16" s="680"/>
      <c r="D16" s="680"/>
      <c r="E16" s="680"/>
      <c r="F16" s="680"/>
      <c r="G16" s="680"/>
      <c r="H16" s="680"/>
    </row>
    <row r="17" spans="1:8" ht="43.5">
      <c r="A17" s="33" t="s">
        <v>818</v>
      </c>
      <c r="B17" s="145" t="s">
        <v>697</v>
      </c>
      <c r="C17" s="145" t="s">
        <v>12</v>
      </c>
      <c r="D17" s="33" t="s">
        <v>699</v>
      </c>
      <c r="E17" s="33" t="s">
        <v>657</v>
      </c>
      <c r="F17" s="145" t="s">
        <v>700</v>
      </c>
      <c r="G17" s="33" t="s">
        <v>660</v>
      </c>
      <c r="H17" s="33" t="s">
        <v>27</v>
      </c>
    </row>
    <row r="18" spans="1:8" ht="21.75">
      <c r="A18" s="7">
        <v>1</v>
      </c>
      <c r="B18" s="7" t="s">
        <v>152</v>
      </c>
      <c r="C18" s="7" t="s">
        <v>407</v>
      </c>
      <c r="D18" s="146" t="s">
        <v>2581</v>
      </c>
      <c r="E18" s="147" t="s">
        <v>2582</v>
      </c>
      <c r="F18" s="9" t="s">
        <v>955</v>
      </c>
      <c r="G18" s="9">
        <f>600000*4</f>
        <v>2400000</v>
      </c>
      <c r="H18" s="9"/>
    </row>
    <row r="19" spans="1:8" ht="21.75">
      <c r="A19" s="7"/>
      <c r="B19" s="7"/>
      <c r="C19" s="7" t="s">
        <v>409</v>
      </c>
      <c r="D19" s="473" t="s">
        <v>2583</v>
      </c>
      <c r="E19" s="147" t="s">
        <v>2584</v>
      </c>
      <c r="F19" s="9" t="s">
        <v>928</v>
      </c>
      <c r="G19" s="9">
        <v>3200000</v>
      </c>
      <c r="H19" s="9" t="s">
        <v>2585</v>
      </c>
    </row>
    <row r="20" spans="1:8" ht="21.75">
      <c r="A20" s="7"/>
      <c r="B20" s="7"/>
      <c r="C20" s="7"/>
      <c r="D20" s="469" t="s">
        <v>2586</v>
      </c>
      <c r="E20" s="147" t="s">
        <v>2587</v>
      </c>
      <c r="F20" s="9" t="s">
        <v>1138</v>
      </c>
      <c r="G20" s="9">
        <v>4000000</v>
      </c>
      <c r="H20" s="9" t="s">
        <v>664</v>
      </c>
    </row>
    <row r="21" spans="1:8" ht="21.75">
      <c r="A21" s="7"/>
      <c r="B21" s="7"/>
      <c r="C21" s="7"/>
      <c r="D21" s="469" t="s">
        <v>2588</v>
      </c>
      <c r="E21" s="147" t="s">
        <v>2589</v>
      </c>
      <c r="F21" s="9" t="s">
        <v>1138</v>
      </c>
      <c r="G21" s="9">
        <v>1600000</v>
      </c>
      <c r="H21" s="9" t="s">
        <v>664</v>
      </c>
    </row>
    <row r="22" spans="1:8" ht="21.75">
      <c r="A22" s="7"/>
      <c r="B22" s="7"/>
      <c r="C22" s="7"/>
      <c r="D22" s="149"/>
      <c r="E22" s="147"/>
      <c r="F22" s="9"/>
      <c r="G22" s="9"/>
      <c r="H22" s="9"/>
    </row>
    <row r="23" spans="1:8" ht="21.75">
      <c r="A23" s="7"/>
      <c r="B23" s="7"/>
      <c r="C23" s="7"/>
      <c r="D23" s="149"/>
      <c r="E23" s="147"/>
      <c r="F23" s="9"/>
      <c r="G23" s="9"/>
      <c r="H23" s="9"/>
    </row>
    <row r="24" spans="1:8" ht="21.75">
      <c r="A24" s="7"/>
      <c r="B24" s="7"/>
      <c r="C24" s="7"/>
      <c r="D24" s="149"/>
      <c r="E24" s="147"/>
      <c r="F24" s="9"/>
      <c r="G24" s="9"/>
      <c r="H24" s="9"/>
    </row>
    <row r="25" spans="1:8" ht="21.75">
      <c r="A25" s="7"/>
      <c r="B25" s="7"/>
      <c r="C25" s="7"/>
      <c r="D25" s="149"/>
      <c r="E25" s="147"/>
      <c r="F25" s="9"/>
      <c r="G25" s="9"/>
      <c r="H25" s="9"/>
    </row>
    <row r="26" spans="1:8" ht="21.75">
      <c r="A26" s="7"/>
      <c r="B26" s="7"/>
      <c r="C26" s="7"/>
      <c r="D26" s="149"/>
      <c r="E26" s="147"/>
      <c r="F26" s="9"/>
      <c r="G26" s="9"/>
      <c r="H26" s="9"/>
    </row>
    <row r="27" spans="1:8" ht="21.75">
      <c r="A27" s="7"/>
      <c r="B27" s="7"/>
      <c r="C27" s="7"/>
      <c r="D27" s="9"/>
      <c r="E27" s="9"/>
      <c r="F27" s="9"/>
      <c r="G27" s="150">
        <f>SUM(G18:G26)</f>
        <v>11200000</v>
      </c>
      <c r="H27" s="9"/>
    </row>
  </sheetData>
  <mergeCells count="2">
    <mergeCell ref="A2:H2"/>
    <mergeCell ref="A16:H16"/>
  </mergeCells>
  <hyperlinks>
    <hyperlink ref="A1" location="Name!A1" display="Name!A1" xr:uid="{572797B3-8B39-4891-9CB6-BA68AA91DF05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9C8E-C5FD-47A2-8FF3-A758599481AD}">
  <dimension ref="A1:I14"/>
  <sheetViews>
    <sheetView workbookViewId="0"/>
  </sheetViews>
  <sheetFormatPr defaultRowHeight="15"/>
  <cols>
    <col min="3" max="3" width="20.140625" customWidth="1"/>
    <col min="4" max="4" width="12" customWidth="1"/>
    <col min="5" max="5" width="21.42578125" customWidth="1"/>
    <col min="8" max="8" width="15.140625" style="328" customWidth="1"/>
    <col min="9" max="9" width="24.85546875" customWidth="1"/>
  </cols>
  <sheetData>
    <row r="1" spans="1:9">
      <c r="A1" s="410" t="s">
        <v>648</v>
      </c>
    </row>
    <row r="2" spans="1:9" ht="21.75">
      <c r="A2" s="644" t="s">
        <v>2590</v>
      </c>
      <c r="B2" s="644"/>
      <c r="C2" s="644"/>
      <c r="D2" s="644"/>
      <c r="E2" s="644"/>
      <c r="F2" s="644"/>
      <c r="G2" s="644"/>
      <c r="H2" s="644"/>
    </row>
    <row r="3" spans="1:9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</row>
    <row r="4" spans="1:9" ht="21.75">
      <c r="A4" s="655"/>
      <c r="B4" s="660"/>
      <c r="C4" s="660"/>
      <c r="D4" s="660"/>
      <c r="E4" s="710"/>
      <c r="F4" s="660"/>
      <c r="G4" s="660"/>
      <c r="H4" s="202" t="s">
        <v>660</v>
      </c>
    </row>
    <row r="5" spans="1:9" ht="21.75">
      <c r="A5" s="203">
        <v>1</v>
      </c>
      <c r="B5" s="204" t="s">
        <v>152</v>
      </c>
      <c r="C5" s="205" t="s">
        <v>2591</v>
      </c>
      <c r="D5" s="204" t="s">
        <v>2592</v>
      </c>
      <c r="E5" s="206" t="s">
        <v>703</v>
      </c>
      <c r="F5" s="207" t="s">
        <v>2593</v>
      </c>
      <c r="G5" s="208" t="s">
        <v>2594</v>
      </c>
      <c r="H5" s="209">
        <v>600000</v>
      </c>
    </row>
    <row r="6" spans="1:9" ht="21.75">
      <c r="A6" s="203"/>
      <c r="B6" s="204"/>
      <c r="C6" s="204"/>
      <c r="D6" s="204"/>
      <c r="E6" s="208" t="s">
        <v>2595</v>
      </c>
      <c r="F6" s="207" t="s">
        <v>2593</v>
      </c>
      <c r="G6" s="208" t="s">
        <v>2594</v>
      </c>
      <c r="H6" s="209">
        <v>600000</v>
      </c>
    </row>
    <row r="7" spans="1:9" ht="21.75">
      <c r="A7" s="203"/>
      <c r="B7" s="204"/>
      <c r="C7" s="204"/>
      <c r="D7" s="204"/>
      <c r="E7" s="208" t="s">
        <v>2596</v>
      </c>
      <c r="F7" s="207" t="s">
        <v>2597</v>
      </c>
      <c r="G7" s="208" t="s">
        <v>2598</v>
      </c>
      <c r="H7" s="209">
        <v>600000</v>
      </c>
      <c r="I7" s="325" t="s">
        <v>1042</v>
      </c>
    </row>
    <row r="8" spans="1:9" ht="21.75">
      <c r="A8" s="203"/>
      <c r="B8" s="204"/>
      <c r="C8" s="204"/>
      <c r="D8" s="204"/>
      <c r="E8" s="208" t="s">
        <v>2599</v>
      </c>
      <c r="F8" s="207" t="s">
        <v>2600</v>
      </c>
      <c r="G8" s="208" t="s">
        <v>2601</v>
      </c>
      <c r="H8" s="209">
        <v>600000</v>
      </c>
      <c r="I8" s="325" t="s">
        <v>2602</v>
      </c>
    </row>
    <row r="9" spans="1:9" ht="21.75">
      <c r="A9" s="203"/>
      <c r="B9" s="204"/>
      <c r="C9" s="204"/>
      <c r="D9" s="204"/>
      <c r="E9" s="208" t="s">
        <v>2603</v>
      </c>
      <c r="F9" s="207" t="s">
        <v>2604</v>
      </c>
      <c r="G9" s="208" t="s">
        <v>2605</v>
      </c>
      <c r="H9" s="209">
        <v>600000</v>
      </c>
      <c r="I9" s="717" t="s">
        <v>2602</v>
      </c>
    </row>
    <row r="10" spans="1:9" ht="21.75">
      <c r="A10" s="203"/>
      <c r="B10" s="204"/>
      <c r="C10" s="204"/>
      <c r="D10" s="204"/>
      <c r="E10" s="208" t="s">
        <v>1006</v>
      </c>
      <c r="F10" s="207"/>
      <c r="G10" s="208"/>
      <c r="H10" s="209">
        <v>-50000</v>
      </c>
      <c r="I10" s="717"/>
    </row>
    <row r="11" spans="1:9" ht="21.75">
      <c r="A11" s="122"/>
      <c r="B11" s="123"/>
      <c r="C11" s="123"/>
      <c r="D11" s="123"/>
      <c r="E11" s="123" t="s">
        <v>2606</v>
      </c>
      <c r="F11" s="252" t="s">
        <v>2607</v>
      </c>
      <c r="G11" s="123" t="s">
        <v>2068</v>
      </c>
      <c r="H11" s="227">
        <v>1200000</v>
      </c>
      <c r="I11" s="326" t="s">
        <v>2602</v>
      </c>
    </row>
    <row r="12" spans="1:9" ht="18">
      <c r="A12" s="66"/>
      <c r="B12" s="68"/>
      <c r="C12" s="68"/>
      <c r="D12" s="68"/>
      <c r="E12" s="68" t="s">
        <v>2608</v>
      </c>
      <c r="F12" s="327" t="s">
        <v>2609</v>
      </c>
      <c r="G12" s="68" t="s">
        <v>2610</v>
      </c>
      <c r="H12" s="69">
        <v>600000</v>
      </c>
    </row>
    <row r="13" spans="1:9" ht="18">
      <c r="A13" s="66"/>
      <c r="B13" s="68"/>
      <c r="C13" s="68"/>
      <c r="D13" s="68"/>
      <c r="E13" s="68" t="s">
        <v>2611</v>
      </c>
      <c r="F13" s="327" t="s">
        <v>2609</v>
      </c>
      <c r="G13" s="68" t="s">
        <v>2610</v>
      </c>
      <c r="H13" s="69">
        <v>600000</v>
      </c>
    </row>
    <row r="14" spans="1:9" ht="18">
      <c r="A14" s="211"/>
      <c r="B14" s="212"/>
      <c r="C14" s="212"/>
      <c r="D14" s="212"/>
      <c r="E14" s="212"/>
      <c r="F14" s="212"/>
      <c r="G14" s="212"/>
      <c r="H14" s="228">
        <f>SUM(H5:H13)</f>
        <v>5350000</v>
      </c>
    </row>
  </sheetData>
  <mergeCells count="9">
    <mergeCell ref="I9:I10"/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195C88AC-E001-460E-ADFA-BFC0C19C4ED5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08DA-A5B4-40CF-8DBA-ABBB1AB207D6}">
  <dimension ref="A1:I16"/>
  <sheetViews>
    <sheetView workbookViewId="0"/>
  </sheetViews>
  <sheetFormatPr defaultColWidth="9.140625" defaultRowHeight="15"/>
  <cols>
    <col min="1" max="1" width="9.28515625" style="229" bestFit="1" customWidth="1"/>
    <col min="2" max="2" width="9.140625" style="229"/>
    <col min="3" max="3" width="14.85546875" style="229" customWidth="1"/>
    <col min="4" max="4" width="29.28515625" style="229" customWidth="1"/>
    <col min="5" max="5" width="24.140625" style="229" customWidth="1"/>
    <col min="6" max="6" width="9.140625" style="229"/>
    <col min="7" max="7" width="13.42578125" style="229" bestFit="1" customWidth="1"/>
    <col min="8" max="8" width="15.5703125" style="229" customWidth="1"/>
    <col min="9" max="9" width="17.42578125" style="229" customWidth="1"/>
    <col min="10" max="16384" width="9.140625" style="229"/>
  </cols>
  <sheetData>
    <row r="1" spans="1:9">
      <c r="A1" s="412" t="s">
        <v>648</v>
      </c>
    </row>
    <row r="2" spans="1:9" ht="21.75">
      <c r="A2" s="644" t="s">
        <v>2612</v>
      </c>
      <c r="B2" s="644"/>
      <c r="C2" s="644"/>
      <c r="D2" s="644"/>
      <c r="E2" s="644"/>
      <c r="F2" s="644"/>
      <c r="G2" s="644"/>
      <c r="H2" s="644"/>
    </row>
    <row r="3" spans="1:9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</row>
    <row r="4" spans="1:9" ht="21.75">
      <c r="A4" s="655"/>
      <c r="B4" s="660"/>
      <c r="C4" s="660"/>
      <c r="D4" s="660"/>
      <c r="E4" s="710"/>
      <c r="F4" s="660"/>
      <c r="G4" s="660"/>
      <c r="H4" s="202" t="s">
        <v>660</v>
      </c>
    </row>
    <row r="5" spans="1:9" ht="21.75">
      <c r="A5" s="203">
        <v>1</v>
      </c>
      <c r="B5" s="204" t="s">
        <v>152</v>
      </c>
      <c r="C5" s="205" t="s">
        <v>396</v>
      </c>
      <c r="D5" s="204" t="s">
        <v>7</v>
      </c>
      <c r="E5" s="324" t="s">
        <v>661</v>
      </c>
      <c r="F5" s="207" t="s">
        <v>2613</v>
      </c>
      <c r="G5" s="208" t="s">
        <v>2614</v>
      </c>
      <c r="H5" s="209">
        <v>600000</v>
      </c>
      <c r="I5" s="229" t="s">
        <v>2615</v>
      </c>
    </row>
    <row r="6" spans="1:9" ht="16.149999999999999" customHeight="1">
      <c r="A6" s="203"/>
      <c r="B6" s="204"/>
      <c r="C6" s="204"/>
      <c r="D6" s="204"/>
      <c r="E6" s="208" t="s">
        <v>2616</v>
      </c>
      <c r="F6" s="207" t="s">
        <v>2613</v>
      </c>
      <c r="G6" s="208" t="s">
        <v>2614</v>
      </c>
      <c r="H6" s="209">
        <v>600000</v>
      </c>
      <c r="I6" s="229" t="s">
        <v>2615</v>
      </c>
    </row>
    <row r="7" spans="1:9" ht="16.149999999999999" customHeight="1">
      <c r="A7" s="203"/>
      <c r="B7" s="204"/>
      <c r="C7" s="204"/>
      <c r="D7" s="204"/>
      <c r="E7" s="208" t="s">
        <v>2617</v>
      </c>
      <c r="F7" s="207" t="s">
        <v>2618</v>
      </c>
      <c r="G7" s="208" t="s">
        <v>2619</v>
      </c>
      <c r="H7" s="209">
        <v>1200000</v>
      </c>
    </row>
    <row r="8" spans="1:9" ht="16.149999999999999" customHeight="1">
      <c r="A8" s="203"/>
      <c r="B8" s="204"/>
      <c r="C8" s="204"/>
      <c r="D8" s="204"/>
      <c r="E8" s="208" t="s">
        <v>1120</v>
      </c>
      <c r="F8" s="207" t="s">
        <v>2620</v>
      </c>
      <c r="G8" s="208" t="s">
        <v>2621</v>
      </c>
      <c r="H8" s="209">
        <v>1200000</v>
      </c>
    </row>
    <row r="9" spans="1:9" ht="21.75">
      <c r="A9" s="203"/>
      <c r="B9" s="204"/>
      <c r="C9" s="204"/>
      <c r="D9" s="204"/>
      <c r="E9" s="208" t="s">
        <v>2622</v>
      </c>
      <c r="F9" s="207" t="s">
        <v>2623</v>
      </c>
      <c r="G9" s="208" t="s">
        <v>2624</v>
      </c>
      <c r="H9" s="209">
        <v>1800000</v>
      </c>
      <c r="I9" s="229" t="s">
        <v>2615</v>
      </c>
    </row>
    <row r="10" spans="1:9" ht="21.75">
      <c r="A10" s="203"/>
      <c r="B10" s="204"/>
      <c r="C10" s="204"/>
      <c r="D10" s="204"/>
      <c r="E10" s="208" t="s">
        <v>2625</v>
      </c>
      <c r="F10" s="207" t="s">
        <v>2626</v>
      </c>
      <c r="G10" s="208" t="s">
        <v>692</v>
      </c>
      <c r="H10" s="209">
        <v>4800000</v>
      </c>
    </row>
    <row r="11" spans="1:9" ht="21.75">
      <c r="A11" s="203"/>
      <c r="B11" s="204"/>
      <c r="C11" s="204"/>
      <c r="D11" s="204"/>
      <c r="E11" s="208"/>
      <c r="F11" s="207"/>
      <c r="G11" s="208"/>
      <c r="H11" s="209"/>
    </row>
    <row r="12" spans="1:9" ht="21.75">
      <c r="A12" s="203"/>
      <c r="B12" s="204"/>
      <c r="C12" s="204"/>
      <c r="D12" s="204"/>
      <c r="E12" s="208"/>
      <c r="F12" s="207"/>
      <c r="G12" s="208"/>
      <c r="H12" s="209"/>
    </row>
    <row r="13" spans="1:9" ht="21.75">
      <c r="A13" s="122"/>
      <c r="B13" s="123"/>
      <c r="C13" s="123"/>
      <c r="D13" s="123"/>
      <c r="E13" s="123"/>
      <c r="F13" s="123"/>
      <c r="G13" s="123"/>
      <c r="H13" s="210"/>
    </row>
    <row r="14" spans="1:9" ht="18">
      <c r="A14" s="66"/>
      <c r="B14" s="68"/>
      <c r="C14" s="68"/>
      <c r="D14" s="68"/>
      <c r="E14" s="68"/>
      <c r="F14" s="68"/>
      <c r="G14" s="68"/>
      <c r="H14" s="126"/>
    </row>
    <row r="15" spans="1:9" ht="18">
      <c r="A15" s="66"/>
      <c r="B15" s="68"/>
      <c r="C15" s="68"/>
      <c r="D15" s="68"/>
      <c r="E15" s="68"/>
      <c r="F15" s="68"/>
      <c r="G15" s="68"/>
      <c r="H15" s="126"/>
    </row>
    <row r="16" spans="1:9" ht="21.75">
      <c r="A16" s="211"/>
      <c r="B16" s="212"/>
      <c r="C16" s="212"/>
      <c r="D16" s="212"/>
      <c r="E16" s="212"/>
      <c r="F16" s="212"/>
      <c r="G16" s="212"/>
      <c r="H16" s="250">
        <f>SUM(H5:H15)</f>
        <v>10200000</v>
      </c>
    </row>
  </sheetData>
  <mergeCells count="8">
    <mergeCell ref="A2:H2"/>
    <mergeCell ref="A3:A4"/>
    <mergeCell ref="B3:B4"/>
    <mergeCell ref="C3:C4"/>
    <mergeCell ref="D3:D4"/>
    <mergeCell ref="E3:E4"/>
    <mergeCell ref="F3:F4"/>
    <mergeCell ref="G3:G4"/>
  </mergeCells>
  <hyperlinks>
    <hyperlink ref="A1" location="Name!A1" display="Name!A1" xr:uid="{A911CD40-7036-43EE-8BFF-8CAC8DC9841D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652D-5D4A-4A01-B203-1705BADCDCC3}">
  <dimension ref="A1:J14"/>
  <sheetViews>
    <sheetView workbookViewId="0"/>
  </sheetViews>
  <sheetFormatPr defaultRowHeight="15"/>
  <cols>
    <col min="3" max="3" width="13" customWidth="1"/>
    <col min="4" max="4" width="28" customWidth="1"/>
    <col min="6" max="6" width="14.5703125" customWidth="1"/>
    <col min="7" max="7" width="19.42578125" customWidth="1"/>
    <col min="8" max="8" width="15.140625" customWidth="1"/>
  </cols>
  <sheetData>
    <row r="1" spans="1:10">
      <c r="A1" s="410" t="s">
        <v>648</v>
      </c>
    </row>
    <row r="2" spans="1:10" ht="26.25">
      <c r="A2" s="680" t="s">
        <v>388</v>
      </c>
      <c r="B2" s="680"/>
      <c r="C2" s="680"/>
      <c r="D2" s="680"/>
      <c r="E2" s="680"/>
      <c r="F2" s="680"/>
      <c r="G2" s="680"/>
      <c r="H2" s="680"/>
    </row>
    <row r="3" spans="1:10" ht="43.5">
      <c r="A3" s="33" t="s">
        <v>818</v>
      </c>
      <c r="B3" s="145" t="s">
        <v>697</v>
      </c>
      <c r="C3" s="145" t="s">
        <v>12</v>
      </c>
      <c r="D3" s="33" t="s">
        <v>699</v>
      </c>
      <c r="E3" s="33" t="s">
        <v>657</v>
      </c>
      <c r="F3" s="145" t="s">
        <v>700</v>
      </c>
      <c r="G3" s="33" t="s">
        <v>660</v>
      </c>
      <c r="H3" s="33" t="s">
        <v>27</v>
      </c>
    </row>
    <row r="4" spans="1:10" ht="21.75">
      <c r="A4" s="7">
        <v>1</v>
      </c>
      <c r="B4" s="7" t="s">
        <v>152</v>
      </c>
      <c r="C4" s="7" t="s">
        <v>2627</v>
      </c>
      <c r="D4" s="146" t="s">
        <v>703</v>
      </c>
      <c r="E4" s="147" t="s">
        <v>2628</v>
      </c>
      <c r="F4" s="9" t="s">
        <v>2629</v>
      </c>
      <c r="G4" s="9">
        <v>600000</v>
      </c>
      <c r="H4" s="9"/>
    </row>
    <row r="5" spans="1:10" ht="21.75">
      <c r="A5" s="7"/>
      <c r="B5" s="7"/>
      <c r="C5" s="7"/>
      <c r="D5" s="148" t="s">
        <v>2616</v>
      </c>
      <c r="E5" s="147" t="s">
        <v>2628</v>
      </c>
      <c r="F5" s="9" t="s">
        <v>2629</v>
      </c>
      <c r="G5" s="9">
        <v>600000</v>
      </c>
      <c r="H5" s="9"/>
    </row>
    <row r="6" spans="1:10" ht="21.75">
      <c r="A6" s="7"/>
      <c r="B6" s="7"/>
      <c r="C6" s="7"/>
      <c r="D6" s="149" t="s">
        <v>2630</v>
      </c>
      <c r="E6" s="147" t="s">
        <v>2631</v>
      </c>
      <c r="F6" s="9" t="s">
        <v>2619</v>
      </c>
      <c r="G6" s="9">
        <v>1200000</v>
      </c>
      <c r="H6" s="9"/>
    </row>
    <row r="7" spans="1:10" ht="21.75">
      <c r="A7" s="7"/>
      <c r="B7" s="7"/>
      <c r="C7" s="7"/>
      <c r="D7" s="149" t="s">
        <v>391</v>
      </c>
      <c r="E7" s="147" t="s">
        <v>2632</v>
      </c>
      <c r="F7" s="9" t="s">
        <v>2633</v>
      </c>
      <c r="G7" s="9">
        <v>1800000</v>
      </c>
      <c r="H7" s="9"/>
      <c r="J7" t="s">
        <v>738</v>
      </c>
    </row>
    <row r="8" spans="1:10" ht="21.75">
      <c r="A8" s="7"/>
      <c r="B8" s="7"/>
      <c r="C8" s="7"/>
      <c r="D8" s="149"/>
      <c r="E8" s="147"/>
      <c r="F8" s="9"/>
      <c r="G8" s="9"/>
      <c r="H8" s="9"/>
    </row>
    <row r="9" spans="1:10" ht="21.75">
      <c r="A9" s="7"/>
      <c r="B9" s="7"/>
      <c r="C9" s="7"/>
      <c r="D9" s="149"/>
      <c r="E9" s="147"/>
      <c r="F9" s="9"/>
      <c r="G9" s="9"/>
      <c r="H9" s="9"/>
    </row>
    <row r="10" spans="1:10" ht="21.75">
      <c r="A10" s="7"/>
      <c r="B10" s="7"/>
      <c r="C10" s="7"/>
      <c r="D10" s="149"/>
      <c r="E10" s="147"/>
      <c r="F10" s="9"/>
      <c r="G10" s="9"/>
      <c r="H10" s="9"/>
    </row>
    <row r="11" spans="1:10" ht="21.75">
      <c r="A11" s="7"/>
      <c r="B11" s="7"/>
      <c r="C11" s="7"/>
      <c r="D11" s="149"/>
      <c r="E11" s="147"/>
      <c r="F11" s="9"/>
      <c r="G11" s="9"/>
      <c r="H11" s="9"/>
    </row>
    <row r="12" spans="1:10" ht="21.75">
      <c r="A12" s="7"/>
      <c r="B12" s="7"/>
      <c r="C12" s="7"/>
      <c r="D12" s="149"/>
      <c r="E12" s="147"/>
      <c r="F12" s="9"/>
      <c r="G12" s="9"/>
      <c r="H12" s="9"/>
    </row>
    <row r="13" spans="1:10" ht="21.75">
      <c r="A13" s="7"/>
      <c r="B13" s="7"/>
      <c r="C13" s="7"/>
      <c r="D13" s="9"/>
      <c r="E13" s="9"/>
      <c r="F13" s="9"/>
      <c r="G13" s="150">
        <f>SUM(G4:G12)</f>
        <v>4200000</v>
      </c>
      <c r="H13" s="9"/>
    </row>
    <row r="14" spans="1:10" ht="26.25" customHeight="1"/>
  </sheetData>
  <mergeCells count="1">
    <mergeCell ref="A2:H2"/>
  </mergeCells>
  <hyperlinks>
    <hyperlink ref="A1" location="Name!A1" display="Name!A1" xr:uid="{CD1ECF3D-9487-46FA-99DD-D18E91A254AE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D8A5-0A51-438C-A1A4-228E47EA340F}">
  <dimension ref="A1:I51"/>
  <sheetViews>
    <sheetView topLeftCell="A28" workbookViewId="0">
      <selection activeCell="A33" sqref="A33"/>
    </sheetView>
  </sheetViews>
  <sheetFormatPr defaultRowHeight="15"/>
  <cols>
    <col min="3" max="3" width="20.85546875" customWidth="1"/>
    <col min="4" max="4" width="19" customWidth="1"/>
    <col min="5" max="5" width="24.85546875" customWidth="1"/>
    <col min="7" max="7" width="13.140625" customWidth="1"/>
    <col min="8" max="8" width="16.42578125" customWidth="1"/>
    <col min="9" max="9" width="16.140625" customWidth="1"/>
  </cols>
  <sheetData>
    <row r="1" spans="1:9">
      <c r="A1" s="410" t="s">
        <v>648</v>
      </c>
    </row>
    <row r="2" spans="1:9" ht="21.75">
      <c r="A2" s="644" t="s">
        <v>2634</v>
      </c>
      <c r="B2" s="644"/>
      <c r="C2" s="644"/>
      <c r="D2" s="644"/>
      <c r="E2" s="644"/>
      <c r="F2" s="644"/>
      <c r="G2" s="644"/>
      <c r="H2" s="644"/>
    </row>
    <row r="3" spans="1:9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9" ht="21.75">
      <c r="A4" s="646"/>
      <c r="B4" s="646"/>
      <c r="C4" s="646"/>
      <c r="D4" s="646"/>
      <c r="E4" s="648"/>
      <c r="F4" s="646"/>
      <c r="G4" s="646"/>
      <c r="H4" s="6" t="s">
        <v>976</v>
      </c>
    </row>
    <row r="5" spans="1:9" ht="21.75">
      <c r="A5" s="7">
        <v>1</v>
      </c>
      <c r="B5" s="7" t="s">
        <v>152</v>
      </c>
      <c r="C5" s="7" t="s">
        <v>370</v>
      </c>
      <c r="D5" s="7" t="s">
        <v>2635</v>
      </c>
      <c r="E5" s="9" t="s">
        <v>703</v>
      </c>
      <c r="F5" s="10" t="s">
        <v>2636</v>
      </c>
      <c r="G5" s="9" t="s">
        <v>2637</v>
      </c>
      <c r="H5" s="9">
        <v>600000</v>
      </c>
    </row>
    <row r="6" spans="1:9" ht="21.75">
      <c r="A6" s="7"/>
      <c r="B6" s="7"/>
      <c r="C6" s="7"/>
      <c r="D6" s="7"/>
      <c r="E6" s="9" t="s">
        <v>2638</v>
      </c>
      <c r="F6" s="10" t="s">
        <v>2636</v>
      </c>
      <c r="G6" s="9" t="s">
        <v>2637</v>
      </c>
      <c r="H6" s="9">
        <v>600000</v>
      </c>
    </row>
    <row r="7" spans="1:9" ht="21.75">
      <c r="A7" s="7"/>
      <c r="B7" s="7"/>
      <c r="C7" s="7"/>
      <c r="D7" s="7"/>
      <c r="E7" s="9" t="s">
        <v>2639</v>
      </c>
      <c r="F7" s="10" t="s">
        <v>2640</v>
      </c>
      <c r="G7" s="9" t="s">
        <v>2641</v>
      </c>
      <c r="H7" s="9">
        <v>600000</v>
      </c>
      <c r="I7" s="146" t="s">
        <v>1042</v>
      </c>
    </row>
    <row r="8" spans="1:9" ht="21.75">
      <c r="A8" s="7"/>
      <c r="B8" s="7"/>
      <c r="C8" s="7"/>
      <c r="D8" s="7"/>
      <c r="E8" s="9" t="s">
        <v>2642</v>
      </c>
      <c r="F8" s="10" t="s">
        <v>1719</v>
      </c>
      <c r="G8" s="9" t="s">
        <v>2643</v>
      </c>
      <c r="H8" s="9">
        <v>600000</v>
      </c>
      <c r="I8" s="146" t="s">
        <v>1042</v>
      </c>
    </row>
    <row r="9" spans="1:9" ht="21.75">
      <c r="A9" s="7"/>
      <c r="B9" s="7"/>
      <c r="C9" s="7"/>
      <c r="D9" s="7"/>
      <c r="E9" s="9" t="s">
        <v>2644</v>
      </c>
      <c r="F9" s="10" t="s">
        <v>2645</v>
      </c>
      <c r="G9" s="9" t="s">
        <v>2182</v>
      </c>
      <c r="H9" s="9">
        <v>600000</v>
      </c>
    </row>
    <row r="10" spans="1:9" ht="21.75">
      <c r="A10" s="7"/>
      <c r="B10" s="7"/>
      <c r="C10" s="7"/>
      <c r="D10" s="7"/>
      <c r="E10" s="9" t="s">
        <v>2646</v>
      </c>
      <c r="F10" s="10" t="s">
        <v>2647</v>
      </c>
      <c r="G10" s="9" t="s">
        <v>2648</v>
      </c>
      <c r="H10" s="9">
        <v>600000</v>
      </c>
      <c r="I10" s="146" t="s">
        <v>1042</v>
      </c>
    </row>
    <row r="11" spans="1:9" ht="21.75">
      <c r="A11" s="7"/>
      <c r="B11" s="7"/>
      <c r="C11" s="7"/>
      <c r="D11" s="7"/>
      <c r="E11" s="9" t="s">
        <v>2649</v>
      </c>
      <c r="F11" s="10" t="s">
        <v>2650</v>
      </c>
      <c r="G11" s="9" t="s">
        <v>1350</v>
      </c>
      <c r="H11" s="9">
        <v>600000</v>
      </c>
      <c r="I11" s="146" t="s">
        <v>1042</v>
      </c>
    </row>
    <row r="12" spans="1:9" ht="21.75">
      <c r="A12" s="7"/>
      <c r="B12" s="7"/>
      <c r="C12" s="7"/>
      <c r="D12" s="7"/>
      <c r="E12" s="9" t="s">
        <v>2651</v>
      </c>
      <c r="F12" s="10" t="s">
        <v>2652</v>
      </c>
      <c r="G12" s="9" t="s">
        <v>2653</v>
      </c>
      <c r="H12" s="9">
        <v>700000</v>
      </c>
      <c r="I12" s="146" t="s">
        <v>1042</v>
      </c>
    </row>
    <row r="13" spans="1:9" ht="21.75">
      <c r="A13" s="7"/>
      <c r="B13" s="7"/>
      <c r="C13" s="7"/>
      <c r="D13" s="7"/>
      <c r="E13" s="9" t="s">
        <v>2654</v>
      </c>
      <c r="F13" s="10" t="s">
        <v>2655</v>
      </c>
      <c r="G13" s="9" t="s">
        <v>2656</v>
      </c>
      <c r="H13" s="9">
        <v>700000</v>
      </c>
      <c r="I13" s="146" t="s">
        <v>1042</v>
      </c>
    </row>
    <row r="14" spans="1:9" ht="21.75">
      <c r="A14" s="7"/>
      <c r="B14" s="7"/>
      <c r="C14" s="7"/>
      <c r="D14" s="7"/>
      <c r="E14" s="9" t="s">
        <v>2657</v>
      </c>
      <c r="F14" s="10" t="s">
        <v>2655</v>
      </c>
      <c r="G14" s="9" t="s">
        <v>2658</v>
      </c>
      <c r="H14" s="9">
        <v>700000</v>
      </c>
      <c r="I14" s="146" t="s">
        <v>1042</v>
      </c>
    </row>
    <row r="15" spans="1:9" ht="21.75">
      <c r="A15" s="7"/>
      <c r="B15" s="7"/>
      <c r="C15" s="7"/>
      <c r="D15" s="7"/>
      <c r="E15" s="9" t="s">
        <v>2659</v>
      </c>
      <c r="F15" s="10" t="s">
        <v>2660</v>
      </c>
      <c r="G15" s="9" t="s">
        <v>2661</v>
      </c>
      <c r="H15" s="9">
        <v>700000</v>
      </c>
      <c r="I15" s="146" t="s">
        <v>1042</v>
      </c>
    </row>
    <row r="16" spans="1:9" ht="21.75">
      <c r="A16" s="7"/>
      <c r="B16" s="7"/>
      <c r="C16" s="7"/>
      <c r="D16" s="7"/>
      <c r="E16" s="9" t="s">
        <v>2662</v>
      </c>
      <c r="F16" s="10" t="s">
        <v>2663</v>
      </c>
      <c r="G16" s="9" t="s">
        <v>2664</v>
      </c>
      <c r="H16" s="9">
        <v>700000</v>
      </c>
      <c r="I16" s="146" t="s">
        <v>1042</v>
      </c>
    </row>
    <row r="17" spans="1:9" ht="21.75">
      <c r="A17" s="7"/>
      <c r="B17" s="7"/>
      <c r="C17" s="7"/>
      <c r="D17" s="7"/>
      <c r="E17" s="9" t="s">
        <v>1382</v>
      </c>
      <c r="F17" s="10" t="s">
        <v>2665</v>
      </c>
      <c r="G17" s="9" t="s">
        <v>2666</v>
      </c>
      <c r="H17" s="9">
        <v>700000</v>
      </c>
      <c r="I17" s="146" t="s">
        <v>1042</v>
      </c>
    </row>
    <row r="18" spans="1:9" ht="21.75">
      <c r="A18" s="7"/>
      <c r="B18" s="7"/>
      <c r="C18" s="7"/>
      <c r="D18" s="7"/>
      <c r="E18" s="9" t="s">
        <v>1066</v>
      </c>
      <c r="F18" s="10"/>
      <c r="G18" s="9" t="s">
        <v>2667</v>
      </c>
      <c r="H18" s="9">
        <v>-600000</v>
      </c>
      <c r="I18" s="146" t="s">
        <v>1042</v>
      </c>
    </row>
    <row r="19" spans="1:9" ht="21.75">
      <c r="A19" s="7"/>
      <c r="B19" s="7"/>
      <c r="C19" s="7"/>
      <c r="D19" s="7"/>
      <c r="E19" s="9"/>
      <c r="F19" s="10"/>
      <c r="G19" s="9"/>
      <c r="H19" s="9">
        <f>SUM(H5:H18)</f>
        <v>7800000</v>
      </c>
    </row>
    <row r="23" spans="1:9" ht="21.75">
      <c r="A23" s="644" t="s">
        <v>2668</v>
      </c>
      <c r="B23" s="644"/>
      <c r="C23" s="644"/>
      <c r="D23" s="644"/>
      <c r="E23" s="644"/>
      <c r="F23" s="644"/>
      <c r="G23" s="644"/>
      <c r="H23" s="644"/>
    </row>
    <row r="24" spans="1:9" ht="21.75">
      <c r="A24" s="645" t="s">
        <v>653</v>
      </c>
      <c r="B24" s="647" t="s">
        <v>654</v>
      </c>
      <c r="C24" s="645" t="s">
        <v>655</v>
      </c>
      <c r="D24" s="645" t="s">
        <v>12</v>
      </c>
      <c r="E24" s="647" t="s">
        <v>656</v>
      </c>
      <c r="F24" s="645" t="s">
        <v>657</v>
      </c>
      <c r="G24" s="647" t="s">
        <v>658</v>
      </c>
      <c r="H24" s="3" t="s">
        <v>659</v>
      </c>
    </row>
    <row r="25" spans="1:9" ht="21.75">
      <c r="A25" s="646"/>
      <c r="B25" s="646"/>
      <c r="C25" s="646"/>
      <c r="D25" s="646"/>
      <c r="E25" s="648"/>
      <c r="F25" s="646"/>
      <c r="G25" s="646"/>
      <c r="H25" s="6" t="s">
        <v>976</v>
      </c>
    </row>
    <row r="26" spans="1:9" ht="21.75">
      <c r="A26" s="7">
        <v>1</v>
      </c>
      <c r="B26" s="7" t="s">
        <v>152</v>
      </c>
      <c r="C26" s="7" t="s">
        <v>370</v>
      </c>
      <c r="D26" s="7" t="s">
        <v>2635</v>
      </c>
      <c r="E26" s="9" t="s">
        <v>703</v>
      </c>
      <c r="F26" s="10" t="s">
        <v>2669</v>
      </c>
      <c r="G26" s="9" t="s">
        <v>2670</v>
      </c>
      <c r="H26" s="9">
        <v>800000</v>
      </c>
    </row>
    <row r="27" spans="1:9" ht="21.75">
      <c r="A27" s="7"/>
      <c r="B27" s="7"/>
      <c r="C27" s="7"/>
      <c r="D27" s="7"/>
      <c r="E27" s="9" t="s">
        <v>2671</v>
      </c>
      <c r="F27" s="10" t="s">
        <v>2669</v>
      </c>
      <c r="G27" s="9" t="s">
        <v>2670</v>
      </c>
      <c r="H27" s="9">
        <v>800000</v>
      </c>
    </row>
    <row r="28" spans="1:9" ht="21.75">
      <c r="A28" s="7"/>
      <c r="B28" s="7"/>
      <c r="C28" s="7"/>
      <c r="D28" s="7"/>
      <c r="E28" s="9"/>
      <c r="F28" s="10"/>
      <c r="G28" s="9"/>
      <c r="H28" s="9"/>
      <c r="I28" s="146"/>
    </row>
    <row r="29" spans="1:9" ht="21.75">
      <c r="A29" s="7"/>
      <c r="B29" s="7"/>
      <c r="C29" s="7"/>
      <c r="D29" s="7"/>
      <c r="E29" s="9"/>
      <c r="F29" s="10"/>
      <c r="G29" s="9"/>
      <c r="H29" s="9"/>
      <c r="I29" s="146"/>
    </row>
    <row r="30" spans="1:9" ht="21.75">
      <c r="A30" s="7"/>
      <c r="B30" s="7"/>
      <c r="C30" s="7"/>
      <c r="D30" s="7"/>
      <c r="E30" s="9"/>
      <c r="F30" s="10"/>
      <c r="G30" s="9"/>
      <c r="H30" s="9"/>
      <c r="I30" s="146"/>
    </row>
    <row r="31" spans="1:9" ht="21.75">
      <c r="A31" s="7"/>
      <c r="B31" s="7"/>
      <c r="C31" s="7"/>
      <c r="D31" s="7"/>
      <c r="E31" s="9"/>
      <c r="F31" s="10"/>
      <c r="G31" s="9"/>
      <c r="H31" s="9">
        <f>SUM(H26:H30)</f>
        <v>1600000</v>
      </c>
    </row>
    <row r="33" spans="1:9">
      <c r="A33" s="410" t="s">
        <v>648</v>
      </c>
    </row>
    <row r="34" spans="1:9" ht="21.75">
      <c r="A34" s="644" t="s">
        <v>369</v>
      </c>
      <c r="B34" s="644"/>
      <c r="C34" s="644"/>
      <c r="D34" s="644"/>
      <c r="E34" s="644"/>
      <c r="F34" s="644"/>
      <c r="G34" s="644"/>
      <c r="H34" s="644"/>
    </row>
    <row r="35" spans="1:9" ht="21.75">
      <c r="A35" s="645" t="s">
        <v>653</v>
      </c>
      <c r="B35" s="647" t="s">
        <v>654</v>
      </c>
      <c r="C35" s="645" t="s">
        <v>655</v>
      </c>
      <c r="D35" s="645" t="s">
        <v>12</v>
      </c>
      <c r="E35" s="647" t="s">
        <v>656</v>
      </c>
      <c r="F35" s="645" t="s">
        <v>657</v>
      </c>
      <c r="G35" s="647" t="s">
        <v>658</v>
      </c>
      <c r="H35" s="3" t="s">
        <v>659</v>
      </c>
    </row>
    <row r="36" spans="1:9" ht="21.75">
      <c r="A36" s="646"/>
      <c r="B36" s="646"/>
      <c r="C36" s="646"/>
      <c r="D36" s="646"/>
      <c r="E36" s="648"/>
      <c r="F36" s="646"/>
      <c r="G36" s="646"/>
      <c r="H36" s="6" t="s">
        <v>976</v>
      </c>
    </row>
    <row r="37" spans="1:9" ht="21.75">
      <c r="A37" s="7">
        <v>1</v>
      </c>
      <c r="B37" s="7" t="s">
        <v>152</v>
      </c>
      <c r="C37" s="7" t="s">
        <v>370</v>
      </c>
      <c r="D37" s="7" t="s">
        <v>2635</v>
      </c>
      <c r="E37" s="9" t="s">
        <v>661</v>
      </c>
      <c r="F37" s="10" t="s">
        <v>2672</v>
      </c>
      <c r="G37" s="9" t="s">
        <v>2572</v>
      </c>
      <c r="H37" s="9">
        <v>800000</v>
      </c>
      <c r="I37" s="146" t="s">
        <v>2455</v>
      </c>
    </row>
    <row r="38" spans="1:9" ht="21.75">
      <c r="A38" s="7"/>
      <c r="B38" s="7"/>
      <c r="C38" s="7"/>
      <c r="D38" s="7"/>
      <c r="E38" s="9" t="s">
        <v>2573</v>
      </c>
      <c r="F38" s="10" t="s">
        <v>2672</v>
      </c>
      <c r="G38" s="9" t="s">
        <v>2572</v>
      </c>
      <c r="H38" s="9">
        <v>800000</v>
      </c>
      <c r="I38" s="146" t="s">
        <v>2455</v>
      </c>
    </row>
    <row r="39" spans="1:9" ht="21.75">
      <c r="A39" s="7"/>
      <c r="B39" s="7"/>
      <c r="C39" s="7"/>
      <c r="D39" s="7"/>
      <c r="E39" s="9" t="s">
        <v>2673</v>
      </c>
      <c r="F39" s="10" t="s">
        <v>2674</v>
      </c>
      <c r="G39" s="9" t="s">
        <v>928</v>
      </c>
      <c r="H39" s="9">
        <v>800000</v>
      </c>
      <c r="I39" s="146" t="s">
        <v>776</v>
      </c>
    </row>
    <row r="40" spans="1:9" ht="21.75">
      <c r="A40" s="7"/>
      <c r="B40" s="7"/>
      <c r="C40" s="7"/>
      <c r="D40" s="7"/>
      <c r="E40" s="9" t="s">
        <v>2675</v>
      </c>
      <c r="F40" s="10" t="s">
        <v>2676</v>
      </c>
      <c r="G40" s="9" t="s">
        <v>1109</v>
      </c>
      <c r="H40" s="9">
        <v>800000</v>
      </c>
      <c r="I40" s="333" t="s">
        <v>2677</v>
      </c>
    </row>
    <row r="41" spans="1:9" ht="21.75">
      <c r="A41" s="7"/>
      <c r="B41" s="7"/>
      <c r="C41" s="7"/>
      <c r="D41" s="7"/>
      <c r="E41" s="9" t="s">
        <v>2678</v>
      </c>
      <c r="F41" s="10" t="s">
        <v>2679</v>
      </c>
      <c r="G41" s="9" t="s">
        <v>692</v>
      </c>
      <c r="H41" s="9">
        <v>800000</v>
      </c>
      <c r="I41" s="333" t="s">
        <v>664</v>
      </c>
    </row>
    <row r="42" spans="1:9" ht="21.75">
      <c r="A42" s="7"/>
      <c r="B42" s="7"/>
      <c r="C42" s="7"/>
      <c r="D42" s="7"/>
      <c r="E42" s="9" t="s">
        <v>371</v>
      </c>
      <c r="F42" s="10" t="s">
        <v>2680</v>
      </c>
      <c r="G42" s="9" t="s">
        <v>694</v>
      </c>
      <c r="H42" s="9">
        <v>1445000</v>
      </c>
      <c r="I42" s="176" t="s">
        <v>664</v>
      </c>
    </row>
    <row r="43" spans="1:9" ht="21.75">
      <c r="A43" s="7"/>
      <c r="B43" s="7"/>
      <c r="C43" s="7"/>
      <c r="D43" s="7"/>
      <c r="E43" s="9"/>
      <c r="F43" s="10"/>
      <c r="G43" s="9"/>
      <c r="H43" s="9"/>
      <c r="I43" s="176"/>
    </row>
    <row r="44" spans="1:9" ht="21.75">
      <c r="A44" s="7"/>
      <c r="B44" s="7"/>
      <c r="C44" s="7"/>
      <c r="D44" s="7"/>
      <c r="E44" s="9"/>
      <c r="F44" s="10"/>
      <c r="G44" s="9"/>
      <c r="H44" s="9"/>
      <c r="I44" s="176"/>
    </row>
    <row r="45" spans="1:9" ht="21.75">
      <c r="A45" s="7"/>
      <c r="B45" s="7"/>
      <c r="C45" s="7"/>
      <c r="D45" s="7"/>
      <c r="E45" s="9"/>
      <c r="F45" s="10"/>
      <c r="G45" s="9"/>
      <c r="H45" s="9"/>
      <c r="I45" s="176"/>
    </row>
    <row r="46" spans="1:9" ht="21.75">
      <c r="A46" s="7"/>
      <c r="B46" s="7"/>
      <c r="C46" s="7"/>
      <c r="D46" s="7"/>
      <c r="E46" s="9"/>
      <c r="F46" s="10"/>
      <c r="G46" s="9"/>
      <c r="H46" s="9"/>
      <c r="I46" s="176"/>
    </row>
    <row r="47" spans="1:9" ht="21.75">
      <c r="A47" s="7"/>
      <c r="B47" s="7"/>
      <c r="C47" s="7"/>
      <c r="D47" s="7"/>
      <c r="E47" s="9"/>
      <c r="F47" s="10"/>
      <c r="G47" s="9"/>
      <c r="H47" s="9"/>
      <c r="I47" s="176"/>
    </row>
    <row r="48" spans="1:9" ht="21.75">
      <c r="A48" s="7"/>
      <c r="B48" s="7"/>
      <c r="C48" s="7"/>
      <c r="D48" s="7"/>
      <c r="E48" s="9"/>
      <c r="F48" s="10"/>
      <c r="G48" s="9"/>
      <c r="H48" s="9"/>
      <c r="I48" s="176"/>
    </row>
    <row r="49" spans="1:9" ht="21.75">
      <c r="A49" s="7"/>
      <c r="B49" s="7"/>
      <c r="C49" s="7"/>
      <c r="D49" s="7"/>
      <c r="E49" s="9"/>
      <c r="F49" s="10"/>
      <c r="G49" s="9"/>
      <c r="H49" s="9"/>
      <c r="I49" s="176"/>
    </row>
    <row r="50" spans="1:9" ht="21.75">
      <c r="A50" s="7"/>
      <c r="B50" s="7"/>
      <c r="C50" s="7"/>
      <c r="D50" s="7"/>
      <c r="E50" s="9"/>
      <c r="F50" s="10"/>
      <c r="G50" s="9"/>
      <c r="H50" s="9"/>
      <c r="I50" s="176"/>
    </row>
    <row r="51" spans="1:9" ht="21.75">
      <c r="A51" s="7"/>
      <c r="B51" s="7"/>
      <c r="C51" s="7"/>
      <c r="D51" s="7"/>
      <c r="E51" s="9"/>
      <c r="F51" s="10"/>
      <c r="G51" s="9"/>
      <c r="H51" s="9">
        <f>SUM(H37:H50)</f>
        <v>5445000</v>
      </c>
    </row>
  </sheetData>
  <mergeCells count="24">
    <mergeCell ref="A34:H34"/>
    <mergeCell ref="A35:A36"/>
    <mergeCell ref="B35:B36"/>
    <mergeCell ref="C35:C36"/>
    <mergeCell ref="D35:D36"/>
    <mergeCell ref="E35:E36"/>
    <mergeCell ref="F35:F36"/>
    <mergeCell ref="G35:G36"/>
    <mergeCell ref="A2:H2"/>
    <mergeCell ref="A3:A4"/>
    <mergeCell ref="B3:B4"/>
    <mergeCell ref="C3:C4"/>
    <mergeCell ref="D3:D4"/>
    <mergeCell ref="E3:E4"/>
    <mergeCell ref="F3:F4"/>
    <mergeCell ref="G3:G4"/>
    <mergeCell ref="A23:H23"/>
    <mergeCell ref="A24:A25"/>
    <mergeCell ref="B24:B25"/>
    <mergeCell ref="C24:C25"/>
    <mergeCell ref="D24:D25"/>
    <mergeCell ref="E24:E25"/>
    <mergeCell ref="F24:F25"/>
    <mergeCell ref="G24:G25"/>
  </mergeCells>
  <hyperlinks>
    <hyperlink ref="A1" location="Name!A1" display="Name!A1" xr:uid="{D039EF42-8A3B-4442-A01C-EBC9A4DEE638}"/>
    <hyperlink ref="A33" location="Name!A1" display="Name!A1" xr:uid="{77CAB84F-4097-4204-89E9-A832E06DA033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C1DC-C0ED-414E-A1CE-5A0075FA5211}">
  <dimension ref="A1:I14"/>
  <sheetViews>
    <sheetView workbookViewId="0"/>
  </sheetViews>
  <sheetFormatPr defaultRowHeight="15"/>
  <cols>
    <col min="2" max="2" width="10.7109375" customWidth="1"/>
    <col min="4" max="4" width="22.42578125" customWidth="1"/>
    <col min="5" max="5" width="31.42578125" customWidth="1"/>
    <col min="7" max="7" width="13.85546875" customWidth="1"/>
    <col min="8" max="8" width="17.7109375" customWidth="1"/>
  </cols>
  <sheetData>
    <row r="1" spans="1:9">
      <c r="A1" s="410" t="s">
        <v>648</v>
      </c>
    </row>
    <row r="2" spans="1:9" s="143" customFormat="1" ht="21.75">
      <c r="A2" s="718" t="s">
        <v>2681</v>
      </c>
      <c r="B2" s="719"/>
      <c r="C2" s="719"/>
      <c r="D2" s="719"/>
      <c r="E2" s="719"/>
      <c r="F2" s="719"/>
      <c r="G2" s="719"/>
      <c r="H2" s="720"/>
    </row>
    <row r="3" spans="1:9" s="143" customFormat="1" ht="21.75">
      <c r="A3" s="203">
        <v>1</v>
      </c>
      <c r="B3" s="204" t="s">
        <v>361</v>
      </c>
      <c r="C3" s="254" t="s">
        <v>2682</v>
      </c>
      <c r="D3" s="204" t="s">
        <v>2683</v>
      </c>
      <c r="E3" s="208" t="s">
        <v>2684</v>
      </c>
      <c r="F3" s="207" t="s">
        <v>2685</v>
      </c>
      <c r="G3" s="208" t="s">
        <v>2686</v>
      </c>
      <c r="H3" s="209">
        <v>3000000</v>
      </c>
    </row>
    <row r="4" spans="1:9" s="143" customFormat="1" ht="21.75">
      <c r="A4" s="122"/>
      <c r="B4" s="123"/>
      <c r="C4" s="123"/>
      <c r="D4" s="123"/>
      <c r="E4" s="123" t="s">
        <v>2687</v>
      </c>
      <c r="F4" s="207" t="s">
        <v>1721</v>
      </c>
      <c r="G4" s="208" t="s">
        <v>2688</v>
      </c>
      <c r="H4" s="209">
        <v>1000000</v>
      </c>
    </row>
    <row r="5" spans="1:9" s="143" customFormat="1" ht="21.75">
      <c r="A5" s="122"/>
      <c r="B5" s="123"/>
      <c r="C5" s="123"/>
      <c r="D5" s="123"/>
      <c r="E5" s="123" t="s">
        <v>2689</v>
      </c>
      <c r="F5" s="252" t="s">
        <v>2690</v>
      </c>
      <c r="G5" s="123" t="s">
        <v>2691</v>
      </c>
      <c r="H5" s="209">
        <v>1200000</v>
      </c>
    </row>
    <row r="6" spans="1:9" s="143" customFormat="1" ht="21.75">
      <c r="A6" s="122"/>
      <c r="B6" s="123"/>
      <c r="C6" s="123"/>
      <c r="D6" s="123"/>
      <c r="E6" s="123" t="s">
        <v>703</v>
      </c>
      <c r="F6" s="252" t="s">
        <v>2692</v>
      </c>
      <c r="G6" s="123" t="s">
        <v>1531</v>
      </c>
      <c r="H6" s="209">
        <v>600000</v>
      </c>
    </row>
    <row r="7" spans="1:9" s="143" customFormat="1" ht="21.75">
      <c r="A7" s="255"/>
      <c r="B7" s="256"/>
      <c r="C7" s="256"/>
      <c r="D7" s="256"/>
      <c r="E7" s="256" t="s">
        <v>2693</v>
      </c>
      <c r="F7" s="252" t="s">
        <v>2692</v>
      </c>
      <c r="G7" s="123" t="s">
        <v>1531</v>
      </c>
      <c r="H7" s="209">
        <v>600000</v>
      </c>
    </row>
    <row r="8" spans="1:9" s="143" customFormat="1" ht="21.75">
      <c r="A8" s="255"/>
      <c r="B8" s="256"/>
      <c r="C8" s="256"/>
      <c r="D8" s="256"/>
      <c r="E8" s="256" t="s">
        <v>2694</v>
      </c>
      <c r="F8" s="257" t="s">
        <v>2695</v>
      </c>
      <c r="G8" s="256" t="s">
        <v>2696</v>
      </c>
      <c r="H8" s="209">
        <v>4200000</v>
      </c>
      <c r="I8" s="143" t="s">
        <v>2697</v>
      </c>
    </row>
    <row r="9" spans="1:9" s="143" customFormat="1" ht="21.75">
      <c r="A9" s="255"/>
      <c r="B9" s="256"/>
      <c r="C9" s="256"/>
      <c r="D9" s="256"/>
      <c r="E9" s="256" t="s">
        <v>2698</v>
      </c>
      <c r="F9" s="257" t="s">
        <v>2699</v>
      </c>
      <c r="G9" s="256" t="s">
        <v>1535</v>
      </c>
      <c r="H9" s="209">
        <v>2400000</v>
      </c>
      <c r="I9" s="143" t="s">
        <v>664</v>
      </c>
    </row>
    <row r="10" spans="1:9" s="143" customFormat="1" ht="21.75">
      <c r="A10" s="255"/>
      <c r="B10" s="256"/>
      <c r="C10" s="256"/>
      <c r="D10" s="256"/>
      <c r="E10" s="256" t="s">
        <v>2700</v>
      </c>
      <c r="F10" s="257" t="s">
        <v>2701</v>
      </c>
      <c r="G10" s="256" t="s">
        <v>1535</v>
      </c>
      <c r="H10" s="258">
        <v>800000</v>
      </c>
      <c r="I10" s="143" t="s">
        <v>664</v>
      </c>
    </row>
    <row r="11" spans="1:9" s="143" customFormat="1" ht="21.75">
      <c r="A11" s="255"/>
      <c r="B11" s="256"/>
      <c r="C11" s="256"/>
      <c r="D11" s="256"/>
      <c r="E11" s="256" t="s">
        <v>308</v>
      </c>
      <c r="F11" s="257" t="s">
        <v>2702</v>
      </c>
      <c r="G11" s="256" t="s">
        <v>2703</v>
      </c>
      <c r="H11" s="258">
        <v>800000</v>
      </c>
      <c r="I11" s="143" t="s">
        <v>1098</v>
      </c>
    </row>
    <row r="12" spans="1:9" s="143" customFormat="1" ht="21.75">
      <c r="A12" s="255"/>
      <c r="B12" s="256"/>
      <c r="C12" s="256"/>
      <c r="D12" s="256"/>
      <c r="E12" s="256"/>
      <c r="F12" s="257"/>
      <c r="G12" s="256"/>
      <c r="H12" s="258"/>
    </row>
    <row r="13" spans="1:9" s="143" customFormat="1" ht="21.75">
      <c r="A13" s="255"/>
      <c r="B13" s="256"/>
      <c r="C13" s="256"/>
      <c r="D13" s="256"/>
      <c r="E13" s="256"/>
      <c r="F13" s="257"/>
      <c r="G13" s="256"/>
      <c r="H13" s="258"/>
    </row>
    <row r="14" spans="1:9" s="143" customFormat="1" ht="21.75">
      <c r="A14" s="248"/>
      <c r="B14" s="249"/>
      <c r="C14" s="249"/>
      <c r="D14" s="249"/>
      <c r="E14" s="249"/>
      <c r="F14" s="249"/>
      <c r="G14" s="249"/>
      <c r="H14" s="250">
        <f>SUM(H3:H13)</f>
        <v>14600000</v>
      </c>
    </row>
  </sheetData>
  <mergeCells count="1">
    <mergeCell ref="A2:H2"/>
  </mergeCells>
  <hyperlinks>
    <hyperlink ref="A1" location="Name!A1" display="Name!A1" xr:uid="{41463BA9-3E40-4406-B051-2BDA77233725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0254-D376-4F6E-B794-D5EB6DA64A8A}">
  <dimension ref="A1:J29"/>
  <sheetViews>
    <sheetView workbookViewId="0"/>
  </sheetViews>
  <sheetFormatPr defaultRowHeight="15"/>
  <cols>
    <col min="2" max="2" width="17.140625" customWidth="1"/>
    <col min="3" max="4" width="15.140625" customWidth="1"/>
    <col min="5" max="5" width="21" customWidth="1"/>
    <col min="7" max="7" width="17.28515625" customWidth="1"/>
    <col min="8" max="8" width="17.140625" customWidth="1"/>
    <col min="9" max="9" width="24.5703125" customWidth="1"/>
  </cols>
  <sheetData>
    <row r="1" spans="1:9">
      <c r="A1" s="410" t="s">
        <v>648</v>
      </c>
    </row>
    <row r="2" spans="1:9" ht="18.75">
      <c r="A2" s="651" t="s">
        <v>2704</v>
      </c>
      <c r="B2" s="651"/>
      <c r="C2" s="651"/>
      <c r="D2" s="651"/>
      <c r="E2" s="651"/>
      <c r="F2" s="651"/>
      <c r="G2" s="651"/>
      <c r="H2" s="651"/>
      <c r="I2" s="651"/>
    </row>
    <row r="3" spans="1:9" ht="28.5">
      <c r="A3" s="16" t="s">
        <v>2705</v>
      </c>
      <c r="B3" s="17" t="s">
        <v>697</v>
      </c>
      <c r="C3" s="17" t="s">
        <v>12</v>
      </c>
      <c r="D3" s="17"/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9" ht="39.75" customHeight="1">
      <c r="A4" s="18">
        <v>1</v>
      </c>
      <c r="B4" s="18" t="s">
        <v>701</v>
      </c>
      <c r="C4" s="18" t="s">
        <v>2706</v>
      </c>
      <c r="D4" s="34"/>
      <c r="E4" s="34" t="s">
        <v>2707</v>
      </c>
      <c r="F4" s="20" t="s">
        <v>2708</v>
      </c>
      <c r="G4" s="18"/>
      <c r="H4" s="21">
        <v>3000000</v>
      </c>
      <c r="I4" s="21"/>
    </row>
    <row r="5" spans="1:9" ht="39.75" customHeight="1">
      <c r="A5" s="18"/>
      <c r="B5" s="18"/>
      <c r="C5" s="49" t="s">
        <v>547</v>
      </c>
      <c r="D5" s="598"/>
      <c r="E5" s="19" t="s">
        <v>2709</v>
      </c>
      <c r="F5" s="20" t="s">
        <v>2710</v>
      </c>
      <c r="G5" s="18"/>
      <c r="H5" s="21">
        <v>1000000</v>
      </c>
      <c r="I5" s="21"/>
    </row>
    <row r="6" spans="1:9" ht="39.75" customHeight="1">
      <c r="A6" s="18"/>
      <c r="B6" s="18"/>
      <c r="C6" s="319"/>
      <c r="D6" s="319"/>
      <c r="E6" s="320" t="s">
        <v>2711</v>
      </c>
      <c r="F6" s="321" t="s">
        <v>2712</v>
      </c>
      <c r="G6" s="322" t="s">
        <v>1306</v>
      </c>
      <c r="H6" s="323">
        <v>1800000</v>
      </c>
      <c r="I6" s="21"/>
    </row>
    <row r="7" spans="1:9" ht="39.75" customHeight="1">
      <c r="A7" s="18"/>
      <c r="B7" s="18"/>
      <c r="C7" s="319"/>
      <c r="D7" s="319"/>
      <c r="E7" s="22" t="s">
        <v>703</v>
      </c>
      <c r="F7" s="20" t="s">
        <v>1530</v>
      </c>
      <c r="G7" s="18" t="s">
        <v>1531</v>
      </c>
      <c r="H7" s="21">
        <v>600000</v>
      </c>
      <c r="I7" s="21"/>
    </row>
    <row r="8" spans="1:9" ht="39.75" customHeight="1">
      <c r="A8" s="18"/>
      <c r="B8" s="18"/>
      <c r="C8" s="18"/>
      <c r="D8" s="224"/>
      <c r="E8" s="22" t="s">
        <v>1532</v>
      </c>
      <c r="F8" s="20" t="s">
        <v>1530</v>
      </c>
      <c r="G8" s="18" t="s">
        <v>1531</v>
      </c>
      <c r="H8" s="21">
        <v>600000</v>
      </c>
      <c r="I8" s="21"/>
    </row>
    <row r="9" spans="1:9" ht="39.75" customHeight="1">
      <c r="A9" s="18"/>
      <c r="B9" s="18"/>
      <c r="C9" s="18"/>
      <c r="D9" s="224"/>
      <c r="E9" s="22"/>
      <c r="F9" s="20"/>
      <c r="G9" s="18"/>
      <c r="H9" s="21"/>
      <c r="I9" s="21"/>
    </row>
    <row r="10" spans="1:9" ht="39.75" customHeight="1">
      <c r="A10" s="18"/>
      <c r="B10" s="18"/>
      <c r="C10" s="18"/>
      <c r="D10" s="224"/>
      <c r="E10" s="22"/>
      <c r="F10" s="20"/>
      <c r="G10" s="18"/>
      <c r="H10" s="21"/>
      <c r="I10" s="21"/>
    </row>
    <row r="11" spans="1:9" ht="39.75" customHeight="1">
      <c r="A11" s="18"/>
      <c r="B11" s="18"/>
      <c r="C11" s="18"/>
      <c r="D11" s="224"/>
      <c r="E11" s="22"/>
      <c r="F11" s="20"/>
      <c r="G11" s="18"/>
      <c r="H11" s="21"/>
      <c r="I11" s="21"/>
    </row>
    <row r="12" spans="1:9" ht="39.75" customHeight="1">
      <c r="A12" s="18"/>
      <c r="B12" s="18"/>
      <c r="C12" s="18"/>
      <c r="D12" s="18"/>
      <c r="E12" s="18"/>
      <c r="F12" s="21"/>
      <c r="G12" s="18"/>
      <c r="H12" s="50">
        <f>SUM(H4:H11)</f>
        <v>7000000</v>
      </c>
      <c r="I12" s="21"/>
    </row>
    <row r="13" spans="1:9" ht="18">
      <c r="A13" s="51"/>
      <c r="B13" s="51"/>
      <c r="C13" s="51"/>
      <c r="D13" s="51"/>
      <c r="E13" s="51"/>
      <c r="F13" s="51"/>
      <c r="G13" s="51"/>
      <c r="H13" s="51"/>
      <c r="I13" s="51"/>
    </row>
    <row r="14" spans="1:9" ht="18.75">
      <c r="A14" s="651" t="s">
        <v>356</v>
      </c>
      <c r="B14" s="651"/>
      <c r="C14" s="651"/>
      <c r="D14" s="651"/>
      <c r="E14" s="651"/>
      <c r="F14" s="651"/>
      <c r="G14" s="651"/>
      <c r="H14" s="651"/>
      <c r="I14" s="651"/>
    </row>
    <row r="15" spans="1:9" ht="28.5">
      <c r="A15" s="16" t="s">
        <v>2705</v>
      </c>
      <c r="B15" s="17" t="s">
        <v>697</v>
      </c>
      <c r="C15" s="17" t="s">
        <v>12</v>
      </c>
      <c r="D15" s="17"/>
      <c r="E15" s="16" t="s">
        <v>699</v>
      </c>
      <c r="F15" s="16" t="s">
        <v>657</v>
      </c>
      <c r="G15" s="17" t="s">
        <v>700</v>
      </c>
      <c r="H15" s="16" t="s">
        <v>660</v>
      </c>
      <c r="I15" s="16" t="s">
        <v>27</v>
      </c>
    </row>
    <row r="16" spans="1:9" ht="36" customHeight="1">
      <c r="A16" s="18">
        <v>1</v>
      </c>
      <c r="B16" s="18" t="s">
        <v>701</v>
      </c>
      <c r="C16" s="18" t="s">
        <v>2706</v>
      </c>
      <c r="D16" s="34" t="s">
        <v>357</v>
      </c>
      <c r="E16" s="34" t="s">
        <v>703</v>
      </c>
      <c r="F16" s="20" t="s">
        <v>2713</v>
      </c>
      <c r="G16" s="18" t="s">
        <v>832</v>
      </c>
      <c r="H16" s="21">
        <v>500000</v>
      </c>
      <c r="I16" s="21"/>
    </row>
    <row r="17" spans="1:10" ht="36" customHeight="1">
      <c r="A17" s="18"/>
      <c r="B17" s="18"/>
      <c r="C17" s="18"/>
      <c r="D17" s="224"/>
      <c r="E17" s="19" t="s">
        <v>2714</v>
      </c>
      <c r="F17" s="20" t="s">
        <v>2713</v>
      </c>
      <c r="G17" s="18" t="s">
        <v>832</v>
      </c>
      <c r="H17" s="21">
        <v>500000</v>
      </c>
      <c r="I17" s="21"/>
    </row>
    <row r="18" spans="1:10" ht="36" customHeight="1">
      <c r="A18" s="18"/>
      <c r="B18" s="18"/>
      <c r="C18" s="18"/>
      <c r="D18" s="224"/>
      <c r="E18" s="22" t="s">
        <v>2715</v>
      </c>
      <c r="F18" s="20" t="s">
        <v>2716</v>
      </c>
      <c r="G18" s="18" t="s">
        <v>2717</v>
      </c>
      <c r="H18" s="21">
        <v>1000000</v>
      </c>
      <c r="I18" s="21"/>
      <c r="J18" t="s">
        <v>1042</v>
      </c>
    </row>
    <row r="19" spans="1:10" ht="36" customHeight="1">
      <c r="A19" s="18"/>
      <c r="B19" s="18"/>
      <c r="C19" s="18"/>
      <c r="D19" s="224"/>
      <c r="E19" s="22" t="s">
        <v>2718</v>
      </c>
      <c r="F19" s="20" t="s">
        <v>2719</v>
      </c>
      <c r="G19" s="18" t="s">
        <v>1353</v>
      </c>
      <c r="H19" s="21">
        <v>1000000</v>
      </c>
      <c r="I19" s="21"/>
      <c r="J19" t="s">
        <v>2720</v>
      </c>
    </row>
    <row r="20" spans="1:10" ht="36" customHeight="1">
      <c r="A20" s="18"/>
      <c r="B20" s="18"/>
      <c r="C20" s="18"/>
      <c r="D20" s="224"/>
      <c r="E20" s="22" t="s">
        <v>2721</v>
      </c>
      <c r="F20" s="20" t="s">
        <v>2294</v>
      </c>
      <c r="G20" s="18" t="s">
        <v>854</v>
      </c>
      <c r="H20" s="21">
        <v>1200000</v>
      </c>
      <c r="I20" s="21"/>
    </row>
    <row r="21" spans="1:10" ht="36" customHeight="1">
      <c r="A21" s="18"/>
      <c r="B21" s="18"/>
      <c r="C21" s="18"/>
      <c r="D21" s="224"/>
      <c r="E21" s="22" t="s">
        <v>2722</v>
      </c>
      <c r="F21" s="20" t="s">
        <v>2723</v>
      </c>
      <c r="G21" s="18" t="s">
        <v>2664</v>
      </c>
      <c r="H21" s="21">
        <v>1700000</v>
      </c>
      <c r="I21" s="21"/>
    </row>
    <row r="22" spans="1:10" ht="36" customHeight="1">
      <c r="A22" s="18"/>
      <c r="B22" s="18"/>
      <c r="C22" s="18"/>
      <c r="D22" s="224"/>
      <c r="E22" s="22" t="s">
        <v>2724</v>
      </c>
      <c r="F22" s="20" t="s">
        <v>2725</v>
      </c>
      <c r="G22" s="18" t="s">
        <v>2726</v>
      </c>
      <c r="H22" s="21">
        <v>2000000</v>
      </c>
      <c r="I22" s="21" t="s">
        <v>1042</v>
      </c>
      <c r="J22" t="s">
        <v>2727</v>
      </c>
    </row>
    <row r="23" spans="1:10" ht="36" customHeight="1">
      <c r="A23" s="18"/>
      <c r="B23" s="18"/>
      <c r="C23" s="18"/>
      <c r="D23" s="224"/>
      <c r="E23" s="22" t="s">
        <v>2728</v>
      </c>
      <c r="F23" s="20" t="s">
        <v>2729</v>
      </c>
      <c r="G23" s="18" t="s">
        <v>938</v>
      </c>
      <c r="H23" s="21">
        <v>3000000</v>
      </c>
      <c r="I23" s="21" t="s">
        <v>2730</v>
      </c>
      <c r="J23" t="s">
        <v>2731</v>
      </c>
    </row>
    <row r="24" spans="1:10" ht="36" customHeight="1">
      <c r="A24" s="18"/>
      <c r="B24" s="18"/>
      <c r="C24" s="18"/>
      <c r="D24" s="224"/>
      <c r="E24" s="22" t="s">
        <v>2732</v>
      </c>
      <c r="F24" s="20" t="s">
        <v>2733</v>
      </c>
      <c r="G24" s="18" t="s">
        <v>2734</v>
      </c>
      <c r="H24" s="21">
        <v>3000000</v>
      </c>
      <c r="I24" s="21" t="s">
        <v>2735</v>
      </c>
    </row>
    <row r="25" spans="1:10" ht="36" customHeight="1">
      <c r="A25" s="18"/>
      <c r="B25" s="18"/>
      <c r="C25" s="18"/>
      <c r="D25" s="224"/>
      <c r="E25" s="22" t="s">
        <v>359</v>
      </c>
      <c r="F25" s="20" t="s">
        <v>2736</v>
      </c>
      <c r="G25" s="18" t="s">
        <v>1545</v>
      </c>
      <c r="H25" s="21">
        <v>1600000</v>
      </c>
      <c r="I25" s="21" t="s">
        <v>664</v>
      </c>
    </row>
    <row r="26" spans="1:10" ht="36" customHeight="1">
      <c r="A26" s="18"/>
      <c r="B26" s="18"/>
      <c r="C26" s="18"/>
      <c r="D26" s="224"/>
      <c r="E26" s="22"/>
      <c r="F26" s="20"/>
      <c r="G26" s="18"/>
      <c r="H26" s="21"/>
      <c r="I26" s="42"/>
    </row>
    <row r="27" spans="1:10" ht="36" customHeight="1">
      <c r="A27" s="18"/>
      <c r="B27" s="18"/>
      <c r="C27" s="18"/>
      <c r="D27" s="18"/>
      <c r="E27" s="18"/>
      <c r="F27" s="21"/>
      <c r="G27" s="18"/>
      <c r="H27" s="50">
        <f>SUM(H16:H25)</f>
        <v>15500000</v>
      </c>
      <c r="I27" s="21"/>
    </row>
    <row r="28" spans="1:10" ht="36" customHeight="1"/>
    <row r="29" spans="1:10" ht="36" customHeight="1"/>
  </sheetData>
  <mergeCells count="2">
    <mergeCell ref="A2:I2"/>
    <mergeCell ref="A14:I14"/>
  </mergeCells>
  <hyperlinks>
    <hyperlink ref="A1" location="Name!A1" display="Name!A1" xr:uid="{8F2FBF75-6BA6-4F6C-9AE6-015F1FA986E8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81BA-DC62-459D-9084-893560FB07D0}">
  <dimension ref="A1:H44"/>
  <sheetViews>
    <sheetView workbookViewId="0">
      <selection activeCell="A17" sqref="A17"/>
    </sheetView>
  </sheetViews>
  <sheetFormatPr defaultRowHeight="15"/>
  <cols>
    <col min="2" max="2" width="15.42578125" customWidth="1"/>
    <col min="3" max="3" width="17" customWidth="1"/>
    <col min="4" max="4" width="28.85546875" customWidth="1"/>
    <col min="6" max="6" width="17.85546875" customWidth="1"/>
    <col min="7" max="7" width="19.28515625" customWidth="1"/>
    <col min="8" max="8" width="15.85546875" customWidth="1"/>
  </cols>
  <sheetData>
    <row r="1" spans="1:8">
      <c r="A1" s="410" t="s">
        <v>648</v>
      </c>
    </row>
    <row r="2" spans="1:8" ht="26.25">
      <c r="A2" s="680" t="s">
        <v>2737</v>
      </c>
      <c r="B2" s="680"/>
      <c r="C2" s="680"/>
      <c r="D2" s="680"/>
      <c r="E2" s="680"/>
      <c r="F2" s="680"/>
      <c r="G2" s="680"/>
      <c r="H2" s="680"/>
    </row>
    <row r="3" spans="1:8" ht="43.5">
      <c r="A3" s="33" t="s">
        <v>818</v>
      </c>
      <c r="B3" s="145" t="s">
        <v>697</v>
      </c>
      <c r="C3" s="145" t="s">
        <v>12</v>
      </c>
      <c r="D3" s="33" t="s">
        <v>699</v>
      </c>
      <c r="E3" s="33" t="s">
        <v>657</v>
      </c>
      <c r="F3" s="145" t="s">
        <v>700</v>
      </c>
      <c r="G3" s="33" t="s">
        <v>660</v>
      </c>
      <c r="H3" s="33" t="s">
        <v>27</v>
      </c>
    </row>
    <row r="4" spans="1:8" ht="21.75">
      <c r="A4" s="7">
        <v>1</v>
      </c>
      <c r="B4" s="7" t="s">
        <v>152</v>
      </c>
      <c r="C4" s="7" t="s">
        <v>2738</v>
      </c>
      <c r="D4" s="146" t="s">
        <v>703</v>
      </c>
      <c r="E4" s="147" t="s">
        <v>2739</v>
      </c>
      <c r="F4" s="9" t="s">
        <v>2740</v>
      </c>
      <c r="G4" s="9">
        <v>500000</v>
      </c>
      <c r="H4" s="9"/>
    </row>
    <row r="5" spans="1:8" ht="21.75">
      <c r="A5" s="7"/>
      <c r="B5" s="7"/>
      <c r="C5" s="7" t="s">
        <v>349</v>
      </c>
      <c r="D5" s="148" t="s">
        <v>2741</v>
      </c>
      <c r="E5" s="147" t="s">
        <v>2739</v>
      </c>
      <c r="F5" s="9" t="s">
        <v>2740</v>
      </c>
      <c r="G5" s="9">
        <v>500000</v>
      </c>
      <c r="H5" s="9"/>
    </row>
    <row r="6" spans="1:8" ht="21.75">
      <c r="A6" s="7"/>
      <c r="B6" s="7"/>
      <c r="C6" s="7"/>
      <c r="D6" s="149" t="s">
        <v>1066</v>
      </c>
      <c r="E6" s="147"/>
      <c r="F6" s="9" t="s">
        <v>832</v>
      </c>
      <c r="G6" s="9">
        <v>-500000</v>
      </c>
      <c r="H6" s="9"/>
    </row>
    <row r="7" spans="1:8" ht="21.75">
      <c r="A7" s="7"/>
      <c r="B7" s="7"/>
      <c r="C7" s="7"/>
      <c r="D7" s="149"/>
      <c r="E7" s="147"/>
      <c r="F7" s="9"/>
      <c r="G7" s="9"/>
      <c r="H7" s="9"/>
    </row>
    <row r="8" spans="1:8" ht="21.75">
      <c r="A8" s="7"/>
      <c r="B8" s="7"/>
      <c r="C8" s="7"/>
      <c r="D8" s="149"/>
      <c r="E8" s="147"/>
      <c r="F8" s="9"/>
      <c r="G8" s="9"/>
      <c r="H8" s="9"/>
    </row>
    <row r="9" spans="1:8" ht="21.75">
      <c r="A9" s="7"/>
      <c r="B9" s="7"/>
      <c r="C9" s="7"/>
      <c r="D9" s="149"/>
      <c r="E9" s="147"/>
      <c r="F9" s="9"/>
      <c r="G9" s="9"/>
      <c r="H9" s="9"/>
    </row>
    <row r="10" spans="1:8" ht="21.75">
      <c r="A10" s="7"/>
      <c r="B10" s="7"/>
      <c r="C10" s="7"/>
      <c r="D10" s="149"/>
      <c r="E10" s="147"/>
      <c r="F10" s="9"/>
      <c r="G10" s="9"/>
      <c r="H10" s="9"/>
    </row>
    <row r="11" spans="1:8" ht="21.75">
      <c r="A11" s="7"/>
      <c r="B11" s="7"/>
      <c r="C11" s="7"/>
      <c r="D11" s="149"/>
      <c r="E11" s="147"/>
      <c r="F11" s="9"/>
      <c r="G11" s="9"/>
      <c r="H11" s="9"/>
    </row>
    <row r="12" spans="1:8" ht="21.75">
      <c r="A12" s="7"/>
      <c r="B12" s="7"/>
      <c r="C12" s="7"/>
      <c r="D12" s="149"/>
      <c r="E12" s="147"/>
      <c r="F12" s="9"/>
      <c r="G12" s="9"/>
      <c r="H12" s="9"/>
    </row>
    <row r="13" spans="1:8" ht="21.75">
      <c r="A13" s="7"/>
      <c r="B13" s="7"/>
      <c r="C13" s="7"/>
      <c r="D13" s="9"/>
      <c r="E13" s="9"/>
      <c r="F13" s="9"/>
      <c r="G13" s="150">
        <f>SUM(G4:G12)</f>
        <v>500000</v>
      </c>
      <c r="H13" s="9"/>
    </row>
    <row r="17" spans="1:8">
      <c r="A17" s="410" t="s">
        <v>648</v>
      </c>
    </row>
    <row r="18" spans="1:8" ht="26.25">
      <c r="A18" s="680" t="s">
        <v>2742</v>
      </c>
      <c r="B18" s="680"/>
      <c r="C18" s="680"/>
      <c r="D18" s="680"/>
      <c r="E18" s="680"/>
      <c r="F18" s="680"/>
      <c r="G18" s="680"/>
      <c r="H18" s="680"/>
    </row>
    <row r="19" spans="1:8" ht="43.5">
      <c r="A19" s="33" t="s">
        <v>818</v>
      </c>
      <c r="B19" s="145" t="s">
        <v>697</v>
      </c>
      <c r="C19" s="145" t="s">
        <v>12</v>
      </c>
      <c r="D19" s="33" t="s">
        <v>699</v>
      </c>
      <c r="E19" s="33" t="s">
        <v>657</v>
      </c>
      <c r="F19" s="145" t="s">
        <v>700</v>
      </c>
      <c r="G19" s="33" t="s">
        <v>660</v>
      </c>
      <c r="H19" s="33" t="s">
        <v>27</v>
      </c>
    </row>
    <row r="20" spans="1:8" ht="21.75">
      <c r="A20" s="7">
        <v>1</v>
      </c>
      <c r="B20" s="7" t="s">
        <v>152</v>
      </c>
      <c r="C20" s="7" t="s">
        <v>2738</v>
      </c>
      <c r="D20" s="146" t="s">
        <v>703</v>
      </c>
      <c r="E20" s="147" t="s">
        <v>2743</v>
      </c>
      <c r="F20" s="9" t="s">
        <v>2744</v>
      </c>
      <c r="G20" s="9">
        <v>500000</v>
      </c>
      <c r="H20" s="9"/>
    </row>
    <row r="21" spans="1:8" ht="21.75">
      <c r="A21" s="7"/>
      <c r="B21" s="7"/>
      <c r="C21" s="7" t="s">
        <v>349</v>
      </c>
      <c r="D21" s="148" t="s">
        <v>2745</v>
      </c>
      <c r="E21" s="147" t="s">
        <v>2743</v>
      </c>
      <c r="F21" s="9" t="s">
        <v>2744</v>
      </c>
      <c r="G21" s="9">
        <v>500000</v>
      </c>
      <c r="H21" s="9"/>
    </row>
    <row r="22" spans="1:8" ht="21.75">
      <c r="A22" s="7"/>
      <c r="B22" s="7"/>
      <c r="C22" s="7"/>
      <c r="D22" s="149" t="s">
        <v>2746</v>
      </c>
      <c r="E22" s="147" t="s">
        <v>2747</v>
      </c>
      <c r="F22" s="9" t="s">
        <v>2748</v>
      </c>
      <c r="G22" s="9">
        <v>1000000</v>
      </c>
      <c r="H22" s="9"/>
    </row>
    <row r="23" spans="1:8" ht="21.75">
      <c r="A23" s="7"/>
      <c r="B23" s="7"/>
      <c r="C23" s="7"/>
      <c r="D23" s="149"/>
      <c r="E23" s="147"/>
      <c r="F23" s="9"/>
      <c r="G23" s="9"/>
      <c r="H23" s="9"/>
    </row>
    <row r="24" spans="1:8" ht="21.75">
      <c r="A24" s="7"/>
      <c r="B24" s="7"/>
      <c r="C24" s="7"/>
      <c r="D24" s="149"/>
      <c r="E24" s="147"/>
      <c r="F24" s="9"/>
      <c r="G24" s="9"/>
      <c r="H24" s="9"/>
    </row>
    <row r="25" spans="1:8" ht="21.75">
      <c r="A25" s="7"/>
      <c r="B25" s="7"/>
      <c r="C25" s="7"/>
      <c r="D25" s="149"/>
      <c r="E25" s="147"/>
      <c r="F25" s="9"/>
      <c r="G25" s="9"/>
      <c r="H25" s="9"/>
    </row>
    <row r="26" spans="1:8" ht="21.75">
      <c r="A26" s="7"/>
      <c r="B26" s="7"/>
      <c r="C26" s="7"/>
      <c r="D26" s="149"/>
      <c r="E26" s="147"/>
      <c r="F26" s="9"/>
      <c r="G26" s="9"/>
      <c r="H26" s="9"/>
    </row>
    <row r="27" spans="1:8" ht="21.75">
      <c r="A27" s="7"/>
      <c r="B27" s="7"/>
      <c r="C27" s="7"/>
      <c r="D27" s="149"/>
      <c r="E27" s="147"/>
      <c r="F27" s="9"/>
      <c r="G27" s="9"/>
      <c r="H27" s="9"/>
    </row>
    <row r="28" spans="1:8" ht="21.75">
      <c r="A28" s="7"/>
      <c r="B28" s="7"/>
      <c r="C28" s="7"/>
      <c r="D28" s="149"/>
      <c r="E28" s="147"/>
      <c r="F28" s="9"/>
      <c r="G28" s="9"/>
      <c r="H28" s="9"/>
    </row>
    <row r="29" spans="1:8" ht="21.75">
      <c r="A29" s="7"/>
      <c r="B29" s="7"/>
      <c r="C29" s="7"/>
      <c r="D29" s="9"/>
      <c r="E29" s="9"/>
      <c r="F29" s="9"/>
      <c r="G29" s="150">
        <f>SUM(G20:G28)</f>
        <v>2000000</v>
      </c>
      <c r="H29" s="9"/>
    </row>
    <row r="33" spans="1:8" ht="26.25">
      <c r="A33" s="680" t="s">
        <v>348</v>
      </c>
      <c r="B33" s="680"/>
      <c r="C33" s="680"/>
      <c r="D33" s="680"/>
      <c r="E33" s="680"/>
      <c r="F33" s="680"/>
      <c r="G33" s="680"/>
      <c r="H33" s="680"/>
    </row>
    <row r="34" spans="1:8" ht="43.5">
      <c r="A34" s="33" t="s">
        <v>818</v>
      </c>
      <c r="B34" s="145" t="s">
        <v>697</v>
      </c>
      <c r="C34" s="145" t="s">
        <v>12</v>
      </c>
      <c r="D34" s="33" t="s">
        <v>699</v>
      </c>
      <c r="E34" s="33" t="s">
        <v>657</v>
      </c>
      <c r="F34" s="145" t="s">
        <v>700</v>
      </c>
      <c r="G34" s="33" t="s">
        <v>660</v>
      </c>
      <c r="H34" s="33" t="s">
        <v>27</v>
      </c>
    </row>
    <row r="35" spans="1:8" ht="21.75">
      <c r="A35" s="7">
        <v>1</v>
      </c>
      <c r="B35" s="7" t="s">
        <v>152</v>
      </c>
      <c r="C35" s="7" t="s">
        <v>2738</v>
      </c>
      <c r="D35" s="146" t="s">
        <v>703</v>
      </c>
      <c r="E35" s="147" t="s">
        <v>2749</v>
      </c>
      <c r="F35" s="9" t="s">
        <v>843</v>
      </c>
      <c r="G35" s="9">
        <v>600000</v>
      </c>
      <c r="H35" s="9"/>
    </row>
    <row r="36" spans="1:8" ht="21.75">
      <c r="A36" s="7"/>
      <c r="B36" s="7"/>
      <c r="C36" s="7" t="s">
        <v>349</v>
      </c>
      <c r="D36" s="148" t="s">
        <v>2750</v>
      </c>
      <c r="E36" s="147" t="s">
        <v>2749</v>
      </c>
      <c r="F36" s="9" t="s">
        <v>843</v>
      </c>
      <c r="G36" s="9">
        <v>600000</v>
      </c>
      <c r="H36" s="9"/>
    </row>
    <row r="37" spans="1:8" ht="21.75">
      <c r="A37" s="7"/>
      <c r="B37" s="7"/>
      <c r="C37" s="7"/>
      <c r="D37" s="149" t="s">
        <v>2751</v>
      </c>
      <c r="E37" s="147" t="s">
        <v>2752</v>
      </c>
      <c r="F37" s="9" t="s">
        <v>2519</v>
      </c>
      <c r="G37" s="9">
        <v>600000</v>
      </c>
      <c r="H37" s="9"/>
    </row>
    <row r="38" spans="1:8" ht="21.75">
      <c r="A38" s="7"/>
      <c r="B38" s="7"/>
      <c r="C38" s="7"/>
      <c r="D38" s="149" t="s">
        <v>2753</v>
      </c>
      <c r="E38" s="147" t="s">
        <v>2754</v>
      </c>
      <c r="F38" s="9" t="s">
        <v>2755</v>
      </c>
      <c r="G38" s="9">
        <v>2400000</v>
      </c>
      <c r="H38" s="9"/>
    </row>
    <row r="39" spans="1:8" ht="21.75">
      <c r="A39" s="7"/>
      <c r="B39" s="7"/>
      <c r="C39" s="7"/>
      <c r="D39" s="149" t="s">
        <v>351</v>
      </c>
      <c r="E39" s="147" t="s">
        <v>2756</v>
      </c>
      <c r="F39" s="9" t="s">
        <v>672</v>
      </c>
      <c r="G39" s="9">
        <v>5800000</v>
      </c>
      <c r="H39" s="612" t="s">
        <v>736</v>
      </c>
    </row>
    <row r="40" spans="1:8" ht="21.75">
      <c r="A40" s="7"/>
      <c r="B40" s="7"/>
      <c r="C40" s="7"/>
      <c r="D40" s="149"/>
      <c r="E40" s="147"/>
      <c r="F40" s="9"/>
      <c r="G40" s="9"/>
      <c r="H40" s="9"/>
    </row>
    <row r="41" spans="1:8" ht="21.75">
      <c r="A41" s="7"/>
      <c r="B41" s="7"/>
      <c r="C41" s="7"/>
      <c r="D41" s="149"/>
      <c r="E41" s="147"/>
      <c r="F41" s="9"/>
      <c r="G41" s="9"/>
      <c r="H41" s="9"/>
    </row>
    <row r="42" spans="1:8" ht="21.75">
      <c r="A42" s="7"/>
      <c r="B42" s="7"/>
      <c r="C42" s="7"/>
      <c r="D42" s="149"/>
      <c r="E42" s="147"/>
      <c r="F42" s="9"/>
      <c r="G42" s="9"/>
      <c r="H42" s="9"/>
    </row>
    <row r="43" spans="1:8" ht="21.75">
      <c r="A43" s="7"/>
      <c r="B43" s="7"/>
      <c r="C43" s="7"/>
      <c r="D43" s="149"/>
      <c r="E43" s="147"/>
      <c r="F43" s="9"/>
      <c r="G43" s="9"/>
      <c r="H43" s="9"/>
    </row>
    <row r="44" spans="1:8" ht="21.75">
      <c r="A44" s="7"/>
      <c r="B44" s="7"/>
      <c r="C44" s="7"/>
      <c r="D44" s="9"/>
      <c r="E44" s="9"/>
      <c r="F44" s="9"/>
      <c r="G44" s="150">
        <f>SUM(G35:G43)</f>
        <v>10000000</v>
      </c>
      <c r="H44" s="9"/>
    </row>
  </sheetData>
  <mergeCells count="3">
    <mergeCell ref="A2:H2"/>
    <mergeCell ref="A18:H18"/>
    <mergeCell ref="A33:H33"/>
  </mergeCells>
  <hyperlinks>
    <hyperlink ref="A1" location="Name!A1" display="Name!A1" xr:uid="{32D744DA-B43F-4518-A843-A5D0C4DE7797}"/>
    <hyperlink ref="A17" location="Name!A1" display="Name!A1" xr:uid="{E4523374-732C-4906-8A17-44475EC44145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62E0-5995-4E10-AC7F-6472DCFA61A3}">
  <dimension ref="A1:J57"/>
  <sheetViews>
    <sheetView workbookViewId="0"/>
  </sheetViews>
  <sheetFormatPr defaultRowHeight="15"/>
  <cols>
    <col min="3" max="3" width="26.85546875" customWidth="1"/>
    <col min="5" max="5" width="34" customWidth="1"/>
    <col min="7" max="7" width="21" customWidth="1"/>
    <col min="8" max="8" width="17.28515625" customWidth="1"/>
    <col min="9" max="9" width="12.85546875" customWidth="1"/>
  </cols>
  <sheetData>
    <row r="1" spans="1:9">
      <c r="A1" s="410" t="s">
        <v>648</v>
      </c>
    </row>
    <row r="2" spans="1:9" ht="26.25">
      <c r="A2" s="680" t="s">
        <v>2757</v>
      </c>
      <c r="B2" s="680"/>
      <c r="C2" s="680"/>
      <c r="D2" s="680"/>
      <c r="E2" s="680"/>
      <c r="F2" s="680"/>
      <c r="G2" s="680"/>
      <c r="H2" s="680"/>
      <c r="I2" s="680"/>
    </row>
    <row r="3" spans="1:9" ht="43.5">
      <c r="A3" s="33" t="s">
        <v>818</v>
      </c>
      <c r="B3" s="145" t="s">
        <v>697</v>
      </c>
      <c r="C3" s="145"/>
      <c r="D3" s="145" t="s">
        <v>12</v>
      </c>
      <c r="E3" s="33" t="s">
        <v>699</v>
      </c>
      <c r="F3" s="33" t="s">
        <v>657</v>
      </c>
      <c r="G3" s="145" t="s">
        <v>700</v>
      </c>
      <c r="H3" s="33" t="s">
        <v>660</v>
      </c>
      <c r="I3" s="33" t="s">
        <v>27</v>
      </c>
    </row>
    <row r="4" spans="1:9" ht="21.75">
      <c r="A4" s="7">
        <v>1</v>
      </c>
      <c r="B4" s="7" t="s">
        <v>152</v>
      </c>
      <c r="C4" s="7"/>
      <c r="D4" s="7" t="s">
        <v>2758</v>
      </c>
      <c r="E4" s="146" t="s">
        <v>2759</v>
      </c>
      <c r="F4" s="147" t="s">
        <v>2760</v>
      </c>
      <c r="G4" s="9" t="s">
        <v>1237</v>
      </c>
      <c r="H4" s="9">
        <v>1000000</v>
      </c>
      <c r="I4" s="9"/>
    </row>
    <row r="5" spans="1:9" ht="21.75">
      <c r="A5" s="7"/>
      <c r="B5" s="7"/>
      <c r="C5" s="7"/>
      <c r="D5" s="7"/>
      <c r="E5" s="148" t="s">
        <v>2761</v>
      </c>
      <c r="F5" s="147" t="s">
        <v>2762</v>
      </c>
      <c r="G5" s="9" t="s">
        <v>2763</v>
      </c>
      <c r="H5" s="9">
        <v>2000000</v>
      </c>
      <c r="I5" s="9"/>
    </row>
    <row r="6" spans="1:9" ht="21.75">
      <c r="A6" s="7"/>
      <c r="B6" s="7"/>
      <c r="C6" s="7"/>
      <c r="D6" s="7"/>
      <c r="E6" s="149"/>
      <c r="F6" s="147"/>
      <c r="G6" s="9"/>
      <c r="H6" s="9"/>
      <c r="I6" s="9"/>
    </row>
    <row r="7" spans="1:9" ht="21.75">
      <c r="A7" s="7"/>
      <c r="B7" s="7"/>
      <c r="C7" s="7"/>
      <c r="D7" s="7"/>
      <c r="E7" s="149"/>
      <c r="F7" s="147"/>
      <c r="G7" s="9"/>
      <c r="H7" s="9"/>
      <c r="I7" s="9"/>
    </row>
    <row r="8" spans="1:9" ht="21.75">
      <c r="A8" s="7"/>
      <c r="B8" s="7"/>
      <c r="C8" s="7"/>
      <c r="D8" s="7"/>
      <c r="E8" s="149"/>
      <c r="F8" s="147"/>
      <c r="G8" s="9"/>
      <c r="H8" s="9"/>
      <c r="I8" s="9"/>
    </row>
    <row r="9" spans="1:9" ht="21.75">
      <c r="A9" s="7"/>
      <c r="B9" s="7"/>
      <c r="C9" s="7"/>
      <c r="D9" s="7"/>
      <c r="E9" s="149"/>
      <c r="F9" s="147"/>
      <c r="G9" s="9"/>
      <c r="H9" s="9"/>
      <c r="I9" s="9"/>
    </row>
    <row r="10" spans="1:9" ht="21.75">
      <c r="A10" s="7"/>
      <c r="B10" s="7"/>
      <c r="C10" s="7"/>
      <c r="D10" s="7"/>
      <c r="E10" s="149"/>
      <c r="F10" s="147"/>
      <c r="G10" s="9"/>
      <c r="H10" s="9"/>
      <c r="I10" s="9"/>
    </row>
    <row r="11" spans="1:9" ht="21.75">
      <c r="A11" s="7"/>
      <c r="B11" s="7"/>
      <c r="C11" s="7"/>
      <c r="D11" s="7"/>
      <c r="E11" s="149"/>
      <c r="F11" s="147"/>
      <c r="G11" s="9"/>
      <c r="H11" s="9"/>
      <c r="I11" s="9"/>
    </row>
    <row r="12" spans="1:9" ht="21.75">
      <c r="A12" s="7"/>
      <c r="B12" s="7"/>
      <c r="C12" s="7"/>
      <c r="D12" s="7"/>
      <c r="E12" s="149"/>
      <c r="F12" s="147"/>
      <c r="G12" s="9"/>
      <c r="H12" s="9"/>
      <c r="I12" s="9"/>
    </row>
    <row r="13" spans="1:9" ht="21.75">
      <c r="A13" s="7"/>
      <c r="B13" s="7"/>
      <c r="C13" s="7"/>
      <c r="D13" s="7"/>
      <c r="E13" s="9"/>
      <c r="F13" s="9"/>
      <c r="G13" s="9"/>
      <c r="H13" s="150">
        <f>SUM(H4:H12)</f>
        <v>3000000</v>
      </c>
      <c r="I13" s="9"/>
    </row>
    <row r="16" spans="1:9" ht="26.25">
      <c r="A16" s="680" t="s">
        <v>2764</v>
      </c>
      <c r="B16" s="680"/>
      <c r="C16" s="680"/>
      <c r="D16" s="680"/>
      <c r="E16" s="680"/>
      <c r="F16" s="680"/>
      <c r="G16" s="680"/>
      <c r="H16" s="680"/>
      <c r="I16" s="680"/>
    </row>
    <row r="17" spans="1:9" ht="43.5">
      <c r="A17" s="33" t="s">
        <v>818</v>
      </c>
      <c r="B17" s="145" t="s">
        <v>697</v>
      </c>
      <c r="C17" s="145"/>
      <c r="D17" s="145" t="s">
        <v>12</v>
      </c>
      <c r="E17" s="33" t="s">
        <v>699</v>
      </c>
      <c r="F17" s="33" t="s">
        <v>657</v>
      </c>
      <c r="G17" s="145" t="s">
        <v>700</v>
      </c>
      <c r="H17" s="33" t="s">
        <v>660</v>
      </c>
      <c r="I17" s="33" t="s">
        <v>27</v>
      </c>
    </row>
    <row r="18" spans="1:9" ht="21.75">
      <c r="A18" s="7">
        <v>1</v>
      </c>
      <c r="B18" s="7" t="s">
        <v>152</v>
      </c>
      <c r="C18" s="7"/>
      <c r="D18" s="7" t="s">
        <v>340</v>
      </c>
      <c r="E18" s="146" t="s">
        <v>2765</v>
      </c>
      <c r="F18" s="147" t="s">
        <v>2766</v>
      </c>
      <c r="G18" s="9" t="s">
        <v>2594</v>
      </c>
      <c r="H18" s="9">
        <v>320000</v>
      </c>
      <c r="I18" s="9"/>
    </row>
    <row r="19" spans="1:9" ht="21.75">
      <c r="A19" s="7"/>
      <c r="B19" s="7"/>
      <c r="C19" s="7"/>
      <c r="D19" s="7"/>
      <c r="E19" s="148" t="s">
        <v>2767</v>
      </c>
      <c r="F19" s="147"/>
      <c r="G19" s="9"/>
      <c r="H19" s="9">
        <v>-200000</v>
      </c>
      <c r="I19" s="9" t="s">
        <v>1311</v>
      </c>
    </row>
    <row r="20" spans="1:9" ht="21.75">
      <c r="A20" s="7"/>
      <c r="B20" s="7"/>
      <c r="C20" s="7"/>
      <c r="D20" s="7"/>
      <c r="E20" s="149"/>
      <c r="F20" s="147"/>
      <c r="G20" s="9"/>
      <c r="H20" s="9"/>
      <c r="I20" s="9"/>
    </row>
    <row r="21" spans="1:9" ht="21.75">
      <c r="A21" s="7"/>
      <c r="B21" s="7"/>
      <c r="C21" s="7"/>
      <c r="D21" s="7"/>
      <c r="E21" s="149"/>
      <c r="F21" s="147"/>
      <c r="G21" s="9"/>
      <c r="H21" s="9"/>
      <c r="I21" s="9"/>
    </row>
    <row r="22" spans="1:9" ht="21.75">
      <c r="A22" s="7"/>
      <c r="B22" s="7"/>
      <c r="C22" s="7"/>
      <c r="D22" s="7"/>
      <c r="E22" s="149"/>
      <c r="F22" s="147"/>
      <c r="G22" s="9"/>
      <c r="H22" s="9"/>
      <c r="I22" s="9"/>
    </row>
    <row r="23" spans="1:9" ht="21.75">
      <c r="A23" s="7"/>
      <c r="B23" s="7"/>
      <c r="C23" s="7"/>
      <c r="D23" s="7"/>
      <c r="E23" s="149"/>
      <c r="F23" s="147"/>
      <c r="G23" s="9"/>
      <c r="H23" s="9"/>
      <c r="I23" s="9"/>
    </row>
    <row r="24" spans="1:9" ht="21.75">
      <c r="A24" s="7"/>
      <c r="B24" s="7"/>
      <c r="C24" s="7"/>
      <c r="D24" s="7"/>
      <c r="E24" s="149"/>
      <c r="F24" s="147"/>
      <c r="G24" s="9"/>
      <c r="H24" s="9"/>
      <c r="I24" s="9"/>
    </row>
    <row r="25" spans="1:9" ht="21.75">
      <c r="A25" s="7"/>
      <c r="B25" s="7"/>
      <c r="C25" s="7"/>
      <c r="D25" s="7"/>
      <c r="E25" s="149"/>
      <c r="F25" s="147"/>
      <c r="G25" s="9"/>
      <c r="H25" s="9"/>
      <c r="I25" s="9"/>
    </row>
    <row r="26" spans="1:9" ht="21.75">
      <c r="A26" s="7"/>
      <c r="B26" s="7"/>
      <c r="C26" s="7"/>
      <c r="D26" s="7"/>
      <c r="E26" s="149"/>
      <c r="F26" s="147"/>
      <c r="G26" s="9"/>
      <c r="H26" s="9"/>
      <c r="I26" s="9"/>
    </row>
    <row r="27" spans="1:9" ht="21.75">
      <c r="A27" s="7"/>
      <c r="B27" s="7"/>
      <c r="C27" s="7"/>
      <c r="D27" s="7"/>
      <c r="E27" s="9"/>
      <c r="F27" s="9"/>
      <c r="G27" s="9"/>
      <c r="H27" s="150">
        <f>SUM(H18:H26)</f>
        <v>120000</v>
      </c>
      <c r="I27" s="9"/>
    </row>
    <row r="33" spans="1:10" ht="26.25">
      <c r="A33" s="680" t="s">
        <v>2768</v>
      </c>
      <c r="B33" s="680"/>
      <c r="C33" s="680"/>
      <c r="D33" s="680"/>
      <c r="E33" s="680"/>
      <c r="F33" s="680"/>
      <c r="G33" s="680"/>
      <c r="H33" s="680"/>
      <c r="I33" s="680"/>
    </row>
    <row r="34" spans="1:10" ht="43.5">
      <c r="A34" s="33" t="s">
        <v>818</v>
      </c>
      <c r="B34" s="145" t="s">
        <v>697</v>
      </c>
      <c r="C34" s="145" t="s">
        <v>15</v>
      </c>
      <c r="D34" s="145" t="s">
        <v>12</v>
      </c>
      <c r="E34" s="33" t="s">
        <v>699</v>
      </c>
      <c r="F34" s="33" t="s">
        <v>657</v>
      </c>
      <c r="G34" s="145" t="s">
        <v>700</v>
      </c>
      <c r="H34" s="33" t="s">
        <v>660</v>
      </c>
      <c r="I34" s="33" t="s">
        <v>27</v>
      </c>
    </row>
    <row r="35" spans="1:10" ht="42.75" customHeight="1">
      <c r="A35" s="26">
        <v>1</v>
      </c>
      <c r="B35" s="26" t="s">
        <v>152</v>
      </c>
      <c r="C35" s="26" t="s">
        <v>342</v>
      </c>
      <c r="D35" s="26" t="s">
        <v>340</v>
      </c>
      <c r="E35" s="28" t="s">
        <v>703</v>
      </c>
      <c r="F35" s="27" t="s">
        <v>2769</v>
      </c>
      <c r="G35" s="28" t="s">
        <v>2519</v>
      </c>
      <c r="H35" s="28">
        <v>600000</v>
      </c>
      <c r="I35" s="28"/>
    </row>
    <row r="36" spans="1:10" ht="42.75" customHeight="1">
      <c r="A36" s="26"/>
      <c r="B36" s="26"/>
      <c r="C36" s="26"/>
      <c r="D36" s="26"/>
      <c r="E36" s="308" t="s">
        <v>2770</v>
      </c>
      <c r="F36" s="27" t="s">
        <v>2769</v>
      </c>
      <c r="G36" s="28" t="s">
        <v>2519</v>
      </c>
      <c r="H36" s="28">
        <v>1800000</v>
      </c>
      <c r="I36" s="28"/>
    </row>
    <row r="37" spans="1:10" ht="42.75" customHeight="1">
      <c r="A37" s="26"/>
      <c r="B37" s="26"/>
      <c r="C37" s="26"/>
      <c r="D37" s="26"/>
      <c r="E37" s="308" t="s">
        <v>1066</v>
      </c>
      <c r="F37" s="27"/>
      <c r="G37" s="28" t="s">
        <v>2277</v>
      </c>
      <c r="H37" s="28">
        <v>-600000</v>
      </c>
      <c r="I37" s="28"/>
    </row>
    <row r="38" spans="1:10" ht="42.75" customHeight="1">
      <c r="A38" s="26"/>
      <c r="B38" s="26"/>
      <c r="C38" s="26"/>
      <c r="D38" s="26"/>
      <c r="E38" s="28"/>
      <c r="F38" s="28"/>
      <c r="G38" s="28"/>
      <c r="H38" s="313">
        <f>SUM(H35:H37)</f>
        <v>1800000</v>
      </c>
      <c r="I38" s="28"/>
    </row>
    <row r="42" spans="1:10" ht="26.25">
      <c r="A42" s="680" t="s">
        <v>341</v>
      </c>
      <c r="B42" s="680"/>
      <c r="C42" s="680"/>
      <c r="D42" s="680"/>
      <c r="E42" s="680"/>
      <c r="F42" s="680"/>
      <c r="G42" s="680"/>
      <c r="H42" s="680"/>
      <c r="I42" s="680"/>
    </row>
    <row r="43" spans="1:10" ht="43.5">
      <c r="A43" s="33" t="s">
        <v>818</v>
      </c>
      <c r="B43" s="145" t="s">
        <v>697</v>
      </c>
      <c r="C43" s="145" t="s">
        <v>15</v>
      </c>
      <c r="D43" s="145" t="s">
        <v>12</v>
      </c>
      <c r="E43" s="33" t="s">
        <v>699</v>
      </c>
      <c r="F43" s="33" t="s">
        <v>657</v>
      </c>
      <c r="G43" s="145" t="s">
        <v>700</v>
      </c>
      <c r="H43" s="33" t="s">
        <v>660</v>
      </c>
      <c r="I43" s="33" t="s">
        <v>27</v>
      </c>
    </row>
    <row r="44" spans="1:10" ht="19.899999999999999" customHeight="1">
      <c r="A44" s="26">
        <v>1</v>
      </c>
      <c r="B44" s="26" t="s">
        <v>152</v>
      </c>
      <c r="C44" s="26" t="s">
        <v>342</v>
      </c>
      <c r="D44" s="26" t="s">
        <v>340</v>
      </c>
      <c r="E44" s="28" t="s">
        <v>703</v>
      </c>
      <c r="F44" s="27" t="s">
        <v>2771</v>
      </c>
      <c r="G44" s="28" t="s">
        <v>2277</v>
      </c>
      <c r="H44" s="28">
        <v>600000</v>
      </c>
      <c r="I44" s="28"/>
    </row>
    <row r="45" spans="1:10" ht="19.899999999999999" customHeight="1">
      <c r="A45" s="26"/>
      <c r="B45" s="26"/>
      <c r="C45" s="26"/>
      <c r="D45" s="26"/>
      <c r="E45" s="308" t="s">
        <v>2772</v>
      </c>
      <c r="F45" s="27" t="s">
        <v>2771</v>
      </c>
      <c r="G45" s="28" t="s">
        <v>2277</v>
      </c>
      <c r="H45" s="28">
        <v>1200000</v>
      </c>
      <c r="I45" s="28"/>
    </row>
    <row r="46" spans="1:10" ht="19.899999999999999" customHeight="1">
      <c r="A46" s="26"/>
      <c r="B46" s="26"/>
      <c r="C46" s="26"/>
      <c r="D46" s="26"/>
      <c r="E46" s="308" t="s">
        <v>2773</v>
      </c>
      <c r="F46" s="27" t="s">
        <v>2774</v>
      </c>
      <c r="G46" s="28" t="s">
        <v>2775</v>
      </c>
      <c r="H46" s="28">
        <v>1800000</v>
      </c>
      <c r="I46" s="146" t="s">
        <v>2776</v>
      </c>
      <c r="J46" s="146"/>
    </row>
    <row r="47" spans="1:10" ht="19.899999999999999" customHeight="1">
      <c r="A47" s="26"/>
      <c r="B47" s="26"/>
      <c r="C47" s="26"/>
      <c r="D47" s="26"/>
      <c r="E47" s="308" t="s">
        <v>2777</v>
      </c>
      <c r="F47" s="27" t="s">
        <v>2778</v>
      </c>
      <c r="G47" s="28" t="s">
        <v>2071</v>
      </c>
      <c r="H47" s="28">
        <v>800000</v>
      </c>
      <c r="I47" s="28" t="s">
        <v>2779</v>
      </c>
    </row>
    <row r="48" spans="1:10" ht="19.899999999999999" customHeight="1">
      <c r="A48" s="26"/>
      <c r="B48" s="26"/>
      <c r="C48" s="26"/>
      <c r="D48" s="26"/>
      <c r="E48" s="308" t="s">
        <v>344</v>
      </c>
      <c r="F48" s="27" t="s">
        <v>2780</v>
      </c>
      <c r="G48" s="28" t="s">
        <v>2781</v>
      </c>
      <c r="H48" s="28">
        <v>2000000</v>
      </c>
      <c r="I48" s="28" t="s">
        <v>2776</v>
      </c>
    </row>
    <row r="49" spans="1:9" ht="19.899999999999999" customHeight="1">
      <c r="A49" s="26"/>
      <c r="B49" s="26"/>
      <c r="C49" s="26"/>
      <c r="D49" s="26"/>
      <c r="E49" s="308" t="s">
        <v>344</v>
      </c>
      <c r="F49" s="27" t="s">
        <v>2780</v>
      </c>
      <c r="G49" s="28" t="s">
        <v>971</v>
      </c>
      <c r="H49" s="28">
        <v>3600000</v>
      </c>
      <c r="I49" s="28" t="s">
        <v>2776</v>
      </c>
    </row>
    <row r="50" spans="1:9" ht="19.899999999999999" customHeight="1">
      <c r="A50" s="26"/>
      <c r="B50" s="26"/>
      <c r="C50" s="26"/>
      <c r="D50" s="26"/>
      <c r="E50" s="308"/>
      <c r="F50" s="27"/>
      <c r="G50" s="28"/>
      <c r="H50" s="28"/>
      <c r="I50" s="28"/>
    </row>
    <row r="51" spans="1:9" ht="19.899999999999999" customHeight="1">
      <c r="A51" s="26"/>
      <c r="B51" s="26"/>
      <c r="C51" s="26"/>
      <c r="D51" s="26"/>
      <c r="E51" s="308"/>
      <c r="F51" s="27"/>
      <c r="G51" s="28"/>
      <c r="H51" s="28"/>
      <c r="I51" s="28"/>
    </row>
    <row r="52" spans="1:9" ht="19.899999999999999" customHeight="1">
      <c r="A52" s="26"/>
      <c r="B52" s="26"/>
      <c r="C52" s="26"/>
      <c r="D52" s="26"/>
      <c r="E52" s="308"/>
      <c r="F52" s="27"/>
      <c r="G52" s="28"/>
      <c r="H52" s="28"/>
      <c r="I52" s="28"/>
    </row>
    <row r="53" spans="1:9" ht="19.899999999999999" customHeight="1">
      <c r="A53" s="26"/>
      <c r="B53" s="26"/>
      <c r="C53" s="26"/>
      <c r="D53" s="26"/>
      <c r="E53" s="28"/>
      <c r="F53" s="28"/>
      <c r="G53" s="28"/>
      <c r="H53" s="313">
        <f>SUM(H44:H52)</f>
        <v>10000000</v>
      </c>
      <c r="I53" s="28"/>
    </row>
    <row r="54" spans="1:9" ht="19.899999999999999" customHeight="1"/>
    <row r="55" spans="1:9" ht="19.899999999999999" customHeight="1"/>
    <row r="56" spans="1:9" ht="19.899999999999999" customHeight="1"/>
    <row r="57" spans="1:9" ht="19.899999999999999" customHeight="1"/>
  </sheetData>
  <mergeCells count="4">
    <mergeCell ref="A2:I2"/>
    <mergeCell ref="A16:I16"/>
    <mergeCell ref="A33:I33"/>
    <mergeCell ref="A42:I42"/>
  </mergeCells>
  <hyperlinks>
    <hyperlink ref="A1" location="Name!A1" display="Name!A1" xr:uid="{C138438C-6E8F-4C21-9DDD-2125FE47B5CD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79CA-35B7-4686-9B0C-729DCEEE90A5}">
  <dimension ref="A1:J55"/>
  <sheetViews>
    <sheetView topLeftCell="A13" workbookViewId="0">
      <selection activeCell="A22" sqref="A22"/>
    </sheetView>
  </sheetViews>
  <sheetFormatPr defaultRowHeight="15"/>
  <cols>
    <col min="3" max="3" width="16.28515625" customWidth="1"/>
    <col min="4" max="4" width="13.42578125" customWidth="1"/>
    <col min="5" max="5" width="27.28515625" customWidth="1"/>
    <col min="7" max="7" width="13.140625" customWidth="1"/>
    <col min="8" max="8" width="21.5703125" customWidth="1"/>
    <col min="9" max="9" width="26.140625" customWidth="1"/>
  </cols>
  <sheetData>
    <row r="1" spans="1:10">
      <c r="A1" s="410" t="s">
        <v>648</v>
      </c>
    </row>
    <row r="2" spans="1:10" ht="21.75">
      <c r="A2" s="644" t="s">
        <v>2782</v>
      </c>
      <c r="B2" s="644"/>
      <c r="C2" s="644"/>
      <c r="D2" s="644"/>
      <c r="E2" s="644"/>
      <c r="F2" s="644"/>
      <c r="G2" s="644"/>
      <c r="H2" s="644"/>
    </row>
    <row r="3" spans="1:10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</row>
    <row r="4" spans="1:10" ht="21.75">
      <c r="A4" s="646"/>
      <c r="B4" s="646"/>
      <c r="C4" s="646"/>
      <c r="D4" s="646"/>
      <c r="E4" s="648"/>
      <c r="F4" s="646"/>
      <c r="G4" s="646"/>
      <c r="H4" s="6" t="s">
        <v>2783</v>
      </c>
    </row>
    <row r="5" spans="1:10" ht="21.75">
      <c r="A5" s="7">
        <v>1</v>
      </c>
      <c r="B5" s="7" t="s">
        <v>130</v>
      </c>
      <c r="C5" s="7" t="s">
        <v>335</v>
      </c>
      <c r="D5" s="7" t="s">
        <v>333</v>
      </c>
      <c r="E5" s="9" t="s">
        <v>703</v>
      </c>
      <c r="F5" s="10" t="s">
        <v>2784</v>
      </c>
      <c r="G5" s="9" t="s">
        <v>2785</v>
      </c>
      <c r="H5" s="9">
        <v>500000</v>
      </c>
    </row>
    <row r="6" spans="1:10" ht="21.75">
      <c r="A6" s="7"/>
      <c r="B6" s="7"/>
      <c r="C6" s="7" t="s">
        <v>679</v>
      </c>
      <c r="D6" s="7"/>
      <c r="E6" s="9" t="s">
        <v>2786</v>
      </c>
      <c r="F6" s="10" t="s">
        <v>2784</v>
      </c>
      <c r="G6" s="9" t="s">
        <v>2785</v>
      </c>
      <c r="H6" s="9">
        <v>500000</v>
      </c>
    </row>
    <row r="7" spans="1:10" ht="21.75">
      <c r="A7" s="7"/>
      <c r="B7" s="7"/>
      <c r="C7" s="7"/>
      <c r="D7" s="7"/>
      <c r="E7" s="9" t="s">
        <v>1066</v>
      </c>
      <c r="F7" s="10"/>
      <c r="G7" s="9" t="s">
        <v>2787</v>
      </c>
      <c r="H7" s="9">
        <v>-500000</v>
      </c>
      <c r="J7" t="s">
        <v>2788</v>
      </c>
    </row>
    <row r="8" spans="1:10" ht="21.75">
      <c r="A8" s="7"/>
      <c r="B8" s="7"/>
      <c r="C8" s="7"/>
      <c r="D8" s="7"/>
      <c r="E8" s="9"/>
      <c r="F8" s="10"/>
      <c r="G8" s="9"/>
      <c r="H8" s="9"/>
    </row>
    <row r="9" spans="1:10" ht="21.75">
      <c r="A9" s="7"/>
      <c r="B9" s="7"/>
      <c r="C9" s="7"/>
      <c r="D9" s="7"/>
      <c r="E9" s="9"/>
      <c r="F9" s="10"/>
      <c r="G9" s="9"/>
      <c r="H9" s="9"/>
    </row>
    <row r="10" spans="1:10" ht="21.75">
      <c r="A10" s="7"/>
      <c r="B10" s="7"/>
      <c r="C10" s="7"/>
      <c r="D10" s="7"/>
      <c r="E10" s="9"/>
      <c r="F10" s="10"/>
      <c r="G10" s="9"/>
      <c r="H10" s="9"/>
    </row>
    <row r="11" spans="1:10" ht="21.75">
      <c r="A11" s="7"/>
      <c r="B11" s="7"/>
      <c r="C11" s="7"/>
      <c r="D11" s="7"/>
      <c r="E11" s="9"/>
      <c r="F11" s="10"/>
      <c r="G11" s="9"/>
      <c r="H11" s="9"/>
    </row>
    <row r="12" spans="1:10" ht="21.75">
      <c r="A12" s="7"/>
      <c r="B12" s="7"/>
      <c r="C12" s="7"/>
      <c r="D12" s="7"/>
      <c r="E12" s="9"/>
      <c r="F12" s="10"/>
      <c r="G12" s="9"/>
      <c r="H12" s="9"/>
    </row>
    <row r="13" spans="1:10" ht="21.75">
      <c r="A13" s="7"/>
      <c r="B13" s="7"/>
      <c r="C13" s="7"/>
      <c r="D13" s="7"/>
      <c r="E13" s="9"/>
      <c r="F13" s="10"/>
      <c r="G13" s="9"/>
      <c r="H13" s="9"/>
    </row>
    <row r="14" spans="1:10" ht="21.75">
      <c r="A14" s="7"/>
      <c r="B14" s="7"/>
      <c r="C14" s="7"/>
      <c r="D14" s="7"/>
      <c r="E14" s="9"/>
      <c r="F14" s="10"/>
      <c r="G14" s="9"/>
      <c r="H14" s="9">
        <f>SUM(H5:H9)</f>
        <v>500000</v>
      </c>
    </row>
    <row r="22" spans="1:8">
      <c r="A22" s="410" t="s">
        <v>648</v>
      </c>
    </row>
    <row r="23" spans="1:8" ht="21.75">
      <c r="A23" s="644" t="s">
        <v>2789</v>
      </c>
      <c r="B23" s="644"/>
      <c r="C23" s="644"/>
      <c r="D23" s="644"/>
      <c r="E23" s="644"/>
      <c r="F23" s="644"/>
      <c r="G23" s="644"/>
      <c r="H23" s="644"/>
    </row>
    <row r="24" spans="1:8" ht="21.75">
      <c r="A24" s="645" t="s">
        <v>653</v>
      </c>
      <c r="B24" s="647" t="s">
        <v>654</v>
      </c>
      <c r="C24" s="645" t="s">
        <v>655</v>
      </c>
      <c r="D24" s="645" t="s">
        <v>12</v>
      </c>
      <c r="E24" s="647" t="s">
        <v>656</v>
      </c>
      <c r="F24" s="645" t="s">
        <v>657</v>
      </c>
      <c r="G24" s="647" t="s">
        <v>658</v>
      </c>
      <c r="H24" s="3" t="s">
        <v>659</v>
      </c>
    </row>
    <row r="25" spans="1:8" ht="21.75">
      <c r="A25" s="646"/>
      <c r="B25" s="646"/>
      <c r="C25" s="646"/>
      <c r="D25" s="646"/>
      <c r="E25" s="648"/>
      <c r="F25" s="646"/>
      <c r="G25" s="646"/>
      <c r="H25" s="6" t="s">
        <v>2790</v>
      </c>
    </row>
    <row r="26" spans="1:8" ht="21.75">
      <c r="A26" s="7">
        <v>1</v>
      </c>
      <c r="B26" s="7" t="s">
        <v>130</v>
      </c>
      <c r="C26" s="7" t="s">
        <v>335</v>
      </c>
      <c r="D26" s="7" t="s">
        <v>333</v>
      </c>
      <c r="E26" s="9" t="s">
        <v>703</v>
      </c>
      <c r="F26" s="10" t="s">
        <v>2791</v>
      </c>
      <c r="G26" s="9" t="s">
        <v>1336</v>
      </c>
      <c r="H26" s="9">
        <v>500000</v>
      </c>
    </row>
    <row r="27" spans="1:8" ht="21.75">
      <c r="A27" s="7"/>
      <c r="B27" s="7"/>
      <c r="C27" s="7" t="s">
        <v>679</v>
      </c>
      <c r="D27" s="7"/>
      <c r="E27" s="9" t="s">
        <v>1338</v>
      </c>
      <c r="F27" s="10" t="s">
        <v>2791</v>
      </c>
      <c r="G27" s="9" t="s">
        <v>1336</v>
      </c>
      <c r="H27" s="9">
        <v>500000</v>
      </c>
    </row>
    <row r="28" spans="1:8" ht="21.75">
      <c r="A28" s="7"/>
      <c r="B28" s="7"/>
      <c r="C28" s="7"/>
      <c r="D28" s="7"/>
      <c r="E28" s="9" t="s">
        <v>2792</v>
      </c>
      <c r="F28" s="10" t="s">
        <v>2793</v>
      </c>
      <c r="G28" s="9" t="s">
        <v>838</v>
      </c>
      <c r="H28" s="9">
        <v>500000</v>
      </c>
    </row>
    <row r="29" spans="1:8" ht="21.75">
      <c r="A29" s="7"/>
      <c r="B29" s="7"/>
      <c r="C29" s="7"/>
      <c r="D29" s="7"/>
      <c r="E29" s="9" t="s">
        <v>2794</v>
      </c>
      <c r="F29" s="10" t="s">
        <v>2795</v>
      </c>
      <c r="G29" s="9" t="s">
        <v>1347</v>
      </c>
      <c r="H29" s="9">
        <v>1000000</v>
      </c>
    </row>
    <row r="30" spans="1:8" ht="21.75">
      <c r="A30" s="7"/>
      <c r="B30" s="7"/>
      <c r="C30" s="7"/>
      <c r="D30" s="7"/>
      <c r="E30" s="9" t="s">
        <v>2796</v>
      </c>
      <c r="F30" s="10" t="s">
        <v>2797</v>
      </c>
      <c r="G30" s="9" t="s">
        <v>2798</v>
      </c>
      <c r="H30" s="9">
        <v>1200000</v>
      </c>
    </row>
    <row r="31" spans="1:8" ht="21.75">
      <c r="A31" s="7"/>
      <c r="B31" s="7"/>
      <c r="C31" s="7"/>
      <c r="D31" s="7"/>
      <c r="E31" s="9" t="s">
        <v>2799</v>
      </c>
      <c r="F31" s="10" t="s">
        <v>2800</v>
      </c>
      <c r="G31" s="9" t="s">
        <v>2277</v>
      </c>
      <c r="H31" s="9">
        <v>1200000</v>
      </c>
    </row>
    <row r="32" spans="1:8" ht="21.75">
      <c r="A32" s="7"/>
      <c r="B32" s="7"/>
      <c r="C32" s="7"/>
      <c r="D32" s="7"/>
      <c r="E32" s="9" t="s">
        <v>2801</v>
      </c>
      <c r="F32" s="10" t="s">
        <v>2802</v>
      </c>
      <c r="G32" s="9" t="s">
        <v>2526</v>
      </c>
      <c r="H32" s="9">
        <v>600000</v>
      </c>
    </row>
    <row r="33" spans="1:9" ht="21.75">
      <c r="A33" s="7"/>
      <c r="B33" s="7"/>
      <c r="C33" s="7"/>
      <c r="D33" s="7"/>
      <c r="E33" s="9" t="s">
        <v>2803</v>
      </c>
      <c r="F33" s="10" t="s">
        <v>2804</v>
      </c>
      <c r="G33" s="9" t="s">
        <v>955</v>
      </c>
      <c r="H33" s="9">
        <v>1200000</v>
      </c>
    </row>
    <row r="34" spans="1:9" ht="21.75">
      <c r="A34" s="7"/>
      <c r="B34" s="7"/>
      <c r="C34" s="7"/>
      <c r="D34" s="7"/>
      <c r="E34" s="9" t="s">
        <v>2805</v>
      </c>
      <c r="F34" s="10" t="s">
        <v>2806</v>
      </c>
      <c r="G34" s="9" t="s">
        <v>2532</v>
      </c>
      <c r="H34" s="9">
        <v>3600000</v>
      </c>
    </row>
    <row r="35" spans="1:9" ht="21.75">
      <c r="A35" s="7"/>
      <c r="B35" s="7"/>
      <c r="C35" s="7"/>
      <c r="D35" s="7"/>
      <c r="E35" s="9" t="s">
        <v>2807</v>
      </c>
      <c r="F35" s="10" t="s">
        <v>2808</v>
      </c>
      <c r="G35" s="9" t="s">
        <v>967</v>
      </c>
      <c r="H35" s="9">
        <v>1600000</v>
      </c>
      <c r="I35" s="512" t="s">
        <v>2809</v>
      </c>
    </row>
    <row r="36" spans="1:9" ht="21.75">
      <c r="A36" s="7"/>
      <c r="B36" s="7"/>
      <c r="C36" s="7"/>
      <c r="D36" s="7"/>
      <c r="E36" s="9"/>
      <c r="F36" s="10"/>
      <c r="G36" s="9"/>
      <c r="H36" s="9"/>
      <c r="I36" s="593"/>
    </row>
    <row r="37" spans="1:9" ht="25.9" customHeight="1">
      <c r="A37" s="590"/>
      <c r="B37" s="590"/>
      <c r="C37" s="590"/>
      <c r="D37" s="590"/>
      <c r="E37" s="591"/>
      <c r="F37" s="592"/>
      <c r="G37" s="591"/>
      <c r="H37" s="591">
        <f>SUM(H26:H35)</f>
        <v>11900000</v>
      </c>
    </row>
    <row r="41" spans="1:9" ht="21.75">
      <c r="A41" s="644" t="s">
        <v>334</v>
      </c>
      <c r="B41" s="644"/>
      <c r="C41" s="644"/>
      <c r="D41" s="644"/>
      <c r="E41" s="644"/>
      <c r="F41" s="644"/>
      <c r="G41" s="644"/>
      <c r="H41" s="644"/>
    </row>
    <row r="42" spans="1:9" ht="21.75">
      <c r="A42" s="645" t="s">
        <v>653</v>
      </c>
      <c r="B42" s="647" t="s">
        <v>654</v>
      </c>
      <c r="C42" s="645" t="s">
        <v>655</v>
      </c>
      <c r="D42" s="645" t="s">
        <v>12</v>
      </c>
      <c r="E42" s="647" t="s">
        <v>656</v>
      </c>
      <c r="F42" s="645" t="s">
        <v>657</v>
      </c>
      <c r="G42" s="647" t="s">
        <v>658</v>
      </c>
      <c r="H42" s="3" t="s">
        <v>659</v>
      </c>
    </row>
    <row r="43" spans="1:9" ht="21.75">
      <c r="A43" s="646"/>
      <c r="B43" s="646"/>
      <c r="C43" s="646"/>
      <c r="D43" s="646"/>
      <c r="E43" s="648"/>
      <c r="F43" s="646"/>
      <c r="G43" s="646"/>
      <c r="H43" s="6" t="s">
        <v>2790</v>
      </c>
    </row>
    <row r="44" spans="1:9" ht="21.75">
      <c r="A44" s="7">
        <v>1</v>
      </c>
      <c r="B44" s="7" t="s">
        <v>130</v>
      </c>
      <c r="C44" s="7" t="s">
        <v>335</v>
      </c>
      <c r="D44" s="7" t="s">
        <v>333</v>
      </c>
      <c r="E44" s="9" t="s">
        <v>703</v>
      </c>
      <c r="F44" s="10" t="s">
        <v>2810</v>
      </c>
      <c r="G44" s="9" t="s">
        <v>2811</v>
      </c>
      <c r="H44" s="9">
        <v>800000</v>
      </c>
    </row>
    <row r="45" spans="1:9" ht="21.75">
      <c r="A45" s="7"/>
      <c r="B45" s="7"/>
      <c r="C45" s="7" t="s">
        <v>679</v>
      </c>
      <c r="D45" s="7"/>
      <c r="E45" s="9" t="s">
        <v>337</v>
      </c>
      <c r="F45" s="10" t="s">
        <v>2810</v>
      </c>
      <c r="G45" s="9" t="s">
        <v>2811</v>
      </c>
      <c r="H45" s="9">
        <v>2400000</v>
      </c>
    </row>
    <row r="46" spans="1:9" ht="21.75">
      <c r="A46" s="7"/>
      <c r="B46" s="7"/>
      <c r="C46" s="7"/>
      <c r="D46" s="7"/>
      <c r="E46" s="9"/>
      <c r="F46" s="10"/>
      <c r="G46" s="9"/>
      <c r="H46" s="9"/>
    </row>
    <row r="47" spans="1:9" ht="21.75">
      <c r="A47" s="7"/>
      <c r="B47" s="7"/>
      <c r="C47" s="7"/>
      <c r="D47" s="7"/>
      <c r="E47" s="9"/>
      <c r="F47" s="10"/>
      <c r="G47" s="9"/>
      <c r="H47" s="9"/>
    </row>
    <row r="48" spans="1:9" ht="21.75">
      <c r="A48" s="7"/>
      <c r="B48" s="7"/>
      <c r="C48" s="7"/>
      <c r="D48" s="7"/>
      <c r="E48" s="9"/>
      <c r="F48" s="10"/>
      <c r="G48" s="9"/>
      <c r="H48" s="9"/>
    </row>
    <row r="49" spans="1:9" ht="21.75">
      <c r="A49" s="7"/>
      <c r="B49" s="7"/>
      <c r="C49" s="7"/>
      <c r="D49" s="7"/>
      <c r="E49" s="9"/>
      <c r="F49" s="10"/>
      <c r="G49" s="9"/>
      <c r="H49" s="9"/>
    </row>
    <row r="50" spans="1:9" ht="21.75">
      <c r="A50" s="7"/>
      <c r="B50" s="7"/>
      <c r="C50" s="7"/>
      <c r="D50" s="7"/>
      <c r="E50" s="9"/>
      <c r="F50" s="10"/>
      <c r="G50" s="9"/>
      <c r="H50" s="9"/>
    </row>
    <row r="51" spans="1:9" ht="21.75">
      <c r="A51" s="7"/>
      <c r="B51" s="7"/>
      <c r="C51" s="7"/>
      <c r="D51" s="7"/>
      <c r="E51" s="9"/>
      <c r="F51" s="10"/>
      <c r="G51" s="9"/>
      <c r="H51" s="9"/>
    </row>
    <row r="52" spans="1:9" ht="21.75">
      <c r="A52" s="7"/>
      <c r="B52" s="7"/>
      <c r="C52" s="7"/>
      <c r="D52" s="7"/>
      <c r="E52" s="9"/>
      <c r="F52" s="10"/>
      <c r="G52" s="9"/>
      <c r="H52" s="9"/>
    </row>
    <row r="53" spans="1:9" ht="21.75">
      <c r="A53" s="7"/>
      <c r="B53" s="7"/>
      <c r="C53" s="7"/>
      <c r="D53" s="7"/>
      <c r="E53" s="9"/>
      <c r="F53" s="10"/>
      <c r="G53" s="9"/>
      <c r="H53" s="9"/>
      <c r="I53" s="512"/>
    </row>
    <row r="54" spans="1:9" ht="21.75">
      <c r="A54" s="7"/>
      <c r="B54" s="7"/>
      <c r="C54" s="7"/>
      <c r="D54" s="7"/>
      <c r="E54" s="9"/>
      <c r="F54" s="10"/>
      <c r="G54" s="9"/>
      <c r="H54" s="9"/>
      <c r="I54" s="593"/>
    </row>
    <row r="55" spans="1:9" ht="21.75">
      <c r="A55" s="590"/>
      <c r="B55" s="590"/>
      <c r="C55" s="590"/>
      <c r="D55" s="590"/>
      <c r="E55" s="591"/>
      <c r="F55" s="592"/>
      <c r="G55" s="591"/>
      <c r="H55" s="591">
        <f>SUM(H44:H53)</f>
        <v>3200000</v>
      </c>
    </row>
  </sheetData>
  <mergeCells count="24">
    <mergeCell ref="A2:H2"/>
    <mergeCell ref="A3:A4"/>
    <mergeCell ref="B3:B4"/>
    <mergeCell ref="C3:C4"/>
    <mergeCell ref="D3:D4"/>
    <mergeCell ref="E3:E4"/>
    <mergeCell ref="F3:F4"/>
    <mergeCell ref="G3:G4"/>
    <mergeCell ref="A23:H23"/>
    <mergeCell ref="A24:A25"/>
    <mergeCell ref="B24:B25"/>
    <mergeCell ref="C24:C25"/>
    <mergeCell ref="D24:D25"/>
    <mergeCell ref="E24:E25"/>
    <mergeCell ref="F24:F25"/>
    <mergeCell ref="G24:G25"/>
    <mergeCell ref="A41:H41"/>
    <mergeCell ref="A42:A43"/>
    <mergeCell ref="B42:B43"/>
    <mergeCell ref="C42:C43"/>
    <mergeCell ref="D42:D43"/>
    <mergeCell ref="E42:E43"/>
    <mergeCell ref="F42:F43"/>
    <mergeCell ref="G42:G43"/>
  </mergeCells>
  <hyperlinks>
    <hyperlink ref="A1" location="Name!A1" display="Name!A1" xr:uid="{115B2501-D74C-4BED-8E33-DD8999148930}"/>
    <hyperlink ref="A22" location="Name!A1" display="Name!A1" xr:uid="{4CEB0467-B739-4BA1-A2BC-099A2905FA92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C872-6230-4B46-9AEE-2B7B16DC7FD8}">
  <dimension ref="A1:J34"/>
  <sheetViews>
    <sheetView topLeftCell="A16" workbookViewId="0">
      <selection activeCell="A25" sqref="A25"/>
    </sheetView>
  </sheetViews>
  <sheetFormatPr defaultRowHeight="15"/>
  <cols>
    <col min="3" max="3" width="16.85546875" customWidth="1"/>
    <col min="4" max="4" width="15.5703125" customWidth="1"/>
    <col min="5" max="5" width="24.42578125" customWidth="1"/>
    <col min="7" max="7" width="16.7109375" customWidth="1"/>
    <col min="8" max="8" width="13.5703125" customWidth="1"/>
  </cols>
  <sheetData>
    <row r="1" spans="1:10">
      <c r="A1" s="410" t="s">
        <v>648</v>
      </c>
    </row>
    <row r="2" spans="1:10" ht="18.75">
      <c r="A2" s="651" t="s">
        <v>2812</v>
      </c>
      <c r="B2" s="651"/>
      <c r="C2" s="651"/>
      <c r="D2" s="651"/>
      <c r="E2" s="651"/>
      <c r="F2" s="651"/>
      <c r="G2" s="651"/>
      <c r="H2" s="651"/>
      <c r="I2" s="651"/>
    </row>
    <row r="3" spans="1:10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0" ht="21.75">
      <c r="A4" s="35">
        <v>1</v>
      </c>
      <c r="B4" s="35" t="s">
        <v>152</v>
      </c>
      <c r="C4" s="186" t="s">
        <v>327</v>
      </c>
      <c r="D4" s="35" t="s">
        <v>2813</v>
      </c>
      <c r="E4" s="35" t="s">
        <v>2814</v>
      </c>
      <c r="F4" s="36"/>
      <c r="G4" s="35" t="s">
        <v>2815</v>
      </c>
      <c r="H4" s="28">
        <v>500000</v>
      </c>
      <c r="I4" s="37"/>
      <c r="J4" t="s">
        <v>2816</v>
      </c>
    </row>
    <row r="5" spans="1:10" ht="21.75">
      <c r="A5" s="35"/>
      <c r="B5" s="35"/>
      <c r="C5" s="35"/>
      <c r="D5" s="35"/>
      <c r="E5" s="35"/>
      <c r="F5" s="36"/>
      <c r="G5" s="35"/>
      <c r="H5" s="28"/>
      <c r="I5" s="37"/>
    </row>
    <row r="6" spans="1:10" ht="21.75">
      <c r="A6" s="35"/>
      <c r="B6" s="35"/>
      <c r="C6" s="35"/>
      <c r="D6" s="35"/>
      <c r="E6" s="35"/>
      <c r="F6" s="36"/>
      <c r="G6" s="35"/>
      <c r="H6" s="28"/>
      <c r="I6" s="37"/>
    </row>
    <row r="7" spans="1:10" ht="21.75">
      <c r="A7" s="35"/>
      <c r="B7" s="35"/>
      <c r="C7" s="35"/>
      <c r="D7" s="35"/>
      <c r="E7" s="35"/>
      <c r="F7" s="36"/>
      <c r="G7" s="35"/>
      <c r="H7" s="28"/>
      <c r="I7" s="37"/>
    </row>
    <row r="8" spans="1:10" ht="21.75">
      <c r="A8" s="35"/>
      <c r="B8" s="35"/>
      <c r="C8" s="35"/>
      <c r="D8" s="35"/>
      <c r="E8" s="35"/>
      <c r="F8" s="36"/>
      <c r="G8" s="35"/>
      <c r="H8" s="28"/>
      <c r="I8" s="37"/>
    </row>
    <row r="9" spans="1:10" ht="21.75">
      <c r="A9" s="35"/>
      <c r="B9" s="35"/>
      <c r="C9" s="35"/>
      <c r="D9" s="35"/>
      <c r="E9" s="35"/>
      <c r="F9" s="36"/>
      <c r="G9" s="35"/>
      <c r="H9" s="28"/>
      <c r="I9" s="37"/>
    </row>
    <row r="10" spans="1:10" ht="21.75">
      <c r="A10" s="35"/>
      <c r="B10" s="35"/>
      <c r="C10" s="35"/>
      <c r="D10" s="247"/>
      <c r="E10" s="35"/>
      <c r="F10" s="36"/>
      <c r="G10" s="35"/>
      <c r="H10" s="28"/>
      <c r="I10" s="37"/>
    </row>
    <row r="13" spans="1:10" ht="18.75">
      <c r="A13" s="651" t="s">
        <v>2817</v>
      </c>
      <c r="B13" s="651"/>
      <c r="C13" s="651"/>
      <c r="D13" s="651"/>
      <c r="E13" s="651"/>
      <c r="F13" s="651"/>
      <c r="G13" s="651"/>
      <c r="H13" s="651"/>
      <c r="I13" s="651"/>
    </row>
    <row r="14" spans="1:10" ht="28.5">
      <c r="A14" s="16" t="s">
        <v>11</v>
      </c>
      <c r="B14" s="17" t="s">
        <v>697</v>
      </c>
      <c r="C14" s="17" t="s">
        <v>698</v>
      </c>
      <c r="D14" s="17" t="s">
        <v>12</v>
      </c>
      <c r="E14" s="16" t="s">
        <v>699</v>
      </c>
      <c r="F14" s="16" t="s">
        <v>657</v>
      </c>
      <c r="G14" s="17" t="s">
        <v>700</v>
      </c>
      <c r="H14" s="16" t="s">
        <v>660</v>
      </c>
      <c r="I14" s="16" t="s">
        <v>27</v>
      </c>
    </row>
    <row r="15" spans="1:10" ht="21.75">
      <c r="A15" s="35">
        <v>1</v>
      </c>
      <c r="B15" s="35" t="s">
        <v>152</v>
      </c>
      <c r="C15" s="186" t="s">
        <v>327</v>
      </c>
      <c r="D15" s="35" t="s">
        <v>2813</v>
      </c>
      <c r="E15" s="35" t="s">
        <v>2818</v>
      </c>
      <c r="F15" s="36" t="s">
        <v>2819</v>
      </c>
      <c r="G15" s="35" t="s">
        <v>2820</v>
      </c>
      <c r="H15" s="28">
        <v>1000000</v>
      </c>
      <c r="I15" s="37"/>
    </row>
    <row r="16" spans="1:10" ht="21.75">
      <c r="A16" s="35"/>
      <c r="B16" s="35"/>
      <c r="C16" s="35"/>
      <c r="D16" s="35"/>
      <c r="E16" s="35" t="s">
        <v>2821</v>
      </c>
      <c r="F16" s="36" t="s">
        <v>2822</v>
      </c>
      <c r="G16" s="35" t="s">
        <v>2823</v>
      </c>
      <c r="H16" s="28">
        <v>1000000</v>
      </c>
      <c r="I16" s="37"/>
    </row>
    <row r="17" spans="1:10" ht="21.75">
      <c r="A17" s="35"/>
      <c r="B17" s="35"/>
      <c r="C17" s="35"/>
      <c r="D17" s="35"/>
      <c r="E17" s="35" t="s">
        <v>2824</v>
      </c>
      <c r="F17" s="36" t="s">
        <v>2825</v>
      </c>
      <c r="G17" s="35" t="s">
        <v>2826</v>
      </c>
      <c r="H17" s="28">
        <v>1000000</v>
      </c>
      <c r="I17" s="37"/>
      <c r="J17" t="s">
        <v>2827</v>
      </c>
    </row>
    <row r="18" spans="1:10" ht="21.75">
      <c r="A18" s="35"/>
      <c r="B18" s="35"/>
      <c r="C18" s="35"/>
      <c r="D18" s="35"/>
      <c r="E18" s="35"/>
      <c r="F18" s="36"/>
      <c r="G18" s="35"/>
      <c r="H18" s="28"/>
      <c r="I18" s="37"/>
    </row>
    <row r="19" spans="1:10" ht="21.75">
      <c r="A19" s="35"/>
      <c r="B19" s="35"/>
      <c r="C19" s="35"/>
      <c r="D19" s="35"/>
      <c r="E19" s="35"/>
      <c r="F19" s="36"/>
      <c r="G19" s="35"/>
      <c r="H19" s="28"/>
      <c r="I19" s="37"/>
    </row>
    <row r="20" spans="1:10" ht="21.75">
      <c r="A20" s="35"/>
      <c r="B20" s="35"/>
      <c r="C20" s="35"/>
      <c r="D20" s="35"/>
      <c r="E20" s="35"/>
      <c r="F20" s="36"/>
      <c r="G20" s="35"/>
      <c r="H20" s="28"/>
      <c r="I20" s="37"/>
    </row>
    <row r="21" spans="1:10" ht="21.75">
      <c r="A21" s="35"/>
      <c r="B21" s="35"/>
      <c r="C21" s="35"/>
      <c r="D21" s="247"/>
      <c r="E21" s="35"/>
      <c r="F21" s="36"/>
      <c r="G21" s="35"/>
      <c r="H21" s="28"/>
      <c r="I21" s="37"/>
    </row>
    <row r="25" spans="1:10">
      <c r="A25" s="410" t="s">
        <v>648</v>
      </c>
    </row>
    <row r="26" spans="1:10" ht="18.75">
      <c r="A26" s="651" t="s">
        <v>2828</v>
      </c>
      <c r="B26" s="651"/>
      <c r="C26" s="651"/>
      <c r="D26" s="651"/>
      <c r="E26" s="651"/>
      <c r="F26" s="651"/>
      <c r="G26" s="651"/>
      <c r="H26" s="651"/>
      <c r="I26" s="651"/>
    </row>
    <row r="27" spans="1:10" ht="28.5">
      <c r="A27" s="16" t="s">
        <v>11</v>
      </c>
      <c r="B27" s="17" t="s">
        <v>697</v>
      </c>
      <c r="C27" s="17" t="s">
        <v>698</v>
      </c>
      <c r="D27" s="17" t="s">
        <v>12</v>
      </c>
      <c r="E27" s="16" t="s">
        <v>699</v>
      </c>
      <c r="F27" s="16" t="s">
        <v>657</v>
      </c>
      <c r="G27" s="17" t="s">
        <v>700</v>
      </c>
      <c r="H27" s="16" t="s">
        <v>660</v>
      </c>
      <c r="I27" s="16" t="s">
        <v>27</v>
      </c>
    </row>
    <row r="28" spans="1:10" ht="21.75">
      <c r="A28" s="35">
        <v>1</v>
      </c>
      <c r="B28" s="35" t="s">
        <v>152</v>
      </c>
      <c r="C28" s="186" t="s">
        <v>327</v>
      </c>
      <c r="D28" s="35" t="s">
        <v>2813</v>
      </c>
      <c r="E28" s="35" t="s">
        <v>703</v>
      </c>
      <c r="F28" s="36" t="s">
        <v>2829</v>
      </c>
      <c r="G28" s="35" t="s">
        <v>2830</v>
      </c>
      <c r="H28" s="28">
        <v>200000</v>
      </c>
      <c r="I28" s="37"/>
    </row>
    <row r="29" spans="1:10" ht="21.75">
      <c r="A29" s="35"/>
      <c r="B29" s="35"/>
      <c r="C29" s="35"/>
      <c r="D29" s="35"/>
      <c r="E29" s="35" t="s">
        <v>703</v>
      </c>
      <c r="F29" s="36" t="s">
        <v>2831</v>
      </c>
      <c r="G29" s="35" t="s">
        <v>2832</v>
      </c>
      <c r="H29" s="28">
        <v>400000</v>
      </c>
      <c r="I29" s="37"/>
    </row>
    <row r="30" spans="1:10" ht="21.75">
      <c r="A30" s="35"/>
      <c r="B30" s="35"/>
      <c r="C30" s="35"/>
      <c r="D30" s="35"/>
      <c r="E30" s="35" t="s">
        <v>329</v>
      </c>
      <c r="F30" s="36" t="s">
        <v>2831</v>
      </c>
      <c r="G30" s="35" t="s">
        <v>2832</v>
      </c>
      <c r="H30" s="28">
        <v>600000</v>
      </c>
      <c r="I30" s="37"/>
    </row>
    <row r="31" spans="1:10" ht="21.75">
      <c r="A31" s="35"/>
      <c r="B31" s="35"/>
      <c r="C31" s="35"/>
      <c r="D31" s="35"/>
      <c r="E31" s="35"/>
      <c r="F31" s="36"/>
      <c r="G31" s="35"/>
      <c r="H31" s="28"/>
      <c r="I31" s="37"/>
    </row>
    <row r="32" spans="1:10" ht="21.75">
      <c r="A32" s="35"/>
      <c r="B32" s="35"/>
      <c r="C32" s="35"/>
      <c r="D32" s="35"/>
      <c r="E32" s="35"/>
      <c r="F32" s="36"/>
      <c r="G32" s="35"/>
      <c r="H32" s="28"/>
      <c r="I32" s="37"/>
    </row>
    <row r="33" spans="1:9" ht="21.75">
      <c r="A33" s="35"/>
      <c r="B33" s="35"/>
      <c r="C33" s="35"/>
      <c r="D33" s="35"/>
      <c r="E33" s="35"/>
      <c r="F33" s="36"/>
      <c r="G33" s="35"/>
      <c r="H33" s="28"/>
      <c r="I33" s="37"/>
    </row>
    <row r="34" spans="1:9" ht="21.75">
      <c r="A34" s="35"/>
      <c r="B34" s="35"/>
      <c r="C34" s="35"/>
      <c r="D34" s="247"/>
      <c r="E34" s="35"/>
      <c r="F34" s="36"/>
      <c r="G34" s="35"/>
      <c r="H34" s="28">
        <f>SUM(H28:H33)</f>
        <v>1200000</v>
      </c>
      <c r="I34" s="37"/>
    </row>
  </sheetData>
  <mergeCells count="3">
    <mergeCell ref="A2:I2"/>
    <mergeCell ref="A13:I13"/>
    <mergeCell ref="A26:I26"/>
  </mergeCells>
  <hyperlinks>
    <hyperlink ref="A1" location="Name!A1" display="Name!A1" xr:uid="{97B49C4A-C9C6-495C-AF9A-6517B253AF87}"/>
    <hyperlink ref="A25" location="Name!A1" display="Name!A1" xr:uid="{891851D1-665E-4BFF-B515-5F52C717E213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8345-6987-4FD3-91A6-3514FF87B27F}">
  <dimension ref="A1:K98"/>
  <sheetViews>
    <sheetView workbookViewId="0"/>
  </sheetViews>
  <sheetFormatPr defaultRowHeight="15"/>
  <cols>
    <col min="3" max="3" width="20.140625" customWidth="1"/>
    <col min="4" max="4" width="21.5703125" customWidth="1"/>
    <col min="5" max="5" width="31.140625" style="607" customWidth="1"/>
    <col min="7" max="7" width="18.5703125" customWidth="1"/>
    <col min="8" max="8" width="12" customWidth="1"/>
    <col min="9" max="9" width="16.42578125" customWidth="1"/>
  </cols>
  <sheetData>
    <row r="1" spans="1:10">
      <c r="A1" s="410" t="s">
        <v>648</v>
      </c>
    </row>
    <row r="2" spans="1:10" ht="21.75">
      <c r="A2" s="651" t="s">
        <v>2833</v>
      </c>
      <c r="B2" s="651"/>
      <c r="C2" s="651"/>
      <c r="D2" s="651"/>
      <c r="E2" s="651"/>
      <c r="F2" s="651"/>
      <c r="G2" s="651"/>
      <c r="H2" s="651"/>
      <c r="I2" s="651"/>
      <c r="J2" s="25"/>
    </row>
    <row r="3" spans="1:10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  <c r="J3" s="25"/>
    </row>
    <row r="4" spans="1:10" ht="21.75">
      <c r="A4" s="18">
        <v>1</v>
      </c>
      <c r="B4" s="18" t="s">
        <v>152</v>
      </c>
      <c r="C4" s="18" t="s">
        <v>323</v>
      </c>
      <c r="D4" s="18" t="s">
        <v>322</v>
      </c>
      <c r="E4" s="318" t="s">
        <v>2834</v>
      </c>
      <c r="F4" s="20" t="s">
        <v>2835</v>
      </c>
      <c r="G4" s="18" t="s">
        <v>2836</v>
      </c>
      <c r="H4" s="21">
        <v>1650000</v>
      </c>
      <c r="I4" s="21"/>
      <c r="J4" s="25"/>
    </row>
    <row r="5" spans="1:10" ht="21.75">
      <c r="A5" s="18"/>
      <c r="B5" s="18"/>
      <c r="C5" s="18"/>
      <c r="D5" s="18"/>
      <c r="E5" s="610"/>
      <c r="F5" s="20" t="s">
        <v>2837</v>
      </c>
      <c r="G5" s="18" t="s">
        <v>2838</v>
      </c>
      <c r="H5" s="21">
        <v>150000</v>
      </c>
      <c r="I5" s="722" t="s">
        <v>2839</v>
      </c>
      <c r="J5" s="25"/>
    </row>
    <row r="6" spans="1:10" ht="21.75">
      <c r="A6" s="18"/>
      <c r="B6" s="18"/>
      <c r="C6" s="18"/>
      <c r="D6" s="18"/>
      <c r="E6" s="610" t="s">
        <v>2840</v>
      </c>
      <c r="F6" s="20" t="s">
        <v>2841</v>
      </c>
      <c r="G6" s="18" t="s">
        <v>2838</v>
      </c>
      <c r="H6" s="21">
        <v>450000</v>
      </c>
      <c r="I6" s="723"/>
      <c r="J6" s="25"/>
    </row>
    <row r="7" spans="1:10" ht="21.75">
      <c r="A7" s="18"/>
      <c r="B7" s="18"/>
      <c r="C7" s="18"/>
      <c r="D7" s="18"/>
      <c r="E7" s="610"/>
      <c r="F7" s="20"/>
      <c r="G7" s="18"/>
      <c r="H7" s="21"/>
      <c r="I7" s="21"/>
      <c r="J7" s="25"/>
    </row>
    <row r="8" spans="1:10" ht="21.75">
      <c r="A8" s="18"/>
      <c r="B8" s="18"/>
      <c r="C8" s="18"/>
      <c r="D8" s="18"/>
      <c r="E8" s="18"/>
      <c r="F8" s="21"/>
      <c r="G8" s="18"/>
      <c r="H8" s="21">
        <f>SUM(H4:H7)</f>
        <v>2250000</v>
      </c>
      <c r="I8" s="21"/>
      <c r="J8" s="25" t="s">
        <v>2842</v>
      </c>
    </row>
    <row r="12" spans="1:10" ht="18.75">
      <c r="A12" s="651" t="s">
        <v>2843</v>
      </c>
      <c r="B12" s="651"/>
      <c r="C12" s="651"/>
      <c r="D12" s="651"/>
      <c r="E12" s="651"/>
      <c r="F12" s="651"/>
      <c r="G12" s="651"/>
      <c r="H12" s="651"/>
      <c r="I12" s="651"/>
    </row>
    <row r="13" spans="1:10" ht="28.5">
      <c r="A13" s="16" t="s">
        <v>11</v>
      </c>
      <c r="B13" s="17" t="s">
        <v>697</v>
      </c>
      <c r="C13" s="17" t="s">
        <v>698</v>
      </c>
      <c r="D13" s="17" t="s">
        <v>12</v>
      </c>
      <c r="E13" s="16" t="s">
        <v>699</v>
      </c>
      <c r="F13" s="16" t="s">
        <v>657</v>
      </c>
      <c r="G13" s="17" t="s">
        <v>700</v>
      </c>
      <c r="H13" s="16" t="s">
        <v>660</v>
      </c>
      <c r="I13" s="16" t="s">
        <v>27</v>
      </c>
    </row>
    <row r="14" spans="1:10" ht="18" customHeight="1">
      <c r="A14" s="18">
        <v>1</v>
      </c>
      <c r="B14" s="18" t="s">
        <v>152</v>
      </c>
      <c r="C14" s="18" t="s">
        <v>323</v>
      </c>
      <c r="D14" s="18" t="s">
        <v>322</v>
      </c>
      <c r="E14" s="318" t="s">
        <v>703</v>
      </c>
      <c r="F14" s="20" t="s">
        <v>2844</v>
      </c>
      <c r="G14" s="18" t="s">
        <v>2845</v>
      </c>
      <c r="H14" s="21">
        <v>500000</v>
      </c>
      <c r="I14" s="21"/>
    </row>
    <row r="15" spans="1:10" ht="18" customHeight="1">
      <c r="A15" s="18"/>
      <c r="B15" s="18"/>
      <c r="C15" s="18"/>
      <c r="D15" s="18"/>
      <c r="E15" s="610" t="s">
        <v>2846</v>
      </c>
      <c r="F15" s="20" t="s">
        <v>2844</v>
      </c>
      <c r="G15" s="18" t="s">
        <v>2845</v>
      </c>
      <c r="H15" s="21">
        <v>1000000</v>
      </c>
      <c r="I15" s="316"/>
    </row>
    <row r="16" spans="1:10" ht="18" customHeight="1">
      <c r="A16" s="18"/>
      <c r="B16" s="18"/>
      <c r="C16" s="18"/>
      <c r="D16" s="18"/>
      <c r="E16" s="610" t="s">
        <v>1405</v>
      </c>
      <c r="F16" s="20" t="s">
        <v>2847</v>
      </c>
      <c r="G16" s="18" t="s">
        <v>2119</v>
      </c>
      <c r="H16" s="21">
        <v>500000</v>
      </c>
      <c r="I16" s="316"/>
    </row>
    <row r="17" spans="1:10" ht="18" customHeight="1">
      <c r="A17" s="18"/>
      <c r="B17" s="18"/>
      <c r="C17" s="18"/>
      <c r="D17" s="18"/>
      <c r="E17" s="610" t="s">
        <v>1984</v>
      </c>
      <c r="F17" s="20" t="s">
        <v>2848</v>
      </c>
      <c r="G17" s="18" t="s">
        <v>2849</v>
      </c>
      <c r="H17" s="21">
        <v>500000</v>
      </c>
      <c r="I17" s="21"/>
    </row>
    <row r="18" spans="1:10" ht="18" customHeight="1">
      <c r="A18" s="18"/>
      <c r="B18" s="18"/>
      <c r="C18" s="18"/>
      <c r="D18" s="18"/>
      <c r="E18" s="610" t="s">
        <v>1987</v>
      </c>
      <c r="F18" s="20" t="s">
        <v>2850</v>
      </c>
      <c r="G18" s="18" t="s">
        <v>2851</v>
      </c>
      <c r="H18" s="21">
        <v>500000</v>
      </c>
      <c r="I18" s="21"/>
    </row>
    <row r="19" spans="1:10" ht="18" customHeight="1">
      <c r="A19" s="18"/>
      <c r="B19" s="18"/>
      <c r="C19" s="18"/>
      <c r="D19" s="18"/>
      <c r="E19" s="610" t="s">
        <v>1990</v>
      </c>
      <c r="F19" s="20" t="s">
        <v>2852</v>
      </c>
      <c r="G19" s="18" t="s">
        <v>2853</v>
      </c>
      <c r="H19" s="21">
        <v>500000</v>
      </c>
      <c r="I19" s="21"/>
    </row>
    <row r="20" spans="1:10" ht="18" customHeight="1">
      <c r="A20" s="18"/>
      <c r="B20" s="18"/>
      <c r="C20" s="18"/>
      <c r="D20" s="18"/>
      <c r="E20" s="610" t="s">
        <v>2854</v>
      </c>
      <c r="F20" s="20" t="s">
        <v>2855</v>
      </c>
      <c r="G20" s="18" t="s">
        <v>2856</v>
      </c>
      <c r="H20" s="21">
        <v>500000</v>
      </c>
      <c r="I20" s="21"/>
    </row>
    <row r="21" spans="1:10" ht="18" customHeight="1">
      <c r="A21" s="18"/>
      <c r="B21" s="18"/>
      <c r="C21" s="18"/>
      <c r="D21" s="18"/>
      <c r="E21" s="610" t="s">
        <v>1995</v>
      </c>
      <c r="F21" s="20" t="s">
        <v>2857</v>
      </c>
      <c r="G21" s="18" t="s">
        <v>2858</v>
      </c>
      <c r="H21" s="21">
        <v>500000</v>
      </c>
      <c r="I21" s="21"/>
    </row>
    <row r="22" spans="1:10" ht="18" customHeight="1">
      <c r="A22" s="18"/>
      <c r="B22" s="18"/>
      <c r="C22" s="18"/>
      <c r="D22" s="18"/>
      <c r="E22" s="610" t="s">
        <v>2859</v>
      </c>
      <c r="F22" s="20" t="s">
        <v>2860</v>
      </c>
      <c r="G22" s="18" t="s">
        <v>2861</v>
      </c>
      <c r="H22" s="21">
        <v>1000000</v>
      </c>
      <c r="I22" s="21"/>
      <c r="J22" t="s">
        <v>2862</v>
      </c>
    </row>
    <row r="23" spans="1:10" ht="18" customHeight="1">
      <c r="A23" s="18"/>
      <c r="B23" s="18"/>
      <c r="C23" s="18"/>
      <c r="D23" s="18"/>
      <c r="E23" s="610" t="s">
        <v>2863</v>
      </c>
      <c r="F23" s="20" t="s">
        <v>2864</v>
      </c>
      <c r="G23" s="18" t="s">
        <v>2144</v>
      </c>
      <c r="H23" s="21">
        <v>500000</v>
      </c>
      <c r="I23" s="21"/>
      <c r="J23" t="s">
        <v>2865</v>
      </c>
    </row>
    <row r="24" spans="1:10" ht="18" customHeight="1">
      <c r="A24" s="18"/>
      <c r="B24" s="18"/>
      <c r="C24" s="18"/>
      <c r="D24" s="18"/>
      <c r="E24" s="610" t="s">
        <v>2866</v>
      </c>
      <c r="F24" s="20" t="s">
        <v>2867</v>
      </c>
      <c r="G24" s="18" t="s">
        <v>1001</v>
      </c>
      <c r="H24" s="21"/>
      <c r="I24" s="21"/>
      <c r="J24" t="s">
        <v>2868</v>
      </c>
    </row>
    <row r="25" spans="1:10" ht="18" customHeight="1">
      <c r="A25" s="18"/>
      <c r="B25" s="18"/>
      <c r="C25" s="18"/>
      <c r="D25" s="18"/>
      <c r="E25" s="610"/>
      <c r="F25" s="20"/>
      <c r="G25" s="18"/>
      <c r="H25" s="21"/>
      <c r="I25" s="21"/>
    </row>
    <row r="26" spans="1:10" ht="18" customHeight="1">
      <c r="A26" s="18"/>
      <c r="B26" s="18"/>
      <c r="C26" s="18"/>
      <c r="D26" s="18"/>
      <c r="E26" s="610"/>
      <c r="F26" s="20"/>
      <c r="G26" s="18"/>
      <c r="H26" s="21"/>
      <c r="I26" s="21"/>
    </row>
    <row r="27" spans="1:10" ht="18" customHeight="1">
      <c r="A27" s="18"/>
      <c r="B27" s="18"/>
      <c r="C27" s="18"/>
      <c r="D27" s="18"/>
      <c r="E27" s="610"/>
      <c r="F27" s="20"/>
      <c r="G27" s="18"/>
      <c r="H27" s="21"/>
      <c r="I27" s="21"/>
    </row>
    <row r="28" spans="1:10" ht="18" customHeight="1">
      <c r="A28" s="18"/>
      <c r="B28" s="18"/>
      <c r="C28" s="18"/>
      <c r="D28" s="18"/>
      <c r="E28" s="610"/>
      <c r="F28" s="20"/>
      <c r="G28" s="18"/>
      <c r="H28" s="21"/>
      <c r="I28" s="21"/>
    </row>
    <row r="29" spans="1:10" ht="18" customHeight="1">
      <c r="A29" s="18"/>
      <c r="B29" s="18"/>
      <c r="C29" s="18"/>
      <c r="D29" s="18"/>
      <c r="E29" s="610"/>
      <c r="F29" s="20"/>
      <c r="G29" s="18"/>
      <c r="H29" s="21"/>
      <c r="I29" s="21"/>
    </row>
    <row r="30" spans="1:10" ht="18" customHeight="1">
      <c r="A30" s="18"/>
      <c r="B30" s="18"/>
      <c r="C30" s="18"/>
      <c r="D30" s="18"/>
      <c r="E30" s="610"/>
      <c r="F30" s="20"/>
      <c r="G30" s="18"/>
      <c r="H30" s="21"/>
      <c r="I30" s="21"/>
    </row>
    <row r="31" spans="1:10" ht="18" customHeight="1">
      <c r="A31" s="18"/>
      <c r="B31" s="18"/>
      <c r="C31" s="18"/>
      <c r="D31" s="18"/>
      <c r="E31" s="610"/>
      <c r="F31" s="20"/>
      <c r="G31" s="18"/>
      <c r="H31" s="21"/>
      <c r="I31" s="21"/>
    </row>
    <row r="32" spans="1:10" ht="18" customHeight="1">
      <c r="A32" s="18"/>
      <c r="B32" s="18"/>
      <c r="C32" s="18"/>
      <c r="D32" s="18"/>
      <c r="E32" s="18"/>
      <c r="F32" s="21"/>
      <c r="G32" s="18"/>
      <c r="H32" s="21">
        <f>SUM(H14:H31)</f>
        <v>6000000</v>
      </c>
      <c r="I32" s="21"/>
    </row>
    <row r="33" spans="1:10" ht="18" customHeight="1"/>
    <row r="35" spans="1:10" ht="21.75">
      <c r="A35" s="724" t="s">
        <v>2191</v>
      </c>
      <c r="B35" s="724"/>
      <c r="C35" s="724"/>
      <c r="D35" s="724"/>
      <c r="E35" s="724"/>
      <c r="F35" s="724"/>
      <c r="G35" s="724"/>
      <c r="H35" s="724"/>
      <c r="I35" s="724"/>
      <c r="J35" s="229"/>
    </row>
    <row r="36" spans="1:10" ht="21.75">
      <c r="A36" s="9">
        <v>1</v>
      </c>
      <c r="B36" s="9" t="s">
        <v>2869</v>
      </c>
      <c r="C36" s="317" t="s">
        <v>152</v>
      </c>
      <c r="D36" s="9" t="s">
        <v>323</v>
      </c>
      <c r="E36" s="9" t="s">
        <v>703</v>
      </c>
      <c r="F36" s="147" t="s">
        <v>2870</v>
      </c>
      <c r="G36" s="147">
        <v>500000</v>
      </c>
      <c r="H36" s="9"/>
      <c r="I36" s="9"/>
      <c r="J36" s="229"/>
    </row>
    <row r="37" spans="1:10" ht="21.75">
      <c r="A37" s="9"/>
      <c r="B37" s="9"/>
      <c r="C37" s="9"/>
      <c r="D37" s="9"/>
      <c r="E37" s="9" t="s">
        <v>2871</v>
      </c>
      <c r="F37" s="147" t="s">
        <v>2870</v>
      </c>
      <c r="G37" s="147">
        <v>500000</v>
      </c>
      <c r="H37" s="9"/>
      <c r="I37" s="9"/>
      <c r="J37" s="229"/>
    </row>
    <row r="38" spans="1:10" ht="21.75">
      <c r="A38" s="9"/>
      <c r="B38" s="9"/>
      <c r="C38" s="9"/>
      <c r="D38" s="9"/>
      <c r="E38" s="9" t="s">
        <v>2872</v>
      </c>
      <c r="F38" s="147" t="s">
        <v>2873</v>
      </c>
      <c r="G38" s="147">
        <v>500000</v>
      </c>
      <c r="H38" s="9"/>
      <c r="I38" s="9"/>
      <c r="J38" s="229"/>
    </row>
    <row r="39" spans="1:10" ht="21.75">
      <c r="A39" s="9"/>
      <c r="B39" s="9"/>
      <c r="C39" s="9"/>
      <c r="D39" s="9"/>
      <c r="E39" s="9" t="s">
        <v>2874</v>
      </c>
      <c r="F39" s="147" t="s">
        <v>2875</v>
      </c>
      <c r="G39" s="147">
        <v>1000000</v>
      </c>
      <c r="H39" s="9"/>
      <c r="I39" s="9"/>
      <c r="J39" s="229"/>
    </row>
    <row r="40" spans="1:10" ht="21.75">
      <c r="A40" s="9"/>
      <c r="B40" s="9"/>
      <c r="C40" s="9"/>
      <c r="D40" s="9"/>
      <c r="E40" s="9" t="s">
        <v>2876</v>
      </c>
      <c r="F40" s="147" t="s">
        <v>1685</v>
      </c>
      <c r="G40" s="147">
        <v>500000</v>
      </c>
      <c r="H40" s="9"/>
      <c r="I40" s="9"/>
      <c r="J40" s="229"/>
    </row>
    <row r="41" spans="1:10" ht="21.75">
      <c r="A41" s="9"/>
      <c r="B41" s="9"/>
      <c r="C41" s="9"/>
      <c r="D41" s="9"/>
      <c r="E41" s="9" t="s">
        <v>2877</v>
      </c>
      <c r="F41" s="147" t="s">
        <v>2878</v>
      </c>
      <c r="G41" s="147">
        <v>500000</v>
      </c>
      <c r="H41" s="9"/>
      <c r="I41" s="9"/>
      <c r="J41" s="229"/>
    </row>
    <row r="42" spans="1:10" ht="21.75">
      <c r="A42" s="9"/>
      <c r="B42" s="9"/>
      <c r="C42" s="9"/>
      <c r="D42" s="9"/>
      <c r="E42" s="9" t="s">
        <v>2879</v>
      </c>
      <c r="F42" s="147" t="s">
        <v>2880</v>
      </c>
      <c r="G42" s="147">
        <v>500000</v>
      </c>
      <c r="H42" s="9"/>
      <c r="I42" s="9"/>
      <c r="J42" s="229"/>
    </row>
    <row r="43" spans="1:10" ht="21.75">
      <c r="A43" s="9"/>
      <c r="B43" s="9"/>
      <c r="C43" s="9"/>
      <c r="D43" s="9"/>
      <c r="E43" s="9" t="s">
        <v>2881</v>
      </c>
      <c r="F43" s="147" t="s">
        <v>1716</v>
      </c>
      <c r="G43" s="147">
        <v>500000</v>
      </c>
      <c r="H43" s="9"/>
      <c r="I43" s="9"/>
      <c r="J43" s="229"/>
    </row>
    <row r="44" spans="1:10" ht="21.75">
      <c r="A44" s="9"/>
      <c r="B44" s="9"/>
      <c r="C44" s="9"/>
      <c r="D44" s="9"/>
      <c r="E44" s="9" t="s">
        <v>1066</v>
      </c>
      <c r="F44" s="147"/>
      <c r="G44" s="147">
        <v>-500000</v>
      </c>
      <c r="H44" s="9"/>
      <c r="I44" s="9"/>
      <c r="J44" s="229"/>
    </row>
    <row r="45" spans="1:10" ht="21.75">
      <c r="A45" s="9"/>
      <c r="B45" s="9"/>
      <c r="C45" s="9"/>
      <c r="D45" s="9"/>
      <c r="E45" s="9"/>
      <c r="F45" s="147"/>
      <c r="G45" s="147"/>
      <c r="H45" s="9"/>
      <c r="I45" s="9"/>
      <c r="J45" s="229"/>
    </row>
    <row r="46" spans="1:10" ht="21.75">
      <c r="A46" s="9"/>
      <c r="B46" s="9"/>
      <c r="C46" s="9"/>
      <c r="D46" s="9"/>
      <c r="E46" s="9"/>
      <c r="F46" s="147"/>
      <c r="G46" s="147"/>
      <c r="H46" s="9"/>
      <c r="I46" s="9"/>
      <c r="J46" s="229"/>
    </row>
    <row r="47" spans="1:10" ht="21.75">
      <c r="A47" s="9"/>
      <c r="B47" s="9"/>
      <c r="C47" s="9"/>
      <c r="D47" s="9"/>
      <c r="E47" s="9"/>
      <c r="F47" s="147"/>
      <c r="G47" s="147"/>
      <c r="H47" s="9"/>
      <c r="I47" s="9"/>
      <c r="J47" s="229"/>
    </row>
    <row r="48" spans="1:10" ht="21.75">
      <c r="A48" s="9"/>
      <c r="B48" s="9"/>
      <c r="C48" s="9"/>
      <c r="D48" s="9"/>
      <c r="E48" s="9"/>
      <c r="F48" s="9"/>
      <c r="G48" s="147"/>
      <c r="H48" s="9"/>
      <c r="I48" s="9"/>
      <c r="J48" s="229"/>
    </row>
    <row r="49" spans="1:10" ht="21.75">
      <c r="A49" s="9"/>
      <c r="B49" s="9"/>
      <c r="C49" s="9"/>
      <c r="D49" s="9"/>
      <c r="E49" s="9"/>
      <c r="F49" s="9"/>
      <c r="G49" s="147"/>
      <c r="H49" s="9"/>
      <c r="I49" s="9"/>
      <c r="J49" s="229"/>
    </row>
    <row r="50" spans="1:10" ht="21.75">
      <c r="A50" s="9"/>
      <c r="B50" s="9"/>
      <c r="C50" s="9"/>
      <c r="D50" s="9"/>
      <c r="E50" s="9"/>
      <c r="F50" s="9"/>
      <c r="G50" s="147">
        <f>SUM(G36:G49)</f>
        <v>4000000</v>
      </c>
      <c r="H50" s="9"/>
      <c r="I50" s="9"/>
      <c r="J50" s="229"/>
    </row>
    <row r="51" spans="1:10">
      <c r="A51" s="229"/>
      <c r="B51" s="229"/>
      <c r="C51" s="229"/>
      <c r="D51" s="229"/>
      <c r="E51" s="627"/>
      <c r="F51" s="229"/>
      <c r="G51" s="229"/>
      <c r="H51" s="229"/>
      <c r="I51" s="229"/>
      <c r="J51" s="229"/>
    </row>
    <row r="54" spans="1:10" ht="21.75">
      <c r="A54" s="724" t="s">
        <v>2191</v>
      </c>
      <c r="B54" s="724"/>
      <c r="C54" s="724"/>
      <c r="D54" s="724"/>
      <c r="E54" s="724"/>
      <c r="F54" s="724"/>
      <c r="G54" s="724"/>
      <c r="H54" s="724"/>
      <c r="I54" s="724"/>
      <c r="J54" s="229"/>
    </row>
    <row r="55" spans="1:10" ht="21.75">
      <c r="A55" s="9">
        <v>1</v>
      </c>
      <c r="B55" s="9" t="s">
        <v>2869</v>
      </c>
      <c r="C55" s="317" t="s">
        <v>152</v>
      </c>
      <c r="D55" s="9" t="s">
        <v>323</v>
      </c>
      <c r="E55" s="9" t="s">
        <v>703</v>
      </c>
      <c r="F55" s="147" t="s">
        <v>2882</v>
      </c>
      <c r="G55" s="147">
        <v>500000</v>
      </c>
      <c r="H55" s="9"/>
      <c r="I55" s="9"/>
      <c r="J55" s="229"/>
    </row>
    <row r="56" spans="1:10" ht="21.75">
      <c r="A56" s="9"/>
      <c r="B56" s="9"/>
      <c r="C56" s="9"/>
      <c r="D56" s="9"/>
      <c r="E56" s="9" t="s">
        <v>2883</v>
      </c>
      <c r="F56" s="147" t="s">
        <v>2882</v>
      </c>
      <c r="G56" s="147">
        <v>500000</v>
      </c>
      <c r="H56" s="9"/>
      <c r="I56" s="9"/>
      <c r="J56" s="229"/>
    </row>
    <row r="57" spans="1:10" ht="21.75">
      <c r="A57" s="9"/>
      <c r="B57" s="9"/>
      <c r="C57" s="9"/>
      <c r="D57" s="9"/>
      <c r="E57" s="9"/>
      <c r="F57" s="147"/>
      <c r="G57" s="147"/>
      <c r="H57" s="9"/>
      <c r="I57" s="9"/>
      <c r="J57" s="229"/>
    </row>
    <row r="58" spans="1:10" ht="21.75">
      <c r="A58" s="9"/>
      <c r="B58" s="9"/>
      <c r="C58" s="9"/>
      <c r="D58" s="9"/>
      <c r="E58" s="9"/>
      <c r="F58" s="147"/>
      <c r="G58" s="147"/>
      <c r="H58" s="9"/>
      <c r="I58" s="9"/>
      <c r="J58" s="229"/>
    </row>
    <row r="59" spans="1:10" ht="21.75">
      <c r="A59" s="9"/>
      <c r="B59" s="9"/>
      <c r="C59" s="9"/>
      <c r="D59" s="9"/>
      <c r="E59" s="9"/>
      <c r="F59" s="147"/>
      <c r="G59" s="147"/>
      <c r="H59" s="9"/>
      <c r="I59" s="9"/>
      <c r="J59" s="229"/>
    </row>
    <row r="62" spans="1:10" ht="21.75">
      <c r="A62" s="724" t="s">
        <v>2884</v>
      </c>
      <c r="B62" s="724"/>
      <c r="C62" s="724"/>
      <c r="D62" s="724"/>
      <c r="E62" s="724"/>
      <c r="F62" s="724"/>
      <c r="G62" s="724"/>
      <c r="H62" s="724"/>
      <c r="I62" s="724"/>
    </row>
    <row r="63" spans="1:10" ht="21.75">
      <c r="A63" s="9">
        <v>1</v>
      </c>
      <c r="B63" s="9" t="s">
        <v>2869</v>
      </c>
      <c r="C63" s="317" t="s">
        <v>152</v>
      </c>
      <c r="D63" s="9" t="s">
        <v>323</v>
      </c>
      <c r="E63" s="9" t="s">
        <v>703</v>
      </c>
      <c r="F63" s="147" t="s">
        <v>2882</v>
      </c>
      <c r="G63" s="147">
        <v>600000</v>
      </c>
      <c r="H63" s="9"/>
      <c r="I63" s="9"/>
    </row>
    <row r="64" spans="1:10" ht="21.75">
      <c r="A64" s="9"/>
      <c r="B64" s="9"/>
      <c r="C64" s="9"/>
      <c r="D64" s="9"/>
      <c r="E64" s="9" t="s">
        <v>2885</v>
      </c>
      <c r="F64" s="147" t="s">
        <v>2886</v>
      </c>
      <c r="G64" s="147">
        <v>600000</v>
      </c>
      <c r="H64" s="9"/>
      <c r="I64" s="9"/>
    </row>
    <row r="65" spans="1:9" ht="21.75">
      <c r="A65" s="9"/>
      <c r="B65" s="9"/>
      <c r="C65" s="9"/>
      <c r="D65" s="9"/>
      <c r="E65" s="9" t="s">
        <v>2887</v>
      </c>
      <c r="F65" s="147" t="s">
        <v>2888</v>
      </c>
      <c r="G65" s="147">
        <v>1200000</v>
      </c>
      <c r="H65" s="9"/>
      <c r="I65" s="9"/>
    </row>
    <row r="66" spans="1:9" ht="21.75">
      <c r="A66" s="9"/>
      <c r="B66" s="9"/>
      <c r="C66" s="9"/>
      <c r="D66" s="9"/>
      <c r="E66" s="9" t="s">
        <v>2889</v>
      </c>
      <c r="F66" s="147" t="s">
        <v>2890</v>
      </c>
      <c r="G66" s="147">
        <v>600000</v>
      </c>
      <c r="H66" s="9"/>
      <c r="I66" s="9"/>
    </row>
    <row r="67" spans="1:9" ht="21.75">
      <c r="A67" s="9"/>
      <c r="B67" s="9"/>
      <c r="C67" s="9"/>
      <c r="D67" s="9"/>
      <c r="E67" s="9" t="s">
        <v>2891</v>
      </c>
      <c r="F67" s="147" t="s">
        <v>2890</v>
      </c>
      <c r="G67" s="147">
        <v>600000</v>
      </c>
      <c r="H67" s="9"/>
      <c r="I67" s="9"/>
    </row>
    <row r="68" spans="1:9" ht="21.75">
      <c r="A68" s="9"/>
      <c r="B68" s="9"/>
      <c r="C68" s="9"/>
      <c r="D68" s="9"/>
      <c r="E68" s="9"/>
      <c r="F68" s="147" t="s">
        <v>2892</v>
      </c>
      <c r="G68" s="147">
        <f>SUM(G63:G67)</f>
        <v>3600000</v>
      </c>
      <c r="H68" s="9"/>
      <c r="I68" s="9"/>
    </row>
    <row r="71" spans="1:9" ht="18.75">
      <c r="A71" s="721" t="s">
        <v>2893</v>
      </c>
      <c r="B71" s="721"/>
      <c r="C71" s="721"/>
      <c r="D71" s="721"/>
      <c r="E71" s="721"/>
      <c r="F71" s="721"/>
      <c r="G71" s="721"/>
      <c r="H71" s="721"/>
      <c r="I71" s="721"/>
    </row>
    <row r="72" spans="1:9" ht="28.5">
      <c r="A72" s="16" t="s">
        <v>11</v>
      </c>
      <c r="B72" s="17" t="s">
        <v>697</v>
      </c>
      <c r="C72" s="17" t="s">
        <v>698</v>
      </c>
      <c r="D72" s="17" t="s">
        <v>12</v>
      </c>
      <c r="E72" s="16" t="s">
        <v>699</v>
      </c>
      <c r="F72" s="16" t="s">
        <v>657</v>
      </c>
      <c r="G72" s="17" t="s">
        <v>700</v>
      </c>
      <c r="H72" s="16" t="s">
        <v>660</v>
      </c>
      <c r="I72" s="16" t="s">
        <v>27</v>
      </c>
    </row>
    <row r="73" spans="1:9">
      <c r="A73" s="18">
        <v>1</v>
      </c>
      <c r="B73" s="18" t="s">
        <v>152</v>
      </c>
      <c r="C73" s="18" t="s">
        <v>323</v>
      </c>
      <c r="D73" s="18" t="s">
        <v>322</v>
      </c>
      <c r="E73" s="318" t="s">
        <v>661</v>
      </c>
      <c r="F73" s="20" t="s">
        <v>1130</v>
      </c>
      <c r="G73" s="18" t="s">
        <v>1131</v>
      </c>
      <c r="H73" s="21">
        <v>800000</v>
      </c>
      <c r="I73" s="21"/>
    </row>
    <row r="74" spans="1:9" ht="21.75">
      <c r="A74" s="18"/>
      <c r="B74" s="18"/>
      <c r="C74" s="18"/>
      <c r="D74" s="18"/>
      <c r="E74" s="224" t="s">
        <v>1133</v>
      </c>
      <c r="F74" s="20" t="s">
        <v>1130</v>
      </c>
      <c r="G74" s="18" t="s">
        <v>1131</v>
      </c>
      <c r="H74" s="21">
        <v>800000</v>
      </c>
      <c r="I74" s="316"/>
    </row>
    <row r="75" spans="1:9" ht="21.75">
      <c r="A75" s="18"/>
      <c r="B75" s="18"/>
      <c r="C75" s="18"/>
      <c r="D75" s="18"/>
      <c r="E75" s="610"/>
      <c r="F75" s="20"/>
      <c r="G75" s="18"/>
      <c r="H75" s="21"/>
      <c r="I75" s="316"/>
    </row>
    <row r="76" spans="1:9">
      <c r="A76" s="18"/>
      <c r="B76" s="18"/>
      <c r="C76" s="18"/>
      <c r="D76" s="18"/>
      <c r="E76" s="610"/>
      <c r="F76" s="20"/>
      <c r="G76" s="18"/>
      <c r="H76" s="21"/>
      <c r="I76" s="21"/>
    </row>
    <row r="77" spans="1:9">
      <c r="A77" s="18"/>
      <c r="B77" s="18"/>
      <c r="C77" s="18"/>
      <c r="D77" s="18"/>
      <c r="E77" s="610"/>
      <c r="F77" s="20"/>
      <c r="G77" s="18"/>
      <c r="H77" s="21"/>
      <c r="I77" s="21"/>
    </row>
    <row r="78" spans="1:9">
      <c r="A78" s="18"/>
      <c r="B78" s="18"/>
      <c r="C78" s="18"/>
      <c r="D78" s="18"/>
      <c r="E78" s="610"/>
      <c r="F78" s="20"/>
      <c r="G78" s="18"/>
      <c r="H78" s="21"/>
      <c r="I78" s="21"/>
    </row>
    <row r="79" spans="1:9">
      <c r="A79" s="18"/>
      <c r="B79" s="18"/>
      <c r="C79" s="18"/>
      <c r="D79" s="18"/>
      <c r="E79" s="610"/>
      <c r="F79" s="20"/>
      <c r="G79" s="18"/>
      <c r="H79" s="21"/>
      <c r="I79" s="21"/>
    </row>
    <row r="80" spans="1:9">
      <c r="A80" s="18"/>
      <c r="B80" s="18"/>
      <c r="C80" s="18"/>
      <c r="D80" s="18"/>
      <c r="E80" s="610"/>
      <c r="F80" s="20"/>
      <c r="G80" s="18"/>
      <c r="H80" s="21"/>
      <c r="I80" s="21"/>
    </row>
    <row r="81" spans="1:11">
      <c r="A81" s="18"/>
      <c r="B81" s="18"/>
      <c r="C81" s="18"/>
      <c r="D81" s="18"/>
      <c r="E81" s="610"/>
      <c r="F81" s="20"/>
      <c r="G81" s="18"/>
      <c r="H81" s="21"/>
      <c r="I81" s="21"/>
    </row>
    <row r="82" spans="1:11">
      <c r="A82" s="18"/>
      <c r="B82" s="18"/>
      <c r="C82" s="18"/>
      <c r="D82" s="18"/>
      <c r="E82" s="610"/>
      <c r="F82" s="20"/>
      <c r="G82" s="18"/>
      <c r="H82" s="21"/>
      <c r="I82" s="21"/>
    </row>
    <row r="83" spans="1:11">
      <c r="A83" s="18"/>
      <c r="B83" s="18"/>
      <c r="C83" s="18"/>
      <c r="D83" s="18"/>
      <c r="E83" s="610"/>
      <c r="F83" s="20"/>
      <c r="G83" s="18"/>
      <c r="H83" s="21">
        <f>SUM(H73:H81)</f>
        <v>1600000</v>
      </c>
      <c r="I83" s="21"/>
    </row>
    <row r="86" spans="1:11" ht="18.75">
      <c r="A86" s="721" t="s">
        <v>2894</v>
      </c>
      <c r="B86" s="721"/>
      <c r="C86" s="721"/>
      <c r="D86" s="721"/>
      <c r="E86" s="721"/>
      <c r="F86" s="721"/>
      <c r="G86" s="721"/>
      <c r="H86" s="721"/>
      <c r="I86" s="721"/>
    </row>
    <row r="87" spans="1:11" ht="28.5">
      <c r="A87" s="16" t="s">
        <v>11</v>
      </c>
      <c r="B87" s="17" t="s">
        <v>697</v>
      </c>
      <c r="C87" s="17" t="s">
        <v>698</v>
      </c>
      <c r="D87" s="17" t="s">
        <v>12</v>
      </c>
      <c r="E87" s="16" t="s">
        <v>699</v>
      </c>
      <c r="F87" s="16" t="s">
        <v>657</v>
      </c>
      <c r="G87" s="17" t="s">
        <v>700</v>
      </c>
      <c r="H87" s="16" t="s">
        <v>660</v>
      </c>
      <c r="I87" s="16" t="s">
        <v>27</v>
      </c>
    </row>
    <row r="88" spans="1:11">
      <c r="A88" s="18">
        <v>1</v>
      </c>
      <c r="B88" s="18" t="s">
        <v>152</v>
      </c>
      <c r="C88" s="18" t="s">
        <v>323</v>
      </c>
      <c r="D88" s="18" t="s">
        <v>322</v>
      </c>
      <c r="E88" s="318" t="s">
        <v>2895</v>
      </c>
      <c r="F88" s="20" t="s">
        <v>2896</v>
      </c>
      <c r="G88" s="18" t="s">
        <v>2897</v>
      </c>
      <c r="H88" s="21">
        <v>800000</v>
      </c>
      <c r="I88" s="21" t="s">
        <v>2898</v>
      </c>
      <c r="J88" s="605" t="s">
        <v>2899</v>
      </c>
      <c r="K88" s="605"/>
    </row>
    <row r="89" spans="1:11" ht="21.75">
      <c r="A89" s="18"/>
      <c r="B89" s="18"/>
      <c r="C89" s="18"/>
      <c r="D89" s="18"/>
      <c r="E89" s="224" t="s">
        <v>2900</v>
      </c>
      <c r="F89" s="20" t="s">
        <v>2896</v>
      </c>
      <c r="G89" s="18" t="s">
        <v>2897</v>
      </c>
      <c r="H89" s="21">
        <v>-80000</v>
      </c>
      <c r="I89" s="316" t="s">
        <v>2901</v>
      </c>
    </row>
    <row r="90" spans="1:11" ht="21.75">
      <c r="A90" s="18"/>
      <c r="B90" s="18"/>
      <c r="C90" s="18"/>
      <c r="D90" s="18"/>
      <c r="E90" s="610" t="s">
        <v>2902</v>
      </c>
      <c r="F90" s="20" t="s">
        <v>2903</v>
      </c>
      <c r="G90" s="18" t="s">
        <v>753</v>
      </c>
      <c r="H90" s="21">
        <v>720000</v>
      </c>
      <c r="I90" s="316" t="s">
        <v>2901</v>
      </c>
    </row>
    <row r="91" spans="1:11" ht="21.75">
      <c r="A91" s="18"/>
      <c r="B91" s="18"/>
      <c r="C91" s="18"/>
      <c r="D91" s="18"/>
      <c r="E91" s="610" t="s">
        <v>2904</v>
      </c>
      <c r="F91" s="20" t="s">
        <v>2905</v>
      </c>
      <c r="G91" s="18" t="s">
        <v>2906</v>
      </c>
      <c r="H91" s="21">
        <v>2160000</v>
      </c>
      <c r="I91" s="316" t="s">
        <v>2901</v>
      </c>
    </row>
    <row r="92" spans="1:11">
      <c r="A92" s="18"/>
      <c r="B92" s="18"/>
      <c r="C92" s="18"/>
      <c r="D92" s="18"/>
      <c r="E92" s="610"/>
      <c r="F92" s="20"/>
      <c r="G92" s="18"/>
      <c r="H92" s="21"/>
      <c r="I92" s="21"/>
    </row>
    <row r="93" spans="1:11">
      <c r="A93" s="18"/>
      <c r="B93" s="18"/>
      <c r="C93" s="18"/>
      <c r="D93" s="18"/>
      <c r="E93" s="610"/>
      <c r="F93" s="20"/>
      <c r="G93" s="18"/>
      <c r="H93" s="21"/>
      <c r="I93" s="21"/>
    </row>
    <row r="94" spans="1:11">
      <c r="A94" s="18"/>
      <c r="B94" s="18"/>
      <c r="C94" s="18"/>
      <c r="D94" s="18"/>
      <c r="E94" s="610"/>
      <c r="F94" s="20"/>
      <c r="G94" s="18"/>
      <c r="H94" s="21"/>
      <c r="I94" s="21"/>
    </row>
    <row r="95" spans="1:11">
      <c r="A95" s="18"/>
      <c r="B95" s="18"/>
      <c r="C95" s="18"/>
      <c r="D95" s="18"/>
      <c r="E95" s="610"/>
      <c r="F95" s="20"/>
      <c r="G95" s="18"/>
      <c r="H95" s="21"/>
      <c r="I95" s="21"/>
    </row>
    <row r="96" spans="1:11">
      <c r="A96" s="18"/>
      <c r="B96" s="18"/>
      <c r="C96" s="18"/>
      <c r="D96" s="18"/>
      <c r="E96" s="610"/>
      <c r="F96" s="20"/>
      <c r="G96" s="18"/>
      <c r="H96" s="21"/>
      <c r="I96" s="21"/>
    </row>
    <row r="97" spans="1:9">
      <c r="A97" s="18"/>
      <c r="B97" s="18"/>
      <c r="C97" s="18"/>
      <c r="D97" s="18"/>
      <c r="E97" s="610"/>
      <c r="F97" s="20"/>
      <c r="G97" s="18"/>
      <c r="H97" s="21"/>
      <c r="I97" s="21"/>
    </row>
    <row r="98" spans="1:9">
      <c r="A98" s="18"/>
      <c r="B98" s="18"/>
      <c r="C98" s="18"/>
      <c r="D98" s="18"/>
      <c r="E98" s="610"/>
      <c r="F98" s="20"/>
      <c r="G98" s="18"/>
      <c r="H98" s="21">
        <f>SUM(H88:H96)</f>
        <v>3600000</v>
      </c>
      <c r="I98" s="21"/>
    </row>
  </sheetData>
  <mergeCells count="8">
    <mergeCell ref="A71:I71"/>
    <mergeCell ref="A86:I86"/>
    <mergeCell ref="A2:I2"/>
    <mergeCell ref="I5:I6"/>
    <mergeCell ref="A12:I12"/>
    <mergeCell ref="A35:I35"/>
    <mergeCell ref="A54:I54"/>
    <mergeCell ref="A62:I62"/>
  </mergeCells>
  <hyperlinks>
    <hyperlink ref="A1" location="Name!A1" display="Name!A1" xr:uid="{8139B5C5-7AE0-41E9-BFB9-51C15E389778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15CA-DC09-4975-9E83-7161CAAD9F9A}">
  <dimension ref="A1:M57"/>
  <sheetViews>
    <sheetView workbookViewId="0"/>
  </sheetViews>
  <sheetFormatPr defaultRowHeight="15"/>
  <cols>
    <col min="2" max="2" width="15.7109375" customWidth="1"/>
    <col min="3" max="3" width="22.140625" customWidth="1"/>
    <col min="4" max="4" width="13.140625" customWidth="1"/>
    <col min="5" max="5" width="26.140625" customWidth="1"/>
    <col min="6" max="6" width="11.42578125" customWidth="1"/>
    <col min="7" max="7" width="16" customWidth="1"/>
    <col min="8" max="8" width="14.85546875" customWidth="1"/>
    <col min="9" max="9" width="22.7109375" customWidth="1"/>
    <col min="12" max="12" width="30.28515625" customWidth="1"/>
    <col min="13" max="13" width="26" style="328" customWidth="1"/>
  </cols>
  <sheetData>
    <row r="1" spans="1:10">
      <c r="A1" s="410" t="s">
        <v>648</v>
      </c>
    </row>
    <row r="2" spans="1:10" ht="18.75">
      <c r="A2" s="651" t="s">
        <v>2907</v>
      </c>
      <c r="B2" s="651"/>
      <c r="C2" s="651"/>
      <c r="D2" s="651"/>
      <c r="E2" s="651"/>
      <c r="F2" s="651"/>
      <c r="G2" s="651"/>
      <c r="H2" s="651"/>
      <c r="I2" s="651"/>
    </row>
    <row r="3" spans="1:10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0" ht="28.5" customHeight="1">
      <c r="A4" s="18"/>
      <c r="B4" s="18" t="s">
        <v>701</v>
      </c>
      <c r="C4" s="18" t="s">
        <v>312</v>
      </c>
      <c r="D4" s="18" t="s">
        <v>310</v>
      </c>
      <c r="E4" s="18" t="s">
        <v>703</v>
      </c>
      <c r="F4" s="20" t="s">
        <v>2908</v>
      </c>
      <c r="G4" s="18" t="s">
        <v>2787</v>
      </c>
      <c r="H4" s="21">
        <v>500000</v>
      </c>
      <c r="I4" s="21"/>
    </row>
    <row r="5" spans="1:10" ht="28.5" customHeight="1">
      <c r="A5" s="18"/>
      <c r="B5" s="18"/>
      <c r="C5" s="18"/>
      <c r="D5" s="18"/>
      <c r="E5" s="18" t="s">
        <v>2909</v>
      </c>
      <c r="F5" s="20" t="s">
        <v>2908</v>
      </c>
      <c r="G5" s="18" t="s">
        <v>2787</v>
      </c>
      <c r="H5" s="21">
        <v>500000</v>
      </c>
      <c r="I5" s="21"/>
    </row>
    <row r="6" spans="1:10" ht="28.5" customHeight="1">
      <c r="A6" s="18"/>
      <c r="B6" s="18"/>
      <c r="C6" s="18"/>
      <c r="D6" s="18"/>
      <c r="E6" s="18" t="s">
        <v>2910</v>
      </c>
      <c r="F6" s="20" t="s">
        <v>2911</v>
      </c>
      <c r="G6" s="18" t="s">
        <v>2912</v>
      </c>
      <c r="H6" s="21">
        <v>500000</v>
      </c>
      <c r="I6" s="21"/>
      <c r="J6" t="s">
        <v>2913</v>
      </c>
    </row>
    <row r="7" spans="1:10" ht="28.5" customHeight="1">
      <c r="A7" s="18"/>
      <c r="B7" s="18"/>
      <c r="C7" s="18"/>
      <c r="D7" s="18"/>
      <c r="E7" s="18" t="s">
        <v>2914</v>
      </c>
      <c r="F7" s="20" t="s">
        <v>2915</v>
      </c>
      <c r="G7" s="18" t="s">
        <v>2916</v>
      </c>
      <c r="H7" s="21">
        <v>500000</v>
      </c>
      <c r="I7" s="21"/>
      <c r="J7" t="s">
        <v>2913</v>
      </c>
    </row>
    <row r="8" spans="1:10" ht="28.5" customHeight="1">
      <c r="A8" s="18"/>
      <c r="B8" s="18"/>
      <c r="C8" s="18"/>
      <c r="D8" s="18"/>
      <c r="E8" s="18" t="s">
        <v>2917</v>
      </c>
      <c r="F8" s="20" t="s">
        <v>2918</v>
      </c>
      <c r="G8" s="18" t="s">
        <v>911</v>
      </c>
      <c r="H8" s="21">
        <v>600000</v>
      </c>
      <c r="I8" s="21"/>
      <c r="J8" t="s">
        <v>2913</v>
      </c>
    </row>
    <row r="9" spans="1:10" ht="28.5" customHeight="1">
      <c r="A9" s="18"/>
      <c r="B9" s="18"/>
      <c r="C9" s="18"/>
      <c r="D9" s="18"/>
      <c r="E9" s="18"/>
      <c r="F9" s="20"/>
      <c r="G9" s="18"/>
      <c r="H9" s="21"/>
      <c r="I9" s="21"/>
    </row>
    <row r="10" spans="1:10" ht="28.5" customHeight="1">
      <c r="A10" s="18"/>
      <c r="B10" s="18"/>
      <c r="C10" s="18"/>
      <c r="D10" s="18"/>
      <c r="E10" s="18"/>
      <c r="F10" s="20"/>
      <c r="G10" s="18"/>
      <c r="H10" s="21"/>
      <c r="I10" s="21"/>
    </row>
    <row r="11" spans="1:10" ht="28.5" customHeight="1">
      <c r="A11" s="18"/>
      <c r="B11" s="18"/>
      <c r="C11" s="18"/>
      <c r="D11" s="18"/>
      <c r="E11" s="18"/>
      <c r="F11" s="20"/>
      <c r="G11" s="18"/>
      <c r="H11" s="21"/>
      <c r="I11" s="21"/>
    </row>
    <row r="12" spans="1:10" ht="28.5" customHeight="1">
      <c r="A12" s="18"/>
      <c r="B12" s="18"/>
      <c r="C12" s="18"/>
      <c r="D12" s="18"/>
      <c r="E12" s="18"/>
      <c r="F12" s="21"/>
      <c r="G12" s="18"/>
      <c r="H12" s="50">
        <f>SUM(H4:H11)</f>
        <v>2600000</v>
      </c>
      <c r="I12" s="21"/>
    </row>
    <row r="13" spans="1:10" ht="28.5" customHeight="1"/>
    <row r="14" spans="1:10" ht="18.75">
      <c r="A14" s="651" t="s">
        <v>2919</v>
      </c>
      <c r="B14" s="651"/>
      <c r="C14" s="651"/>
      <c r="D14" s="651"/>
      <c r="E14" s="651"/>
      <c r="F14" s="651"/>
      <c r="G14" s="651"/>
      <c r="H14" s="651"/>
      <c r="I14" s="651"/>
    </row>
    <row r="15" spans="1:10" ht="28.5">
      <c r="A15" s="16" t="s">
        <v>11</v>
      </c>
      <c r="B15" s="17" t="s">
        <v>697</v>
      </c>
      <c r="C15" s="17" t="s">
        <v>698</v>
      </c>
      <c r="D15" s="17" t="s">
        <v>12</v>
      </c>
      <c r="E15" s="16" t="s">
        <v>699</v>
      </c>
      <c r="F15" s="16" t="s">
        <v>657</v>
      </c>
      <c r="G15" s="17" t="s">
        <v>700</v>
      </c>
      <c r="H15" s="16" t="s">
        <v>660</v>
      </c>
      <c r="I15" s="16" t="s">
        <v>27</v>
      </c>
    </row>
    <row r="16" spans="1:10">
      <c r="A16" s="18"/>
      <c r="B16" s="18" t="s">
        <v>701</v>
      </c>
      <c r="C16" s="18" t="s">
        <v>312</v>
      </c>
      <c r="D16" s="18" t="s">
        <v>310</v>
      </c>
      <c r="E16" s="18" t="s">
        <v>2920</v>
      </c>
      <c r="F16" s="20" t="s">
        <v>2921</v>
      </c>
      <c r="G16" s="18" t="s">
        <v>2922</v>
      </c>
      <c r="H16" s="21">
        <v>600000</v>
      </c>
      <c r="I16" s="21"/>
    </row>
    <row r="17" spans="1:9">
      <c r="A17" s="18"/>
      <c r="B17" s="18"/>
      <c r="C17" s="18"/>
      <c r="D17" s="18"/>
      <c r="E17" s="18" t="s">
        <v>2923</v>
      </c>
      <c r="F17" s="20"/>
      <c r="G17" s="18"/>
      <c r="H17" s="21">
        <v>-120000</v>
      </c>
      <c r="I17" s="21"/>
    </row>
    <row r="18" spans="1:9">
      <c r="A18" s="18"/>
      <c r="B18" s="18"/>
      <c r="C18" s="18"/>
      <c r="D18" s="18"/>
      <c r="E18" s="18"/>
      <c r="F18" s="20"/>
      <c r="G18" s="18"/>
      <c r="H18" s="21"/>
      <c r="I18" s="21"/>
    </row>
    <row r="19" spans="1:9">
      <c r="A19" s="18"/>
      <c r="B19" s="18"/>
      <c r="C19" s="18"/>
      <c r="D19" s="18"/>
      <c r="E19" s="18"/>
      <c r="F19" s="20"/>
      <c r="G19" s="18"/>
      <c r="H19" s="21"/>
      <c r="I19" s="21"/>
    </row>
    <row r="20" spans="1:9">
      <c r="A20" s="18"/>
      <c r="B20" s="18"/>
      <c r="C20" s="18"/>
      <c r="D20" s="18"/>
      <c r="E20" s="18"/>
      <c r="F20" s="20"/>
      <c r="G20" s="18"/>
      <c r="H20" s="21"/>
      <c r="I20" s="21"/>
    </row>
    <row r="21" spans="1:9">
      <c r="A21" s="18"/>
      <c r="B21" s="18"/>
      <c r="C21" s="18"/>
      <c r="D21" s="18"/>
      <c r="E21" s="18"/>
      <c r="F21" s="20"/>
      <c r="G21" s="18"/>
      <c r="H21" s="21"/>
      <c r="I21" s="21"/>
    </row>
    <row r="22" spans="1:9">
      <c r="A22" s="18"/>
      <c r="B22" s="18"/>
      <c r="C22" s="18"/>
      <c r="D22" s="18"/>
      <c r="E22" s="18"/>
      <c r="F22" s="20"/>
      <c r="G22" s="18"/>
      <c r="H22" s="21"/>
      <c r="I22" s="21"/>
    </row>
    <row r="23" spans="1:9">
      <c r="A23" s="18"/>
      <c r="B23" s="18"/>
      <c r="C23" s="18"/>
      <c r="D23" s="18"/>
      <c r="E23" s="18"/>
      <c r="F23" s="20"/>
      <c r="G23" s="18"/>
      <c r="H23" s="21"/>
      <c r="I23" s="21"/>
    </row>
    <row r="24" spans="1:9">
      <c r="A24" s="18"/>
      <c r="B24" s="18"/>
      <c r="C24" s="18"/>
      <c r="D24" s="18"/>
      <c r="E24" s="18"/>
      <c r="F24" s="21"/>
      <c r="G24" s="18"/>
      <c r="H24" s="50">
        <f>SUM(H16:H23)</f>
        <v>480000</v>
      </c>
      <c r="I24" s="21"/>
    </row>
    <row r="28" spans="1:9" ht="18.75">
      <c r="A28" s="651" t="s">
        <v>2924</v>
      </c>
      <c r="B28" s="651"/>
      <c r="C28" s="651"/>
      <c r="D28" s="651"/>
      <c r="E28" s="651"/>
      <c r="F28" s="651"/>
      <c r="G28" s="651"/>
      <c r="H28" s="651"/>
      <c r="I28" s="651"/>
    </row>
    <row r="29" spans="1:9" ht="28.5">
      <c r="A29" s="16" t="s">
        <v>11</v>
      </c>
      <c r="B29" s="17" t="s">
        <v>697</v>
      </c>
      <c r="C29" s="17" t="s">
        <v>698</v>
      </c>
      <c r="D29" s="17" t="s">
        <v>12</v>
      </c>
      <c r="E29" s="16" t="s">
        <v>699</v>
      </c>
      <c r="F29" s="16" t="s">
        <v>657</v>
      </c>
      <c r="G29" s="17" t="s">
        <v>700</v>
      </c>
      <c r="H29" s="16" t="s">
        <v>660</v>
      </c>
      <c r="I29" s="16" t="s">
        <v>27</v>
      </c>
    </row>
    <row r="30" spans="1:9" ht="25.5" customHeight="1">
      <c r="A30" s="18"/>
      <c r="B30" s="18" t="s">
        <v>701</v>
      </c>
      <c r="C30" s="18" t="s">
        <v>312</v>
      </c>
      <c r="D30" s="18" t="s">
        <v>310</v>
      </c>
      <c r="E30" s="18" t="s">
        <v>703</v>
      </c>
      <c r="F30" s="20" t="s">
        <v>2925</v>
      </c>
      <c r="G30" s="18" t="s">
        <v>2926</v>
      </c>
      <c r="H30" s="21">
        <v>600000</v>
      </c>
      <c r="I30" s="21"/>
    </row>
    <row r="31" spans="1:9" ht="25.5" customHeight="1">
      <c r="A31" s="18"/>
      <c r="B31" s="18"/>
      <c r="C31" s="18"/>
      <c r="D31" s="18"/>
      <c r="E31" s="18" t="s">
        <v>2927</v>
      </c>
      <c r="F31" s="20" t="s">
        <v>2925</v>
      </c>
      <c r="G31" s="18" t="s">
        <v>2926</v>
      </c>
      <c r="H31" s="21">
        <v>1800000</v>
      </c>
      <c r="I31" s="21"/>
    </row>
    <row r="32" spans="1:9" ht="25.5" customHeight="1">
      <c r="A32" s="18"/>
      <c r="B32" s="18"/>
      <c r="C32" s="18"/>
      <c r="D32" s="18"/>
      <c r="E32" s="18" t="s">
        <v>2928</v>
      </c>
      <c r="F32" s="20" t="s">
        <v>2929</v>
      </c>
      <c r="G32" s="18" t="s">
        <v>2930</v>
      </c>
      <c r="H32" s="21">
        <v>1800000</v>
      </c>
      <c r="I32" s="21"/>
    </row>
    <row r="33" spans="1:13" ht="25.5" customHeight="1">
      <c r="A33" s="18"/>
      <c r="B33" s="18"/>
      <c r="C33" s="18"/>
      <c r="D33" s="18"/>
      <c r="E33" s="18"/>
      <c r="F33" s="20"/>
      <c r="G33" s="18"/>
      <c r="H33" s="21"/>
      <c r="I33" s="21"/>
    </row>
    <row r="34" spans="1:13" ht="25.5" customHeight="1">
      <c r="A34" s="18"/>
      <c r="B34" s="18"/>
      <c r="C34" s="18"/>
      <c r="D34" s="18"/>
      <c r="E34" s="18"/>
      <c r="F34" s="20"/>
      <c r="G34" s="18"/>
      <c r="H34" s="21"/>
      <c r="I34" s="21"/>
    </row>
    <row r="35" spans="1:13" ht="25.5" customHeight="1">
      <c r="A35" s="18"/>
      <c r="B35" s="18"/>
      <c r="C35" s="18"/>
      <c r="D35" s="18"/>
      <c r="E35" s="18"/>
      <c r="F35" s="20"/>
      <c r="G35" s="18"/>
      <c r="H35" s="21"/>
      <c r="I35" s="21"/>
    </row>
    <row r="36" spans="1:13" ht="25.5" customHeight="1">
      <c r="A36" s="18"/>
      <c r="B36" s="18"/>
      <c r="C36" s="18"/>
      <c r="D36" s="18"/>
      <c r="E36" s="18"/>
      <c r="F36" s="20"/>
      <c r="G36" s="18"/>
      <c r="H36" s="21"/>
      <c r="I36" s="21"/>
    </row>
    <row r="37" spans="1:13" ht="25.5" customHeight="1">
      <c r="A37" s="18"/>
      <c r="B37" s="18"/>
      <c r="C37" s="18"/>
      <c r="D37" s="18"/>
      <c r="E37" s="18"/>
      <c r="F37" s="20"/>
      <c r="G37" s="18"/>
      <c r="H37" s="21"/>
      <c r="I37" s="21"/>
    </row>
    <row r="38" spans="1:13" ht="25.5" customHeight="1">
      <c r="A38" s="18"/>
      <c r="B38" s="18"/>
      <c r="C38" s="18"/>
      <c r="D38" s="18"/>
      <c r="E38" s="18"/>
      <c r="F38" s="21"/>
      <c r="G38" s="18"/>
      <c r="H38" s="50">
        <f>SUM(H30:H37)</f>
        <v>4200000</v>
      </c>
      <c r="I38" s="21"/>
    </row>
    <row r="41" spans="1:13">
      <c r="A41" s="410" t="s">
        <v>648</v>
      </c>
    </row>
    <row r="42" spans="1:13" ht="18.75">
      <c r="A42" s="651" t="s">
        <v>311</v>
      </c>
      <c r="B42" s="651"/>
      <c r="C42" s="651"/>
      <c r="D42" s="651"/>
      <c r="E42" s="651"/>
      <c r="F42" s="651"/>
      <c r="G42" s="651"/>
      <c r="H42" s="651"/>
      <c r="I42" s="651"/>
      <c r="K42" s="444"/>
      <c r="L42" s="445" t="s">
        <v>649</v>
      </c>
      <c r="M42" s="447"/>
    </row>
    <row r="43" spans="1:13" ht="37.9" customHeight="1">
      <c r="A43" s="16" t="s">
        <v>11</v>
      </c>
      <c r="B43" s="17" t="s">
        <v>697</v>
      </c>
      <c r="C43" s="17" t="s">
        <v>698</v>
      </c>
      <c r="D43" s="17" t="s">
        <v>12</v>
      </c>
      <c r="E43" s="16" t="s">
        <v>699</v>
      </c>
      <c r="F43" s="16" t="s">
        <v>657</v>
      </c>
      <c r="G43" s="17" t="s">
        <v>700</v>
      </c>
      <c r="H43" s="16" t="s">
        <v>660</v>
      </c>
      <c r="I43" s="16" t="s">
        <v>27</v>
      </c>
      <c r="K43" s="446" t="s">
        <v>11</v>
      </c>
      <c r="L43" s="446" t="s">
        <v>651</v>
      </c>
      <c r="M43" s="446" t="s">
        <v>660</v>
      </c>
    </row>
    <row r="44" spans="1:13" ht="25.9" customHeight="1">
      <c r="A44" s="18"/>
      <c r="B44" s="18" t="s">
        <v>701</v>
      </c>
      <c r="C44" s="18" t="s">
        <v>312</v>
      </c>
      <c r="D44" s="18" t="s">
        <v>310</v>
      </c>
      <c r="E44" s="18" t="s">
        <v>661</v>
      </c>
      <c r="F44" s="20" t="s">
        <v>2931</v>
      </c>
      <c r="G44" s="18" t="s">
        <v>2932</v>
      </c>
      <c r="H44" s="21">
        <v>800000</v>
      </c>
      <c r="I44" s="21"/>
      <c r="K44" s="444"/>
      <c r="L44" s="444"/>
      <c r="M44" s="447"/>
    </row>
    <row r="45" spans="1:13" ht="25.9" customHeight="1">
      <c r="A45" s="18"/>
      <c r="B45" s="18"/>
      <c r="C45" s="18"/>
      <c r="D45" s="18"/>
      <c r="E45" s="18" t="s">
        <v>2933</v>
      </c>
      <c r="F45" s="20" t="s">
        <v>2931</v>
      </c>
      <c r="G45" s="18" t="s">
        <v>2932</v>
      </c>
      <c r="H45" s="21">
        <v>800000</v>
      </c>
      <c r="I45" s="21"/>
      <c r="K45" s="444">
        <v>1</v>
      </c>
      <c r="L45" s="444" t="s">
        <v>2934</v>
      </c>
      <c r="M45" s="447">
        <v>20000</v>
      </c>
    </row>
    <row r="46" spans="1:13" ht="25.9" customHeight="1">
      <c r="A46" s="18"/>
      <c r="B46" s="18"/>
      <c r="C46" s="18"/>
      <c r="D46" s="18"/>
      <c r="E46" s="18" t="s">
        <v>314</v>
      </c>
      <c r="F46" s="20" t="s">
        <v>2935</v>
      </c>
      <c r="G46" s="18" t="s">
        <v>2078</v>
      </c>
      <c r="H46" s="21">
        <v>800000</v>
      </c>
      <c r="I46" s="21" t="s">
        <v>776</v>
      </c>
      <c r="K46" s="444">
        <v>2</v>
      </c>
      <c r="L46" s="444" t="s">
        <v>2936</v>
      </c>
      <c r="M46" s="447">
        <v>40000</v>
      </c>
    </row>
    <row r="47" spans="1:13" ht="25.9" customHeight="1">
      <c r="A47" s="18"/>
      <c r="B47" s="18"/>
      <c r="C47" s="18"/>
      <c r="D47" s="18"/>
      <c r="E47" s="18" t="s">
        <v>1076</v>
      </c>
      <c r="F47" s="20" t="s">
        <v>2935</v>
      </c>
      <c r="G47" s="18" t="s">
        <v>2078</v>
      </c>
      <c r="H47" s="21">
        <v>-80000</v>
      </c>
      <c r="I47" s="21"/>
      <c r="K47" s="444">
        <v>3</v>
      </c>
      <c r="L47" s="444" t="s">
        <v>2937</v>
      </c>
      <c r="M47" s="447">
        <v>5000</v>
      </c>
    </row>
    <row r="48" spans="1:13" ht="25.9" customHeight="1">
      <c r="A48" s="18"/>
      <c r="B48" s="18"/>
      <c r="C48" s="18"/>
      <c r="D48" s="18"/>
      <c r="E48" s="18"/>
      <c r="F48" s="20"/>
      <c r="G48" s="18"/>
      <c r="H48" s="21"/>
      <c r="I48" s="21"/>
      <c r="K48" s="444">
        <v>4</v>
      </c>
      <c r="L48" s="444" t="s">
        <v>2938</v>
      </c>
      <c r="M48" s="447">
        <v>15000</v>
      </c>
    </row>
    <row r="49" spans="1:13" ht="25.9" customHeight="1">
      <c r="A49" s="18"/>
      <c r="B49" s="18"/>
      <c r="C49" s="18"/>
      <c r="D49" s="18"/>
      <c r="E49" s="18"/>
      <c r="F49" s="20"/>
      <c r="G49" s="18"/>
      <c r="H49" s="21"/>
      <c r="I49" s="21"/>
      <c r="K49" s="444"/>
      <c r="L49" s="444"/>
      <c r="M49" s="447"/>
    </row>
    <row r="50" spans="1:13" ht="25.9" customHeight="1">
      <c r="A50" s="18"/>
      <c r="B50" s="18"/>
      <c r="C50" s="18"/>
      <c r="D50" s="18"/>
      <c r="E50" s="18"/>
      <c r="F50" s="20"/>
      <c r="G50" s="18"/>
      <c r="H50" s="21"/>
      <c r="I50" s="21"/>
      <c r="K50" s="444"/>
      <c r="L50" s="444" t="s">
        <v>665</v>
      </c>
      <c r="M50" s="447">
        <f>SUM(M45:M49)</f>
        <v>80000</v>
      </c>
    </row>
    <row r="51" spans="1:13" ht="25.9" customHeight="1">
      <c r="A51" s="18"/>
      <c r="B51" s="18"/>
      <c r="C51" s="18"/>
      <c r="D51" s="18"/>
      <c r="E51" s="18"/>
      <c r="F51" s="20"/>
      <c r="G51" s="18"/>
      <c r="H51" s="21"/>
      <c r="I51" s="21"/>
      <c r="K51" s="444"/>
      <c r="L51" s="444"/>
      <c r="M51" s="447"/>
    </row>
    <row r="52" spans="1:13" ht="25.9" customHeight="1">
      <c r="A52" s="18"/>
      <c r="B52" s="18"/>
      <c r="C52" s="18"/>
      <c r="D52" s="18"/>
      <c r="E52" s="18"/>
      <c r="F52" s="21"/>
      <c r="G52" s="18"/>
      <c r="H52" s="50">
        <f>SUM(H44:H51)</f>
        <v>2320000</v>
      </c>
      <c r="I52" s="21"/>
    </row>
    <row r="53" spans="1:13" ht="25.9" customHeight="1"/>
    <row r="54" spans="1:13" ht="25.9" customHeight="1"/>
    <row r="55" spans="1:13" ht="25.9" customHeight="1"/>
    <row r="56" spans="1:13" ht="25.9" customHeight="1"/>
    <row r="57" spans="1:13" ht="25.9" customHeight="1"/>
  </sheetData>
  <mergeCells count="4">
    <mergeCell ref="A2:I2"/>
    <mergeCell ref="A14:I14"/>
    <mergeCell ref="A28:I28"/>
    <mergeCell ref="A42:I42"/>
  </mergeCells>
  <hyperlinks>
    <hyperlink ref="A1" location="Name!A1" display="Name!A1" xr:uid="{1A499037-03F3-4BC7-833A-E6A6BD6673AA}"/>
    <hyperlink ref="A41" location="Name!A1" display="Name!A1" xr:uid="{253F379C-8D9C-4834-967B-310FE36ABE5D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8BD8-6DD5-4ACD-A949-ACD90656C0B7}">
  <dimension ref="A1:L52"/>
  <sheetViews>
    <sheetView workbookViewId="0"/>
  </sheetViews>
  <sheetFormatPr defaultColWidth="9.140625" defaultRowHeight="21.75"/>
  <cols>
    <col min="1" max="1" width="9.140625" style="25"/>
    <col min="2" max="2" width="16.42578125" style="25" customWidth="1"/>
    <col min="3" max="4" width="14.28515625" style="25" customWidth="1"/>
    <col min="5" max="5" width="25.140625" style="25" customWidth="1"/>
    <col min="6" max="6" width="9.140625" style="25"/>
    <col min="7" max="7" width="18.85546875" style="25" customWidth="1"/>
    <col min="8" max="8" width="16.42578125" style="25" customWidth="1"/>
    <col min="9" max="9" width="14" style="25" customWidth="1"/>
    <col min="10" max="10" width="18.42578125" style="25" customWidth="1"/>
    <col min="11" max="11" width="36" style="25" customWidth="1"/>
    <col min="12" max="16384" width="9.140625" style="25"/>
  </cols>
  <sheetData>
    <row r="1" spans="1:11">
      <c r="A1" s="410" t="s">
        <v>648</v>
      </c>
    </row>
    <row r="2" spans="1:11">
      <c r="A2" s="725" t="s">
        <v>2939</v>
      </c>
      <c r="B2" s="725"/>
      <c r="C2" s="725"/>
      <c r="D2" s="725"/>
      <c r="E2" s="725"/>
      <c r="F2" s="725"/>
      <c r="G2" s="725"/>
      <c r="H2" s="725"/>
      <c r="I2" s="725"/>
      <c r="J2" s="725"/>
    </row>
    <row r="3" spans="1:11" ht="43.5">
      <c r="A3" s="33" t="s">
        <v>818</v>
      </c>
      <c r="B3" s="145" t="s">
        <v>697</v>
      </c>
      <c r="C3" s="145" t="s">
        <v>12</v>
      </c>
      <c r="D3" s="145" t="s">
        <v>15</v>
      </c>
      <c r="E3" s="33" t="s">
        <v>699</v>
      </c>
      <c r="F3" s="33" t="s">
        <v>657</v>
      </c>
      <c r="G3" s="145" t="s">
        <v>700</v>
      </c>
      <c r="H3" s="33" t="s">
        <v>660</v>
      </c>
      <c r="I3" s="33"/>
      <c r="J3" s="33" t="s">
        <v>27</v>
      </c>
    </row>
    <row r="4" spans="1:11">
      <c r="A4" s="7">
        <v>1</v>
      </c>
      <c r="B4" s="7" t="s">
        <v>152</v>
      </c>
      <c r="C4" s="7" t="s">
        <v>304</v>
      </c>
      <c r="D4" s="403" t="s">
        <v>306</v>
      </c>
      <c r="E4" s="146" t="s">
        <v>703</v>
      </c>
      <c r="F4" s="147" t="s">
        <v>2940</v>
      </c>
      <c r="G4" s="9" t="s">
        <v>2941</v>
      </c>
      <c r="H4" s="9">
        <v>500000</v>
      </c>
      <c r="I4" s="9"/>
      <c r="J4" s="9"/>
      <c r="K4" s="25" t="s">
        <v>2942</v>
      </c>
    </row>
    <row r="5" spans="1:11">
      <c r="A5" s="7"/>
      <c r="B5" s="7"/>
      <c r="C5" s="7"/>
      <c r="D5" s="602"/>
      <c r="E5" s="148" t="s">
        <v>2943</v>
      </c>
      <c r="F5" s="147" t="s">
        <v>2940</v>
      </c>
      <c r="G5" s="9" t="s">
        <v>2941</v>
      </c>
      <c r="H5" s="9">
        <v>1000000</v>
      </c>
      <c r="I5" s="9"/>
      <c r="J5" s="9"/>
    </row>
    <row r="6" spans="1:11">
      <c r="A6" s="7"/>
      <c r="B6" s="7"/>
      <c r="C6" s="7"/>
      <c r="D6" s="602"/>
      <c r="E6" s="149" t="s">
        <v>2944</v>
      </c>
      <c r="F6" s="147" t="s">
        <v>2945</v>
      </c>
      <c r="G6" s="9" t="s">
        <v>2946</v>
      </c>
      <c r="H6" s="9">
        <v>500000</v>
      </c>
      <c r="I6" s="9"/>
      <c r="J6" s="9"/>
      <c r="K6" s="25" t="s">
        <v>2947</v>
      </c>
    </row>
    <row r="7" spans="1:11">
      <c r="A7" s="7"/>
      <c r="B7" s="7"/>
      <c r="C7" s="7"/>
      <c r="D7" s="602"/>
      <c r="E7" s="149" t="s">
        <v>2948</v>
      </c>
      <c r="F7" s="147" t="s">
        <v>2949</v>
      </c>
      <c r="G7" s="9" t="s">
        <v>2950</v>
      </c>
      <c r="H7" s="9">
        <v>1000000</v>
      </c>
      <c r="I7" s="9"/>
      <c r="J7" s="9"/>
    </row>
    <row r="8" spans="1:11">
      <c r="A8" s="7"/>
      <c r="B8" s="7"/>
      <c r="C8" s="7"/>
      <c r="D8" s="602"/>
      <c r="E8" s="149" t="s">
        <v>2951</v>
      </c>
      <c r="F8" s="147" t="s">
        <v>2952</v>
      </c>
      <c r="G8" s="9" t="s">
        <v>2953</v>
      </c>
      <c r="H8" s="9">
        <v>1000000</v>
      </c>
      <c r="I8" s="9"/>
      <c r="J8" s="9"/>
      <c r="K8" s="25" t="s">
        <v>1042</v>
      </c>
    </row>
    <row r="9" spans="1:11">
      <c r="A9" s="7"/>
      <c r="B9" s="7"/>
      <c r="C9" s="7"/>
      <c r="D9" s="602"/>
      <c r="E9" s="149" t="s">
        <v>2954</v>
      </c>
      <c r="F9" s="147" t="s">
        <v>2955</v>
      </c>
      <c r="G9" s="9" t="s">
        <v>2956</v>
      </c>
      <c r="H9" s="9">
        <v>500000</v>
      </c>
      <c r="I9" s="9"/>
      <c r="J9" s="9"/>
      <c r="K9" s="25" t="s">
        <v>2957</v>
      </c>
    </row>
    <row r="10" spans="1:11">
      <c r="A10" s="7"/>
      <c r="B10" s="7"/>
      <c r="C10" s="7"/>
      <c r="D10" s="602"/>
      <c r="E10" s="149" t="s">
        <v>2958</v>
      </c>
      <c r="F10" s="147" t="s">
        <v>2959</v>
      </c>
      <c r="G10" s="9" t="s">
        <v>2960</v>
      </c>
      <c r="H10" s="9">
        <v>500000</v>
      </c>
      <c r="I10" s="9"/>
      <c r="J10" s="9"/>
      <c r="K10" s="705" t="s">
        <v>2961</v>
      </c>
    </row>
    <row r="11" spans="1:11">
      <c r="A11" s="7"/>
      <c r="B11" s="7"/>
      <c r="C11" s="7"/>
      <c r="D11" s="602"/>
      <c r="E11" s="149" t="s">
        <v>2962</v>
      </c>
      <c r="F11" s="147" t="s">
        <v>2959</v>
      </c>
      <c r="G11" s="9" t="s">
        <v>2960</v>
      </c>
      <c r="H11" s="9">
        <v>1800000</v>
      </c>
      <c r="I11" s="9"/>
      <c r="J11" s="9"/>
      <c r="K11" s="705"/>
    </row>
    <row r="12" spans="1:11">
      <c r="A12" s="7"/>
      <c r="B12" s="7"/>
      <c r="C12" s="7"/>
      <c r="D12" s="602"/>
      <c r="E12" s="149"/>
      <c r="F12" s="147"/>
      <c r="G12" s="9"/>
      <c r="H12" s="9"/>
      <c r="I12" s="9"/>
      <c r="J12" s="9"/>
    </row>
    <row r="13" spans="1:11">
      <c r="A13" s="7"/>
      <c r="B13" s="7"/>
      <c r="C13" s="7"/>
      <c r="D13" s="7"/>
      <c r="E13" s="9"/>
      <c r="F13" s="9"/>
      <c r="G13" s="9"/>
      <c r="H13" s="150"/>
      <c r="I13" s="150"/>
      <c r="J13" s="9"/>
    </row>
    <row r="15" spans="1:11" ht="26.25">
      <c r="A15" s="680" t="s">
        <v>305</v>
      </c>
      <c r="B15" s="680"/>
      <c r="C15" s="680"/>
      <c r="D15" s="680"/>
      <c r="E15" s="680"/>
      <c r="F15" s="680"/>
      <c r="G15" s="680"/>
      <c r="H15" s="680"/>
      <c r="I15" s="680"/>
      <c r="J15" s="680"/>
    </row>
    <row r="16" spans="1:11" ht="43.5">
      <c r="A16" s="33" t="s">
        <v>818</v>
      </c>
      <c r="B16" s="145" t="s">
        <v>697</v>
      </c>
      <c r="C16" s="145" t="s">
        <v>12</v>
      </c>
      <c r="D16" s="145" t="s">
        <v>15</v>
      </c>
      <c r="E16" s="33" t="s">
        <v>699</v>
      </c>
      <c r="F16" s="33" t="s">
        <v>657</v>
      </c>
      <c r="G16" s="145" t="s">
        <v>700</v>
      </c>
      <c r="H16" s="33" t="s">
        <v>660</v>
      </c>
      <c r="I16" s="33"/>
      <c r="J16" s="33" t="s">
        <v>27</v>
      </c>
    </row>
    <row r="17" spans="1:12" ht="19.149999999999999" customHeight="1">
      <c r="A17" s="7">
        <v>1</v>
      </c>
      <c r="B17" s="7" t="s">
        <v>152</v>
      </c>
      <c r="C17" s="7" t="s">
        <v>304</v>
      </c>
      <c r="D17" s="403" t="s">
        <v>306</v>
      </c>
      <c r="E17" s="146" t="s">
        <v>703</v>
      </c>
      <c r="F17" s="147" t="s">
        <v>2963</v>
      </c>
      <c r="G17" s="9" t="s">
        <v>2964</v>
      </c>
      <c r="H17" s="9">
        <v>500000</v>
      </c>
      <c r="I17" s="9"/>
      <c r="J17" s="9"/>
    </row>
    <row r="18" spans="1:12">
      <c r="A18" s="7"/>
      <c r="B18" s="7"/>
      <c r="C18" s="7"/>
      <c r="D18" s="602"/>
      <c r="E18" s="148" t="s">
        <v>2965</v>
      </c>
      <c r="F18" s="147" t="s">
        <v>2963</v>
      </c>
      <c r="G18" s="9" t="s">
        <v>2964</v>
      </c>
      <c r="H18" s="9">
        <v>500000</v>
      </c>
      <c r="I18" s="9"/>
      <c r="J18" s="9"/>
    </row>
    <row r="19" spans="1:12">
      <c r="A19" s="7"/>
      <c r="B19" s="7"/>
      <c r="C19" s="7"/>
      <c r="D19" s="602"/>
      <c r="E19" s="149" t="s">
        <v>2966</v>
      </c>
      <c r="F19" s="147" t="s">
        <v>2967</v>
      </c>
      <c r="G19" s="9" t="s">
        <v>2968</v>
      </c>
      <c r="H19" s="9">
        <v>500000</v>
      </c>
      <c r="I19" s="9"/>
      <c r="J19" s="9"/>
    </row>
    <row r="20" spans="1:12">
      <c r="A20" s="7"/>
      <c r="B20" s="7"/>
      <c r="C20" s="7"/>
      <c r="D20" s="602"/>
      <c r="E20" s="149" t="s">
        <v>2969</v>
      </c>
      <c r="F20" s="147" t="s">
        <v>2970</v>
      </c>
      <c r="G20" s="9" t="s">
        <v>2971</v>
      </c>
      <c r="H20" s="9">
        <v>500000</v>
      </c>
      <c r="I20" s="9"/>
      <c r="J20" s="9"/>
    </row>
    <row r="21" spans="1:12">
      <c r="A21" s="7"/>
      <c r="B21" s="7"/>
      <c r="C21" s="7"/>
      <c r="D21" s="602"/>
      <c r="E21" s="149" t="s">
        <v>2972</v>
      </c>
      <c r="F21" s="147" t="s">
        <v>2973</v>
      </c>
      <c r="G21" s="9" t="s">
        <v>2974</v>
      </c>
      <c r="H21" s="9">
        <v>500000</v>
      </c>
      <c r="I21" s="9"/>
      <c r="J21" s="9"/>
    </row>
    <row r="22" spans="1:12">
      <c r="A22" s="7"/>
      <c r="B22" s="7"/>
      <c r="C22" s="7"/>
      <c r="D22" s="602"/>
      <c r="E22" s="149" t="s">
        <v>2975</v>
      </c>
      <c r="F22" s="147" t="s">
        <v>2976</v>
      </c>
      <c r="G22" s="9" t="s">
        <v>1634</v>
      </c>
      <c r="H22" s="9">
        <v>500000</v>
      </c>
      <c r="I22" s="9"/>
      <c r="J22" s="9"/>
      <c r="L22" s="25" t="s">
        <v>2913</v>
      </c>
    </row>
    <row r="23" spans="1:12">
      <c r="A23" s="7"/>
      <c r="B23" s="7"/>
      <c r="C23" s="7"/>
      <c r="D23" s="602"/>
      <c r="E23" s="149" t="s">
        <v>2977</v>
      </c>
      <c r="F23" s="147" t="s">
        <v>2978</v>
      </c>
      <c r="G23" s="9" t="s">
        <v>1918</v>
      </c>
      <c r="H23" s="9">
        <v>500000</v>
      </c>
      <c r="I23" s="9"/>
      <c r="J23" s="9"/>
      <c r="L23" s="25" t="s">
        <v>2913</v>
      </c>
    </row>
    <row r="24" spans="1:12">
      <c r="A24" s="7"/>
      <c r="B24" s="7"/>
      <c r="C24" s="7"/>
      <c r="D24" s="602"/>
      <c r="E24" s="149" t="s">
        <v>2979</v>
      </c>
      <c r="F24" s="147" t="s">
        <v>2980</v>
      </c>
      <c r="G24" s="9" t="s">
        <v>2981</v>
      </c>
      <c r="H24" s="9">
        <v>600000</v>
      </c>
      <c r="I24" s="9"/>
      <c r="J24" s="9"/>
      <c r="L24" s="25" t="s">
        <v>2913</v>
      </c>
    </row>
    <row r="25" spans="1:12">
      <c r="A25" s="7"/>
      <c r="B25" s="7"/>
      <c r="C25" s="7"/>
      <c r="D25" s="602"/>
      <c r="E25" s="149" t="s">
        <v>2982</v>
      </c>
      <c r="F25" s="147" t="s">
        <v>2983</v>
      </c>
      <c r="G25" s="9" t="s">
        <v>2653</v>
      </c>
      <c r="H25" s="9">
        <v>600000</v>
      </c>
      <c r="I25" s="9"/>
      <c r="J25" s="9"/>
      <c r="L25" s="25" t="s">
        <v>2913</v>
      </c>
    </row>
    <row r="26" spans="1:12">
      <c r="A26" s="7"/>
      <c r="B26" s="7"/>
      <c r="C26" s="7"/>
      <c r="D26" s="602"/>
      <c r="E26" s="149" t="s">
        <v>2984</v>
      </c>
      <c r="F26" s="147" t="s">
        <v>2985</v>
      </c>
      <c r="G26" s="9" t="s">
        <v>2986</v>
      </c>
      <c r="H26" s="9">
        <v>600000</v>
      </c>
      <c r="I26" s="9"/>
      <c r="J26" s="9"/>
      <c r="L26" s="25" t="s">
        <v>2913</v>
      </c>
    </row>
    <row r="27" spans="1:12">
      <c r="A27" s="7"/>
      <c r="B27" s="7"/>
      <c r="C27" s="7"/>
      <c r="D27" s="602"/>
      <c r="E27" s="149" t="s">
        <v>2987</v>
      </c>
      <c r="F27" s="147" t="s">
        <v>2988</v>
      </c>
      <c r="G27" s="9" t="s">
        <v>2989</v>
      </c>
      <c r="H27" s="9">
        <v>600000</v>
      </c>
      <c r="I27" s="9"/>
      <c r="J27" s="9"/>
      <c r="L27" s="25" t="s">
        <v>2913</v>
      </c>
    </row>
    <row r="28" spans="1:12">
      <c r="A28" s="7"/>
      <c r="B28" s="7"/>
      <c r="C28" s="7"/>
      <c r="D28" s="602"/>
      <c r="E28" s="149" t="s">
        <v>2990</v>
      </c>
      <c r="F28" s="147" t="s">
        <v>2991</v>
      </c>
      <c r="G28" s="9" t="s">
        <v>2661</v>
      </c>
      <c r="H28" s="9">
        <v>600000</v>
      </c>
      <c r="I28" s="9"/>
      <c r="J28" s="9"/>
      <c r="L28" s="25" t="s">
        <v>2913</v>
      </c>
    </row>
    <row r="29" spans="1:12">
      <c r="A29" s="7"/>
      <c r="B29" s="7"/>
      <c r="C29" s="7"/>
      <c r="D29" s="602"/>
      <c r="E29" s="149" t="s">
        <v>2992</v>
      </c>
      <c r="F29" s="147" t="s">
        <v>2993</v>
      </c>
      <c r="G29" s="9" t="s">
        <v>2994</v>
      </c>
      <c r="H29" s="9">
        <v>600000</v>
      </c>
      <c r="I29" s="9"/>
      <c r="J29" s="9"/>
    </row>
    <row r="30" spans="1:12">
      <c r="A30" s="7"/>
      <c r="B30" s="7"/>
      <c r="C30" s="7"/>
      <c r="D30" s="602"/>
      <c r="E30" s="149" t="s">
        <v>737</v>
      </c>
      <c r="F30" s="147" t="s">
        <v>2995</v>
      </c>
      <c r="G30" s="9" t="s">
        <v>2996</v>
      </c>
      <c r="H30" s="9">
        <v>600000</v>
      </c>
      <c r="I30" s="9"/>
      <c r="J30" s="9"/>
      <c r="L30" s="25" t="s">
        <v>738</v>
      </c>
    </row>
    <row r="31" spans="1:12">
      <c r="A31" s="7"/>
      <c r="B31" s="7"/>
      <c r="C31" s="7"/>
      <c r="D31" s="602"/>
      <c r="E31" s="149" t="s">
        <v>2997</v>
      </c>
      <c r="F31" s="147" t="s">
        <v>2998</v>
      </c>
      <c r="G31" s="9" t="s">
        <v>887</v>
      </c>
      <c r="H31" s="9">
        <v>3000000</v>
      </c>
      <c r="I31" s="9"/>
      <c r="J31" s="9" t="s">
        <v>1390</v>
      </c>
    </row>
    <row r="32" spans="1:12">
      <c r="A32" s="7"/>
      <c r="B32" s="7"/>
      <c r="C32" s="7"/>
      <c r="D32" s="602"/>
      <c r="E32" s="149" t="s">
        <v>2999</v>
      </c>
      <c r="F32" s="147" t="s">
        <v>3000</v>
      </c>
      <c r="G32" s="9" t="s">
        <v>887</v>
      </c>
      <c r="H32" s="9">
        <v>800000</v>
      </c>
      <c r="I32" s="9"/>
      <c r="J32" s="9" t="s">
        <v>1390</v>
      </c>
      <c r="K32" s="9"/>
    </row>
    <row r="33" spans="1:10">
      <c r="A33" s="7"/>
      <c r="B33" s="7"/>
      <c r="C33" s="7"/>
      <c r="D33" s="602"/>
      <c r="E33" s="149" t="s">
        <v>3001</v>
      </c>
      <c r="F33" s="147" t="s">
        <v>3002</v>
      </c>
      <c r="G33" s="9" t="s">
        <v>3003</v>
      </c>
      <c r="H33" s="9">
        <v>800000</v>
      </c>
      <c r="I33" s="9"/>
      <c r="J33" s="9" t="s">
        <v>1390</v>
      </c>
    </row>
    <row r="34" spans="1:10">
      <c r="A34" s="7"/>
      <c r="B34" s="7"/>
      <c r="C34" s="7"/>
      <c r="D34" s="602"/>
      <c r="E34" s="149" t="s">
        <v>3004</v>
      </c>
      <c r="F34" s="147" t="s">
        <v>3005</v>
      </c>
      <c r="G34" s="9" t="s">
        <v>3006</v>
      </c>
      <c r="H34" s="9">
        <v>800000</v>
      </c>
      <c r="I34" s="9"/>
      <c r="J34" s="9" t="s">
        <v>1390</v>
      </c>
    </row>
    <row r="35" spans="1:10">
      <c r="A35" s="7"/>
      <c r="B35" s="7"/>
      <c r="C35" s="7"/>
      <c r="D35" s="602"/>
      <c r="E35" s="149" t="s">
        <v>2700</v>
      </c>
      <c r="F35" s="147" t="s">
        <v>3007</v>
      </c>
      <c r="G35" s="9" t="s">
        <v>3008</v>
      </c>
      <c r="H35" s="9">
        <v>800000</v>
      </c>
      <c r="I35" s="9"/>
      <c r="J35" s="9" t="s">
        <v>1390</v>
      </c>
    </row>
    <row r="36" spans="1:10">
      <c r="A36" s="7"/>
      <c r="B36" s="7"/>
      <c r="C36" s="7"/>
      <c r="D36" s="602"/>
      <c r="E36" s="149" t="s">
        <v>308</v>
      </c>
      <c r="F36" s="147" t="s">
        <v>3009</v>
      </c>
      <c r="G36" s="9" t="s">
        <v>3010</v>
      </c>
      <c r="H36" s="9">
        <v>800000</v>
      </c>
      <c r="I36" s="9"/>
      <c r="J36" s="9" t="s">
        <v>1390</v>
      </c>
    </row>
    <row r="37" spans="1:10">
      <c r="A37" s="7"/>
      <c r="B37" s="7"/>
      <c r="C37" s="7"/>
      <c r="D37" s="602"/>
      <c r="E37" s="149"/>
      <c r="F37" s="147"/>
      <c r="G37" s="9"/>
      <c r="H37" s="9"/>
      <c r="I37" s="9"/>
      <c r="J37" s="9" t="s">
        <v>1390</v>
      </c>
    </row>
    <row r="38" spans="1:10">
      <c r="A38" s="7"/>
      <c r="B38" s="7"/>
      <c r="C38" s="7"/>
      <c r="D38" s="7"/>
      <c r="E38" s="9"/>
      <c r="F38" s="9"/>
      <c r="G38" s="9"/>
      <c r="H38" s="150">
        <f>SUM(H17:H36)</f>
        <v>14700000</v>
      </c>
      <c r="I38" s="150"/>
      <c r="J38" s="9"/>
    </row>
    <row r="40" spans="1:10" ht="22.9" customHeight="1"/>
    <row r="41" spans="1:10" ht="26.25">
      <c r="A41" s="680" t="s">
        <v>219</v>
      </c>
      <c r="B41" s="680"/>
      <c r="C41" s="680"/>
      <c r="D41" s="680"/>
      <c r="E41" s="680"/>
      <c r="F41" s="680"/>
      <c r="G41" s="680"/>
      <c r="H41" s="680"/>
      <c r="I41" s="680"/>
      <c r="J41" s="680"/>
    </row>
    <row r="42" spans="1:10" ht="43.5">
      <c r="A42" s="33" t="s">
        <v>818</v>
      </c>
      <c r="B42" s="145" t="s">
        <v>697</v>
      </c>
      <c r="C42" s="145" t="s">
        <v>12</v>
      </c>
      <c r="D42" s="145"/>
      <c r="E42" s="33" t="s">
        <v>699</v>
      </c>
      <c r="F42" s="33" t="s">
        <v>657</v>
      </c>
      <c r="G42" s="145" t="s">
        <v>700</v>
      </c>
      <c r="H42" s="33" t="s">
        <v>660</v>
      </c>
      <c r="I42" s="33"/>
      <c r="J42" s="33" t="s">
        <v>27</v>
      </c>
    </row>
    <row r="43" spans="1:10">
      <c r="A43" s="7">
        <v>1</v>
      </c>
      <c r="B43" s="7" t="s">
        <v>152</v>
      </c>
      <c r="C43" s="7" t="s">
        <v>304</v>
      </c>
      <c r="D43" s="403"/>
      <c r="E43" s="146" t="s">
        <v>703</v>
      </c>
      <c r="F43" s="147" t="s">
        <v>3011</v>
      </c>
      <c r="G43" s="9" t="s">
        <v>2832</v>
      </c>
      <c r="H43" s="9">
        <v>600000</v>
      </c>
      <c r="I43" s="9"/>
      <c r="J43" s="9"/>
    </row>
    <row r="44" spans="1:10">
      <c r="A44" s="7"/>
      <c r="B44" s="7"/>
      <c r="C44" s="7" t="s">
        <v>3012</v>
      </c>
      <c r="D44" s="602"/>
      <c r="E44" s="148" t="s">
        <v>3013</v>
      </c>
      <c r="F44" s="147" t="s">
        <v>3011</v>
      </c>
      <c r="G44" s="9" t="s">
        <v>2832</v>
      </c>
      <c r="H44" s="9">
        <v>600000</v>
      </c>
      <c r="I44" s="9"/>
      <c r="J44" s="9"/>
    </row>
    <row r="45" spans="1:10">
      <c r="A45" s="7"/>
      <c r="B45" s="7"/>
      <c r="C45" s="7" t="s">
        <v>3014</v>
      </c>
      <c r="D45" s="602"/>
      <c r="E45" s="149" t="s">
        <v>3015</v>
      </c>
      <c r="F45" s="147" t="s">
        <v>3016</v>
      </c>
      <c r="G45" s="9" t="s">
        <v>2526</v>
      </c>
      <c r="H45" s="9">
        <v>1200000</v>
      </c>
      <c r="I45" s="9"/>
      <c r="J45" s="9"/>
    </row>
    <row r="46" spans="1:10">
      <c r="A46" s="7"/>
      <c r="B46" s="7"/>
      <c r="C46" s="7"/>
      <c r="D46" s="602"/>
      <c r="E46" s="149" t="s">
        <v>3017</v>
      </c>
      <c r="F46" s="147" t="s">
        <v>3018</v>
      </c>
      <c r="G46" s="9" t="s">
        <v>3019</v>
      </c>
      <c r="H46" s="9">
        <v>1200000</v>
      </c>
      <c r="I46" s="9"/>
      <c r="J46" s="9"/>
    </row>
    <row r="47" spans="1:10">
      <c r="A47" s="7"/>
      <c r="B47" s="7"/>
      <c r="C47" s="7"/>
      <c r="D47" s="602"/>
      <c r="E47" s="149"/>
      <c r="F47" s="147"/>
      <c r="G47" s="9"/>
      <c r="H47" s="9"/>
      <c r="I47" s="9"/>
      <c r="J47" s="9"/>
    </row>
    <row r="48" spans="1:10">
      <c r="A48" s="7"/>
      <c r="B48" s="7"/>
      <c r="C48" s="7"/>
      <c r="D48" s="602"/>
      <c r="E48" s="149"/>
      <c r="F48" s="147"/>
      <c r="G48" s="9"/>
      <c r="H48" s="9"/>
      <c r="I48" s="9"/>
      <c r="J48" s="9"/>
    </row>
    <row r="49" spans="1:10">
      <c r="A49" s="7"/>
      <c r="B49" s="7"/>
      <c r="C49" s="7"/>
      <c r="D49" s="602"/>
      <c r="E49" s="149"/>
      <c r="F49" s="147"/>
      <c r="G49" s="9"/>
      <c r="H49" s="9"/>
      <c r="I49" s="9"/>
      <c r="J49" s="9"/>
    </row>
    <row r="50" spans="1:10">
      <c r="A50" s="7"/>
      <c r="B50" s="7"/>
      <c r="C50" s="7"/>
      <c r="D50" s="602"/>
      <c r="E50" s="149"/>
      <c r="F50" s="147"/>
      <c r="G50" s="9"/>
      <c r="H50" s="9"/>
      <c r="I50" s="9"/>
      <c r="J50" s="9"/>
    </row>
    <row r="51" spans="1:10">
      <c r="A51" s="7"/>
      <c r="B51" s="7"/>
      <c r="C51" s="7"/>
      <c r="D51" s="602"/>
      <c r="E51" s="149"/>
      <c r="F51" s="147"/>
      <c r="G51" s="9"/>
      <c r="H51" s="9"/>
      <c r="I51" s="9"/>
      <c r="J51" s="9"/>
    </row>
    <row r="52" spans="1:10">
      <c r="A52" s="7"/>
      <c r="B52" s="7"/>
      <c r="C52" s="7"/>
      <c r="D52" s="7"/>
      <c r="E52" s="9"/>
      <c r="F52" s="9"/>
      <c r="G52" s="9"/>
      <c r="H52" s="150">
        <f>SUM(H43:H51)</f>
        <v>3600000</v>
      </c>
      <c r="I52" s="150"/>
      <c r="J52" s="9"/>
    </row>
  </sheetData>
  <mergeCells count="4">
    <mergeCell ref="A2:J2"/>
    <mergeCell ref="K10:K11"/>
    <mergeCell ref="A15:J15"/>
    <mergeCell ref="A41:J41"/>
  </mergeCells>
  <hyperlinks>
    <hyperlink ref="A1" location="Name!A1" display="Name!A1" xr:uid="{6507660D-6042-44B0-92CA-7E5C60C3669C}"/>
  </hyperlinks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C89D-A8D6-4086-B165-48133C4B79AB}">
  <dimension ref="A1:K35"/>
  <sheetViews>
    <sheetView topLeftCell="A7" workbookViewId="0">
      <selection activeCell="A27" sqref="A27"/>
    </sheetView>
  </sheetViews>
  <sheetFormatPr defaultColWidth="9.140625" defaultRowHeight="21.75"/>
  <cols>
    <col min="1" max="2" width="9.140625" style="25"/>
    <col min="3" max="3" width="33.85546875" style="25" customWidth="1"/>
    <col min="4" max="4" width="15.140625" style="25" customWidth="1"/>
    <col min="5" max="5" width="28.85546875" style="25" customWidth="1"/>
    <col min="6" max="6" width="10.7109375" style="25" customWidth="1"/>
    <col min="7" max="7" width="13.28515625" style="25" customWidth="1"/>
    <col min="8" max="8" width="24.28515625" style="25" customWidth="1"/>
    <col min="9" max="9" width="26.140625" style="25" customWidth="1"/>
    <col min="10" max="10" width="12.140625" style="25" bestFit="1" customWidth="1"/>
    <col min="11" max="16384" width="9.140625" style="25"/>
  </cols>
  <sheetData>
    <row r="1" spans="1:9">
      <c r="A1" s="411" t="s">
        <v>648</v>
      </c>
      <c r="B1" s="143"/>
      <c r="C1" s="143"/>
      <c r="D1" s="143"/>
      <c r="E1" s="143"/>
      <c r="F1" s="143"/>
      <c r="G1" s="143"/>
      <c r="H1" s="143"/>
    </row>
    <row r="2" spans="1:9">
      <c r="A2" s="644" t="s">
        <v>3020</v>
      </c>
      <c r="B2" s="644"/>
      <c r="C2" s="644"/>
      <c r="D2" s="644"/>
      <c r="E2" s="644"/>
      <c r="F2" s="644"/>
      <c r="G2" s="644"/>
      <c r="H2" s="644"/>
    </row>
    <row r="3" spans="1:9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I3" s="25" t="s">
        <v>2816</v>
      </c>
    </row>
    <row r="4" spans="1:9">
      <c r="A4" s="646"/>
      <c r="B4" s="646"/>
      <c r="C4" s="646"/>
      <c r="D4" s="646"/>
      <c r="E4" s="648"/>
      <c r="F4" s="646"/>
      <c r="G4" s="646"/>
      <c r="H4" s="6" t="s">
        <v>660</v>
      </c>
    </row>
    <row r="5" spans="1:9">
      <c r="A5" s="7">
        <v>1</v>
      </c>
      <c r="B5" s="7" t="s">
        <v>152</v>
      </c>
      <c r="C5" s="7" t="s">
        <v>299</v>
      </c>
      <c r="D5" s="7" t="s">
        <v>297</v>
      </c>
      <c r="E5" s="9" t="s">
        <v>703</v>
      </c>
      <c r="F5" s="10" t="s">
        <v>3021</v>
      </c>
      <c r="G5" s="9" t="s">
        <v>3022</v>
      </c>
      <c r="H5" s="9">
        <v>500000</v>
      </c>
    </row>
    <row r="6" spans="1:9">
      <c r="A6" s="7"/>
      <c r="B6" s="7"/>
      <c r="C6" s="7"/>
      <c r="D6" s="7"/>
      <c r="E6" s="9" t="s">
        <v>3023</v>
      </c>
      <c r="F6" s="10" t="s">
        <v>3021</v>
      </c>
      <c r="G6" s="9" t="s">
        <v>3022</v>
      </c>
      <c r="H6" s="9">
        <v>500000</v>
      </c>
    </row>
    <row r="7" spans="1:9">
      <c r="A7" s="7"/>
      <c r="B7" s="7"/>
      <c r="C7" s="7"/>
      <c r="D7" s="7"/>
      <c r="E7" s="9" t="s">
        <v>1066</v>
      </c>
      <c r="F7" s="10"/>
      <c r="G7" s="9" t="s">
        <v>3024</v>
      </c>
      <c r="H7" s="9">
        <v>-500000</v>
      </c>
      <c r="I7" s="25" t="s">
        <v>3025</v>
      </c>
    </row>
    <row r="8" spans="1:9">
      <c r="A8" s="7"/>
      <c r="B8" s="7"/>
      <c r="C8" s="7"/>
      <c r="D8" s="7"/>
      <c r="E8" s="9"/>
      <c r="F8" s="10"/>
      <c r="G8" s="9"/>
      <c r="H8" s="9"/>
    </row>
    <row r="9" spans="1:9">
      <c r="A9" s="166"/>
      <c r="B9" s="166"/>
      <c r="C9" s="166"/>
      <c r="D9" s="166"/>
      <c r="E9" s="167"/>
      <c r="F9" s="168"/>
      <c r="G9" s="167">
        <f>SUM(G5:G8)</f>
        <v>0</v>
      </c>
      <c r="H9" s="167">
        <f>SUM(H5:H8)</f>
        <v>500000</v>
      </c>
    </row>
    <row r="11" spans="1:9">
      <c r="A11" s="644" t="s">
        <v>272</v>
      </c>
      <c r="B11" s="644"/>
      <c r="C11" s="644"/>
      <c r="D11" s="644"/>
      <c r="E11" s="644"/>
      <c r="F11" s="644"/>
      <c r="G11" s="644"/>
      <c r="H11" s="644"/>
    </row>
    <row r="12" spans="1:9">
      <c r="A12" s="645" t="s">
        <v>653</v>
      </c>
      <c r="B12" s="647" t="s">
        <v>654</v>
      </c>
      <c r="C12" s="645" t="s">
        <v>655</v>
      </c>
      <c r="D12" s="645" t="s">
        <v>12</v>
      </c>
      <c r="E12" s="647" t="s">
        <v>656</v>
      </c>
      <c r="F12" s="645" t="s">
        <v>657</v>
      </c>
      <c r="G12" s="647" t="s">
        <v>658</v>
      </c>
      <c r="H12" s="3" t="s">
        <v>659</v>
      </c>
    </row>
    <row r="13" spans="1:9">
      <c r="A13" s="646"/>
      <c r="B13" s="646"/>
      <c r="C13" s="646"/>
      <c r="D13" s="646"/>
      <c r="E13" s="648"/>
      <c r="F13" s="646"/>
      <c r="G13" s="646"/>
      <c r="H13" s="6" t="s">
        <v>660</v>
      </c>
    </row>
    <row r="14" spans="1:9">
      <c r="A14" s="7">
        <v>1</v>
      </c>
      <c r="B14" s="7" t="s">
        <v>152</v>
      </c>
      <c r="C14" s="7" t="s">
        <v>299</v>
      </c>
      <c r="D14" s="7" t="s">
        <v>297</v>
      </c>
      <c r="E14" s="9" t="s">
        <v>3026</v>
      </c>
      <c r="F14" s="10" t="s">
        <v>3027</v>
      </c>
      <c r="G14" s="9" t="s">
        <v>3028</v>
      </c>
      <c r="H14" s="9">
        <v>500000</v>
      </c>
    </row>
    <row r="15" spans="1:9">
      <c r="A15" s="7"/>
      <c r="B15" s="7"/>
      <c r="C15" s="7"/>
      <c r="D15" s="7"/>
      <c r="E15" s="9" t="s">
        <v>3029</v>
      </c>
      <c r="F15" s="10" t="s">
        <v>3030</v>
      </c>
      <c r="G15" s="9" t="s">
        <v>3031</v>
      </c>
      <c r="H15" s="9">
        <v>500000</v>
      </c>
      <c r="I15" s="25" t="s">
        <v>3032</v>
      </c>
    </row>
    <row r="16" spans="1:9">
      <c r="A16" s="7"/>
      <c r="B16" s="7"/>
      <c r="C16" s="7"/>
      <c r="D16" s="7"/>
      <c r="E16" s="9" t="s">
        <v>3033</v>
      </c>
      <c r="F16" s="10" t="s">
        <v>3034</v>
      </c>
      <c r="G16" s="9" t="s">
        <v>2820</v>
      </c>
      <c r="H16" s="9">
        <v>500000</v>
      </c>
      <c r="I16" s="25" t="s">
        <v>710</v>
      </c>
    </row>
    <row r="17" spans="1:11">
      <c r="A17" s="7"/>
      <c r="B17" s="7"/>
      <c r="C17" s="7"/>
      <c r="D17" s="7"/>
      <c r="E17" s="9" t="s">
        <v>3035</v>
      </c>
      <c r="F17" s="10" t="s">
        <v>3036</v>
      </c>
      <c r="G17" s="9" t="s">
        <v>3037</v>
      </c>
      <c r="H17" s="9">
        <v>500000</v>
      </c>
      <c r="I17" s="25" t="s">
        <v>710</v>
      </c>
    </row>
    <row r="18" spans="1:11">
      <c r="A18" s="7"/>
      <c r="B18" s="7"/>
      <c r="C18" s="7"/>
      <c r="D18" s="7"/>
      <c r="E18" s="9" t="s">
        <v>3038</v>
      </c>
      <c r="F18" s="10" t="s">
        <v>3039</v>
      </c>
      <c r="G18" s="9" t="s">
        <v>707</v>
      </c>
      <c r="H18" s="9">
        <v>500000</v>
      </c>
      <c r="I18" s="25" t="s">
        <v>710</v>
      </c>
    </row>
    <row r="19" spans="1:11">
      <c r="A19" s="7"/>
      <c r="B19" s="7"/>
      <c r="C19" s="7"/>
      <c r="D19" s="7"/>
      <c r="E19" s="9" t="s">
        <v>3040</v>
      </c>
      <c r="F19" s="10" t="s">
        <v>3041</v>
      </c>
      <c r="G19" s="9" t="s">
        <v>3042</v>
      </c>
      <c r="H19" s="9">
        <v>500000</v>
      </c>
      <c r="I19" s="25" t="s">
        <v>710</v>
      </c>
    </row>
    <row r="20" spans="1:11">
      <c r="A20" s="7"/>
      <c r="B20" s="7"/>
      <c r="C20" s="7"/>
      <c r="D20" s="7"/>
      <c r="E20" s="9" t="s">
        <v>3043</v>
      </c>
      <c r="F20" s="10"/>
      <c r="G20" s="9">
        <v>1000000</v>
      </c>
      <c r="H20" s="9"/>
    </row>
    <row r="21" spans="1:11">
      <c r="A21" s="7"/>
      <c r="B21" s="7"/>
      <c r="C21" s="7"/>
      <c r="D21" s="7"/>
      <c r="E21" s="9" t="s">
        <v>3044</v>
      </c>
      <c r="F21" s="10"/>
      <c r="G21" s="9">
        <v>1200000</v>
      </c>
      <c r="H21" s="9"/>
    </row>
    <row r="22" spans="1:11">
      <c r="A22" s="7"/>
      <c r="B22" s="7"/>
      <c r="C22" s="7"/>
      <c r="D22" s="7"/>
      <c r="E22" s="9" t="s">
        <v>3045</v>
      </c>
      <c r="F22" s="10" t="s">
        <v>3046</v>
      </c>
      <c r="G22" s="314">
        <v>250000</v>
      </c>
      <c r="H22" s="9">
        <v>600000</v>
      </c>
      <c r="I22" s="25" t="s">
        <v>3047</v>
      </c>
      <c r="J22" s="315">
        <f>G20+G21+G22-H22</f>
        <v>1850000</v>
      </c>
    </row>
    <row r="23" spans="1:11">
      <c r="A23" s="7"/>
      <c r="B23" s="7"/>
      <c r="C23" s="7"/>
      <c r="D23" s="7"/>
      <c r="E23" s="9"/>
      <c r="F23" s="10"/>
      <c r="G23" s="198"/>
      <c r="H23" s="9">
        <v>200000</v>
      </c>
      <c r="I23" s="25" t="s">
        <v>3048</v>
      </c>
      <c r="J23" s="315">
        <f>J22-H23</f>
        <v>1650000</v>
      </c>
      <c r="K23" s="25" t="s">
        <v>1176</v>
      </c>
    </row>
    <row r="24" spans="1:11">
      <c r="A24" s="7"/>
      <c r="B24" s="7"/>
      <c r="C24" s="7"/>
      <c r="D24" s="7"/>
      <c r="E24" s="9"/>
      <c r="F24" s="10"/>
      <c r="G24" s="9"/>
      <c r="H24" s="9"/>
    </row>
    <row r="25" spans="1:11">
      <c r="A25" s="166"/>
      <c r="B25" s="166"/>
      <c r="C25" s="166"/>
      <c r="D25" s="166"/>
      <c r="E25" s="167"/>
      <c r="F25" s="168"/>
      <c r="G25" s="167">
        <f>SUM(G14:G24)</f>
        <v>2450000</v>
      </c>
      <c r="H25" s="167">
        <f>SUM(H14:H24)</f>
        <v>3800000</v>
      </c>
    </row>
    <row r="27" spans="1:11">
      <c r="A27" s="410" t="s">
        <v>648</v>
      </c>
    </row>
    <row r="28" spans="1:11">
      <c r="A28" s="644" t="s">
        <v>298</v>
      </c>
      <c r="B28" s="644"/>
      <c r="C28" s="644"/>
      <c r="D28" s="644"/>
      <c r="E28" s="644"/>
      <c r="F28" s="644"/>
      <c r="G28" s="644"/>
      <c r="H28" s="644"/>
    </row>
    <row r="29" spans="1:11">
      <c r="A29" s="645" t="s">
        <v>653</v>
      </c>
      <c r="B29" s="647" t="s">
        <v>654</v>
      </c>
      <c r="C29" s="645" t="s">
        <v>655</v>
      </c>
      <c r="D29" s="645" t="s">
        <v>12</v>
      </c>
      <c r="E29" s="647" t="s">
        <v>656</v>
      </c>
      <c r="F29" s="645" t="s">
        <v>657</v>
      </c>
      <c r="G29" s="647" t="s">
        <v>658</v>
      </c>
      <c r="H29" s="3" t="s">
        <v>659</v>
      </c>
    </row>
    <row r="30" spans="1:11">
      <c r="A30" s="646"/>
      <c r="B30" s="646"/>
      <c r="C30" s="646"/>
      <c r="D30" s="646"/>
      <c r="E30" s="648"/>
      <c r="F30" s="646"/>
      <c r="G30" s="646"/>
      <c r="H30" s="6" t="s">
        <v>660</v>
      </c>
    </row>
    <row r="31" spans="1:11">
      <c r="A31" s="7">
        <v>1</v>
      </c>
      <c r="B31" s="7" t="s">
        <v>152</v>
      </c>
      <c r="C31" s="7" t="s">
        <v>299</v>
      </c>
      <c r="D31" s="7" t="s">
        <v>297</v>
      </c>
      <c r="E31" s="9" t="s">
        <v>703</v>
      </c>
      <c r="F31" s="10" t="s">
        <v>3049</v>
      </c>
      <c r="G31" s="9" t="s">
        <v>3050</v>
      </c>
      <c r="H31" s="9">
        <v>600000</v>
      </c>
    </row>
    <row r="32" spans="1:11">
      <c r="A32" s="7"/>
      <c r="B32" s="7"/>
      <c r="C32" s="7"/>
      <c r="D32" s="7"/>
      <c r="E32" s="9" t="s">
        <v>301</v>
      </c>
      <c r="F32" s="10" t="s">
        <v>3049</v>
      </c>
      <c r="G32" s="9" t="s">
        <v>3050</v>
      </c>
      <c r="H32" s="9">
        <v>600000</v>
      </c>
    </row>
    <row r="33" spans="1:8">
      <c r="A33" s="7"/>
      <c r="B33" s="7"/>
      <c r="C33" s="7"/>
      <c r="D33" s="7"/>
      <c r="E33" s="9"/>
      <c r="F33" s="10"/>
      <c r="G33" s="9"/>
      <c r="H33" s="9"/>
    </row>
    <row r="34" spans="1:8">
      <c r="A34" s="7"/>
      <c r="B34" s="7"/>
      <c r="C34" s="7"/>
      <c r="D34" s="7"/>
      <c r="E34" s="9"/>
      <c r="F34" s="10"/>
      <c r="G34" s="9"/>
      <c r="H34" s="9"/>
    </row>
    <row r="35" spans="1:8">
      <c r="A35" s="166"/>
      <c r="B35" s="166"/>
      <c r="C35" s="166"/>
      <c r="D35" s="166"/>
      <c r="E35" s="167"/>
      <c r="F35" s="168"/>
      <c r="G35" s="167">
        <f>SUM(G31:G34)</f>
        <v>0</v>
      </c>
      <c r="H35" s="167">
        <f>SUM(H31:H34)</f>
        <v>1200000</v>
      </c>
    </row>
  </sheetData>
  <mergeCells count="24">
    <mergeCell ref="A2:H2"/>
    <mergeCell ref="A3:A4"/>
    <mergeCell ref="B3:B4"/>
    <mergeCell ref="C3:C4"/>
    <mergeCell ref="D3:D4"/>
    <mergeCell ref="E3:E4"/>
    <mergeCell ref="F3:F4"/>
    <mergeCell ref="G3:G4"/>
    <mergeCell ref="A11:H11"/>
    <mergeCell ref="A12:A13"/>
    <mergeCell ref="B12:B13"/>
    <mergeCell ref="C12:C13"/>
    <mergeCell ref="D12:D13"/>
    <mergeCell ref="E12:E13"/>
    <mergeCell ref="F12:F13"/>
    <mergeCell ref="G12:G13"/>
    <mergeCell ref="A28:H28"/>
    <mergeCell ref="A29:A30"/>
    <mergeCell ref="B29:B30"/>
    <mergeCell ref="C29:C30"/>
    <mergeCell ref="D29:D30"/>
    <mergeCell ref="E29:E30"/>
    <mergeCell ref="F29:F30"/>
    <mergeCell ref="G29:G30"/>
  </mergeCells>
  <hyperlinks>
    <hyperlink ref="A1" location="Name!A1" display="Name!A1" xr:uid="{7A650433-7A3A-442F-B32F-FB8344F67C9C}"/>
    <hyperlink ref="A27" location="Name!A1" display="Name!A1" xr:uid="{11E33337-677E-4351-8230-5DC93A615929}"/>
  </hyperlinks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4D1B-67D0-44F3-BADB-6AD5E2C3B99F}">
  <dimension ref="A1:I67"/>
  <sheetViews>
    <sheetView workbookViewId="0"/>
  </sheetViews>
  <sheetFormatPr defaultColWidth="9.140625" defaultRowHeight="21.75"/>
  <cols>
    <col min="1" max="3" width="9.140625" style="25"/>
    <col min="4" max="4" width="18.7109375" style="25" customWidth="1"/>
    <col min="5" max="5" width="25.28515625" style="25" customWidth="1"/>
    <col min="6" max="6" width="9.140625" style="25"/>
    <col min="7" max="7" width="12.28515625" style="25" customWidth="1"/>
    <col min="8" max="8" width="15" style="25" customWidth="1"/>
    <col min="9" max="9" width="31.28515625" style="25" customWidth="1"/>
    <col min="10" max="16384" width="9.140625" style="25"/>
  </cols>
  <sheetData>
    <row r="1" spans="1:9">
      <c r="A1" s="410" t="s">
        <v>648</v>
      </c>
    </row>
    <row r="2" spans="1:9">
      <c r="A2" s="644" t="s">
        <v>3051</v>
      </c>
      <c r="B2" s="644"/>
      <c r="C2" s="644"/>
      <c r="D2" s="644"/>
      <c r="E2" s="644"/>
      <c r="F2" s="644"/>
      <c r="G2" s="644"/>
      <c r="H2" s="644"/>
      <c r="I2" s="644"/>
    </row>
    <row r="3" spans="1:9" ht="43.5">
      <c r="A3" s="33" t="s">
        <v>11</v>
      </c>
      <c r="B3" s="145" t="s">
        <v>697</v>
      </c>
      <c r="C3" s="145" t="s">
        <v>12</v>
      </c>
      <c r="D3" s="145" t="s">
        <v>894</v>
      </c>
      <c r="E3" s="33" t="s">
        <v>699</v>
      </c>
      <c r="F3" s="33" t="s">
        <v>657</v>
      </c>
      <c r="G3" s="145" t="s">
        <v>700</v>
      </c>
      <c r="H3" s="33" t="s">
        <v>660</v>
      </c>
      <c r="I3" s="33" t="s">
        <v>27</v>
      </c>
    </row>
    <row r="4" spans="1:9">
      <c r="A4" s="26">
        <v>1</v>
      </c>
      <c r="B4" s="26" t="s">
        <v>152</v>
      </c>
      <c r="C4" s="26" t="s">
        <v>290</v>
      </c>
      <c r="D4" s="26" t="s">
        <v>3052</v>
      </c>
      <c r="E4" s="26" t="s">
        <v>703</v>
      </c>
      <c r="F4" s="27" t="s">
        <v>3053</v>
      </c>
      <c r="G4" s="26" t="s">
        <v>3054</v>
      </c>
      <c r="H4" s="28">
        <v>500000</v>
      </c>
      <c r="I4" s="28"/>
    </row>
    <row r="5" spans="1:9">
      <c r="A5" s="26"/>
      <c r="B5" s="26"/>
      <c r="C5" s="26"/>
      <c r="D5" s="26"/>
      <c r="E5" s="153" t="s">
        <v>3055</v>
      </c>
      <c r="F5" s="27" t="s">
        <v>3053</v>
      </c>
      <c r="G5" s="26" t="s">
        <v>3054</v>
      </c>
      <c r="H5" s="28">
        <v>500000</v>
      </c>
      <c r="I5" s="28"/>
    </row>
    <row r="6" spans="1:9">
      <c r="A6" s="26"/>
      <c r="B6" s="26"/>
      <c r="C6" s="26"/>
      <c r="D6" s="26"/>
      <c r="E6" s="153" t="s">
        <v>3056</v>
      </c>
      <c r="F6" s="27" t="s">
        <v>3057</v>
      </c>
      <c r="G6" s="151" t="s">
        <v>3058</v>
      </c>
      <c r="H6" s="28">
        <v>500000</v>
      </c>
      <c r="I6" s="28"/>
    </row>
    <row r="7" spans="1:9">
      <c r="A7" s="26"/>
      <c r="B7" s="26"/>
      <c r="C7" s="26"/>
      <c r="D7" s="26"/>
      <c r="E7" s="153" t="s">
        <v>3059</v>
      </c>
      <c r="F7" s="27" t="s">
        <v>3060</v>
      </c>
      <c r="G7" s="26" t="s">
        <v>3061</v>
      </c>
      <c r="H7" s="28">
        <v>500000</v>
      </c>
      <c r="I7" s="28"/>
    </row>
    <row r="8" spans="1:9">
      <c r="A8" s="26"/>
      <c r="B8" s="26"/>
      <c r="C8" s="26"/>
      <c r="D8" s="26"/>
      <c r="E8" s="153" t="s">
        <v>3062</v>
      </c>
      <c r="F8" s="27" t="s">
        <v>3063</v>
      </c>
      <c r="G8" s="26" t="s">
        <v>3064</v>
      </c>
      <c r="H8" s="28">
        <v>1000000</v>
      </c>
      <c r="I8" s="28"/>
    </row>
    <row r="9" spans="1:9">
      <c r="A9" s="26"/>
      <c r="B9" s="26"/>
      <c r="C9" s="26"/>
      <c r="D9" s="26"/>
      <c r="E9" s="153" t="s">
        <v>3065</v>
      </c>
      <c r="F9" s="27" t="s">
        <v>3066</v>
      </c>
      <c r="G9" s="26" t="s">
        <v>1336</v>
      </c>
      <c r="H9" s="28">
        <v>500000</v>
      </c>
      <c r="I9" s="28"/>
    </row>
    <row r="10" spans="1:9">
      <c r="A10" s="26"/>
      <c r="B10" s="26"/>
      <c r="C10" s="26"/>
      <c r="D10" s="26"/>
      <c r="E10" s="153" t="s">
        <v>3067</v>
      </c>
      <c r="F10" s="27" t="s">
        <v>3068</v>
      </c>
      <c r="G10" s="26" t="s">
        <v>3069</v>
      </c>
      <c r="H10" s="28">
        <v>500000</v>
      </c>
      <c r="I10" s="28"/>
    </row>
    <row r="11" spans="1:9">
      <c r="A11" s="26"/>
      <c r="B11" s="26"/>
      <c r="C11" s="26"/>
      <c r="D11" s="26"/>
      <c r="E11" s="153" t="s">
        <v>3070</v>
      </c>
      <c r="F11" s="27" t="s">
        <v>3071</v>
      </c>
      <c r="G11" s="26" t="s">
        <v>1347</v>
      </c>
      <c r="H11" s="28">
        <v>1000000</v>
      </c>
      <c r="I11" s="28"/>
    </row>
    <row r="12" spans="1:9">
      <c r="A12" s="26"/>
      <c r="B12" s="26"/>
      <c r="C12" s="26"/>
      <c r="D12" s="26"/>
      <c r="E12" s="153" t="s">
        <v>3072</v>
      </c>
      <c r="F12" s="27" t="s">
        <v>1950</v>
      </c>
      <c r="G12" s="26" t="s">
        <v>2798</v>
      </c>
      <c r="H12" s="28">
        <v>1100000</v>
      </c>
      <c r="I12" s="28"/>
    </row>
    <row r="13" spans="1:9">
      <c r="A13" s="26"/>
      <c r="B13" s="26"/>
      <c r="C13" s="26"/>
      <c r="D13" s="26"/>
      <c r="E13" s="153" t="s">
        <v>3073</v>
      </c>
      <c r="F13" s="27" t="s">
        <v>3074</v>
      </c>
      <c r="G13" s="26" t="s">
        <v>2484</v>
      </c>
      <c r="H13" s="28">
        <v>1800000</v>
      </c>
      <c r="I13" s="28"/>
    </row>
    <row r="14" spans="1:9">
      <c r="A14" s="26"/>
      <c r="B14" s="26"/>
      <c r="C14" s="26"/>
      <c r="D14" s="26"/>
      <c r="E14" s="153" t="s">
        <v>3075</v>
      </c>
      <c r="F14" s="27" t="s">
        <v>3076</v>
      </c>
      <c r="G14" s="26" t="s">
        <v>2755</v>
      </c>
      <c r="H14" s="28">
        <v>600000</v>
      </c>
      <c r="I14" s="28"/>
    </row>
    <row r="15" spans="1:9">
      <c r="A15" s="26"/>
      <c r="B15" s="26"/>
      <c r="C15" s="26"/>
      <c r="D15" s="26"/>
      <c r="E15" s="153" t="s">
        <v>3077</v>
      </c>
      <c r="F15" s="27" t="s">
        <v>3078</v>
      </c>
      <c r="G15" s="26" t="s">
        <v>955</v>
      </c>
      <c r="H15" s="28">
        <v>1200000</v>
      </c>
      <c r="I15" s="28"/>
    </row>
    <row r="16" spans="1:9">
      <c r="A16" s="26"/>
      <c r="B16" s="26"/>
      <c r="C16" s="26"/>
      <c r="D16" s="26"/>
      <c r="E16" s="26" t="s">
        <v>3079</v>
      </c>
      <c r="F16" s="27" t="s">
        <v>3080</v>
      </c>
      <c r="G16" s="26" t="s">
        <v>2287</v>
      </c>
      <c r="H16" s="28">
        <v>600000</v>
      </c>
      <c r="I16" s="28"/>
    </row>
    <row r="17" spans="1:9">
      <c r="A17" s="26"/>
      <c r="B17" s="26"/>
      <c r="C17" s="26"/>
      <c r="D17" s="26"/>
      <c r="E17" s="152" t="s">
        <v>3081</v>
      </c>
      <c r="F17" s="27" t="s">
        <v>3080</v>
      </c>
      <c r="G17" s="26" t="s">
        <v>2287</v>
      </c>
      <c r="H17" s="28">
        <v>600000</v>
      </c>
      <c r="I17" s="28"/>
    </row>
    <row r="18" spans="1:9">
      <c r="A18" s="26"/>
      <c r="B18" s="26"/>
      <c r="C18" s="26"/>
      <c r="D18" s="26"/>
      <c r="E18" s="153"/>
      <c r="F18" s="27"/>
      <c r="G18" s="26"/>
      <c r="H18" s="28"/>
      <c r="I18" s="28"/>
    </row>
    <row r="19" spans="1:9">
      <c r="A19" s="26"/>
      <c r="B19" s="26"/>
      <c r="C19" s="26"/>
      <c r="D19" s="26"/>
      <c r="E19" s="153"/>
      <c r="F19" s="27"/>
      <c r="G19" s="26"/>
      <c r="H19" s="28"/>
      <c r="I19" s="28"/>
    </row>
    <row r="20" spans="1:9">
      <c r="A20" s="26"/>
      <c r="B20" s="26"/>
      <c r="C20" s="26"/>
      <c r="D20" s="26"/>
      <c r="E20" s="26"/>
      <c r="F20" s="28"/>
      <c r="G20" s="26"/>
      <c r="H20" s="313">
        <f>SUM(H4:H19)</f>
        <v>10900000</v>
      </c>
      <c r="I20" s="28"/>
    </row>
    <row r="23" spans="1:9">
      <c r="A23" s="644" t="s">
        <v>3051</v>
      </c>
      <c r="B23" s="644"/>
      <c r="C23" s="644"/>
      <c r="D23" s="644"/>
      <c r="E23" s="644"/>
      <c r="F23" s="644"/>
      <c r="G23" s="644"/>
      <c r="H23" s="644"/>
      <c r="I23" s="644"/>
    </row>
    <row r="24" spans="1:9" ht="43.5">
      <c r="A24" s="33" t="s">
        <v>11</v>
      </c>
      <c r="B24" s="145" t="s">
        <v>697</v>
      </c>
      <c r="C24" s="145" t="s">
        <v>12</v>
      </c>
      <c r="D24" s="145" t="s">
        <v>894</v>
      </c>
      <c r="E24" s="33" t="s">
        <v>699</v>
      </c>
      <c r="F24" s="33" t="s">
        <v>657</v>
      </c>
      <c r="G24" s="145" t="s">
        <v>700</v>
      </c>
      <c r="H24" s="33" t="s">
        <v>660</v>
      </c>
      <c r="I24" s="33" t="s">
        <v>27</v>
      </c>
    </row>
    <row r="25" spans="1:9">
      <c r="A25" s="26">
        <v>1</v>
      </c>
      <c r="B25" s="26" t="s">
        <v>152</v>
      </c>
      <c r="C25" s="26" t="s">
        <v>290</v>
      </c>
      <c r="D25" s="26" t="s">
        <v>3052</v>
      </c>
      <c r="E25" s="26" t="s">
        <v>3079</v>
      </c>
      <c r="F25" s="27" t="s">
        <v>3080</v>
      </c>
      <c r="G25" s="26" t="s">
        <v>2287</v>
      </c>
      <c r="H25" s="28">
        <v>600000</v>
      </c>
      <c r="I25" s="28"/>
    </row>
    <row r="26" spans="1:9">
      <c r="A26" s="26"/>
      <c r="B26" s="26"/>
      <c r="C26" s="26"/>
      <c r="D26" s="26"/>
      <c r="E26" s="152" t="s">
        <v>3081</v>
      </c>
      <c r="F26" s="27" t="s">
        <v>3080</v>
      </c>
      <c r="G26" s="26" t="s">
        <v>2287</v>
      </c>
      <c r="H26" s="28">
        <v>600000</v>
      </c>
      <c r="I26" s="28"/>
    </row>
    <row r="27" spans="1:9">
      <c r="A27" s="26"/>
      <c r="B27" s="26"/>
      <c r="C27" s="26"/>
      <c r="D27" s="26"/>
      <c r="E27" s="153"/>
      <c r="F27" s="27"/>
      <c r="G27" s="151"/>
      <c r="H27" s="28"/>
      <c r="I27" s="28"/>
    </row>
    <row r="28" spans="1:9">
      <c r="A28" s="26"/>
      <c r="B28" s="26"/>
      <c r="C28" s="26"/>
      <c r="D28" s="26"/>
      <c r="E28" s="153"/>
      <c r="F28" s="27"/>
      <c r="G28" s="26"/>
      <c r="H28" s="28"/>
      <c r="I28" s="28"/>
    </row>
    <row r="29" spans="1:9">
      <c r="A29" s="26"/>
      <c r="B29" s="26"/>
      <c r="C29" s="26"/>
      <c r="D29" s="26"/>
      <c r="E29" s="153"/>
      <c r="F29" s="27"/>
      <c r="G29" s="26"/>
      <c r="H29" s="28"/>
      <c r="I29" s="28"/>
    </row>
    <row r="30" spans="1:9">
      <c r="A30" s="26"/>
      <c r="B30" s="26"/>
      <c r="C30" s="26"/>
      <c r="D30" s="26"/>
      <c r="E30" s="153"/>
      <c r="F30" s="27"/>
      <c r="G30" s="26"/>
      <c r="H30" s="28"/>
      <c r="I30" s="28"/>
    </row>
    <row r="31" spans="1:9">
      <c r="A31" s="26"/>
      <c r="B31" s="26"/>
      <c r="C31" s="26"/>
      <c r="D31" s="26"/>
      <c r="E31" s="153"/>
      <c r="F31" s="27"/>
      <c r="G31" s="26"/>
      <c r="H31" s="28"/>
      <c r="I31" s="28"/>
    </row>
    <row r="32" spans="1:9">
      <c r="A32" s="26"/>
      <c r="B32" s="26"/>
      <c r="C32" s="26"/>
      <c r="D32" s="26"/>
      <c r="E32" s="153"/>
      <c r="F32" s="27"/>
      <c r="G32" s="26"/>
      <c r="H32" s="28"/>
      <c r="I32" s="28"/>
    </row>
    <row r="33" spans="1:9">
      <c r="A33" s="26"/>
      <c r="B33" s="26"/>
      <c r="C33" s="26"/>
      <c r="D33" s="26"/>
      <c r="E33" s="153"/>
      <c r="F33" s="27"/>
      <c r="G33" s="26"/>
      <c r="H33" s="28"/>
      <c r="I33" s="28"/>
    </row>
    <row r="34" spans="1:9">
      <c r="A34" s="26"/>
      <c r="B34" s="26"/>
      <c r="C34" s="26"/>
      <c r="D34" s="26"/>
      <c r="E34" s="153"/>
      <c r="F34" s="27"/>
      <c r="G34" s="26"/>
      <c r="H34" s="28"/>
      <c r="I34" s="28"/>
    </row>
    <row r="35" spans="1:9">
      <c r="A35" s="26"/>
      <c r="B35" s="26"/>
      <c r="C35" s="26"/>
      <c r="D35" s="26"/>
      <c r="E35" s="153"/>
      <c r="F35" s="27"/>
      <c r="G35" s="26"/>
      <c r="H35" s="28">
        <f>SUM(H25:H34)</f>
        <v>1200000</v>
      </c>
      <c r="I35" s="28"/>
    </row>
    <row r="40" spans="1:9">
      <c r="A40" s="644" t="s">
        <v>3082</v>
      </c>
      <c r="B40" s="644"/>
      <c r="C40" s="644"/>
      <c r="D40" s="644"/>
      <c r="E40" s="644"/>
      <c r="F40" s="644"/>
      <c r="G40" s="644"/>
      <c r="H40" s="644"/>
      <c r="I40" s="644"/>
    </row>
    <row r="41" spans="1:9" ht="43.5">
      <c r="A41" s="33" t="s">
        <v>11</v>
      </c>
      <c r="B41" s="145" t="s">
        <v>697</v>
      </c>
      <c r="C41" s="145" t="s">
        <v>12</v>
      </c>
      <c r="D41" s="145" t="s">
        <v>894</v>
      </c>
      <c r="E41" s="33" t="s">
        <v>699</v>
      </c>
      <c r="F41" s="33" t="s">
        <v>657</v>
      </c>
      <c r="G41" s="145" t="s">
        <v>700</v>
      </c>
      <c r="H41" s="33" t="s">
        <v>660</v>
      </c>
      <c r="I41" s="33" t="s">
        <v>27</v>
      </c>
    </row>
    <row r="42" spans="1:9">
      <c r="A42" s="26">
        <v>1</v>
      </c>
      <c r="B42" s="26" t="s">
        <v>152</v>
      </c>
      <c r="C42" s="26" t="s">
        <v>290</v>
      </c>
      <c r="D42" s="26" t="s">
        <v>3052</v>
      </c>
      <c r="E42" s="26" t="s">
        <v>661</v>
      </c>
      <c r="F42" s="27" t="s">
        <v>3083</v>
      </c>
      <c r="G42" s="26" t="s">
        <v>3084</v>
      </c>
      <c r="H42" s="28">
        <v>800000</v>
      </c>
      <c r="I42" s="28" t="s">
        <v>3085</v>
      </c>
    </row>
    <row r="43" spans="1:9">
      <c r="A43" s="26"/>
      <c r="B43" s="26"/>
      <c r="C43" s="26"/>
      <c r="D43" s="26"/>
      <c r="E43" s="153" t="s">
        <v>3086</v>
      </c>
      <c r="F43" s="27" t="s">
        <v>3083</v>
      </c>
      <c r="G43" s="26" t="s">
        <v>3084</v>
      </c>
      <c r="H43" s="28">
        <v>800000</v>
      </c>
      <c r="I43" s="28" t="s">
        <v>3087</v>
      </c>
    </row>
    <row r="44" spans="1:9">
      <c r="A44" s="26"/>
      <c r="B44" s="26"/>
      <c r="C44" s="26"/>
      <c r="D44" s="26"/>
      <c r="E44" s="153" t="s">
        <v>2933</v>
      </c>
      <c r="F44" s="27"/>
      <c r="G44" s="151"/>
      <c r="H44" s="28"/>
      <c r="I44" s="424" t="s">
        <v>3088</v>
      </c>
    </row>
    <row r="45" spans="1:9">
      <c r="A45" s="26"/>
      <c r="B45" s="26"/>
      <c r="C45" s="26"/>
      <c r="D45" s="26"/>
      <c r="E45" s="153" t="s">
        <v>314</v>
      </c>
      <c r="F45" s="27"/>
      <c r="G45" s="26"/>
      <c r="H45" s="28"/>
      <c r="I45" s="424" t="s">
        <v>3088</v>
      </c>
    </row>
    <row r="46" spans="1:9">
      <c r="A46" s="26"/>
      <c r="B46" s="26"/>
      <c r="C46" s="26"/>
      <c r="D46" s="26"/>
      <c r="E46" s="153" t="s">
        <v>1327</v>
      </c>
      <c r="F46" s="27"/>
      <c r="G46" s="26"/>
      <c r="H46" s="28"/>
      <c r="I46" s="424" t="s">
        <v>3088</v>
      </c>
    </row>
    <row r="47" spans="1:9">
      <c r="A47" s="26"/>
      <c r="B47" s="26"/>
      <c r="C47" s="26"/>
      <c r="D47" s="26"/>
      <c r="E47" s="153" t="s">
        <v>3089</v>
      </c>
      <c r="F47" s="27" t="s">
        <v>3090</v>
      </c>
      <c r="G47" s="26" t="s">
        <v>3091</v>
      </c>
      <c r="H47" s="28">
        <v>800000</v>
      </c>
      <c r="I47" s="28" t="s">
        <v>3092</v>
      </c>
    </row>
    <row r="48" spans="1:9">
      <c r="A48" s="26"/>
      <c r="B48" s="26"/>
      <c r="C48" s="26"/>
      <c r="D48" s="26"/>
      <c r="E48" s="153" t="s">
        <v>3093</v>
      </c>
      <c r="F48" s="27" t="s">
        <v>3090</v>
      </c>
      <c r="G48" s="26" t="s">
        <v>3091</v>
      </c>
      <c r="H48" s="28">
        <v>400000</v>
      </c>
      <c r="I48" s="28"/>
    </row>
    <row r="49" spans="1:9">
      <c r="A49" s="26"/>
      <c r="B49" s="26"/>
      <c r="C49" s="26"/>
      <c r="D49" s="26"/>
      <c r="E49" s="153" t="s">
        <v>684</v>
      </c>
      <c r="F49" s="27"/>
      <c r="G49" s="26"/>
      <c r="H49" s="28">
        <v>-800000</v>
      </c>
      <c r="I49" s="424" t="s">
        <v>3094</v>
      </c>
    </row>
    <row r="50" spans="1:9">
      <c r="A50" s="26"/>
      <c r="B50" s="26"/>
      <c r="C50" s="26"/>
      <c r="D50" s="26"/>
      <c r="E50" s="153"/>
      <c r="F50" s="27"/>
      <c r="G50" s="26"/>
      <c r="H50" s="28"/>
      <c r="I50" s="28"/>
    </row>
    <row r="51" spans="1:9">
      <c r="A51" s="26"/>
      <c r="B51" s="26"/>
      <c r="C51" s="26"/>
      <c r="D51" s="26"/>
      <c r="E51" s="153"/>
      <c r="F51" s="27"/>
      <c r="G51" s="26"/>
      <c r="H51" s="28"/>
      <c r="I51" s="28"/>
    </row>
    <row r="52" spans="1:9">
      <c r="A52" s="26"/>
      <c r="B52" s="26"/>
      <c r="C52" s="26"/>
      <c r="D52" s="26"/>
      <c r="E52" s="153"/>
      <c r="F52" s="27"/>
      <c r="G52" s="26"/>
      <c r="H52" s="28">
        <f>SUM(H42:H51)</f>
        <v>2000000</v>
      </c>
      <c r="I52" s="28"/>
    </row>
    <row r="54" spans="1:9">
      <c r="H54" s="234"/>
    </row>
    <row r="55" spans="1:9">
      <c r="A55" s="644" t="s">
        <v>3095</v>
      </c>
      <c r="B55" s="644"/>
      <c r="C55" s="644"/>
      <c r="D55" s="644"/>
      <c r="E55" s="644"/>
      <c r="F55" s="644"/>
      <c r="G55" s="644"/>
      <c r="H55" s="644"/>
      <c r="I55" s="644"/>
    </row>
    <row r="56" spans="1:9" ht="50.45" customHeight="1">
      <c r="A56" s="33" t="s">
        <v>11</v>
      </c>
      <c r="B56" s="145" t="s">
        <v>697</v>
      </c>
      <c r="C56" s="145" t="s">
        <v>12</v>
      </c>
      <c r="D56" s="145" t="s">
        <v>894</v>
      </c>
      <c r="E56" s="33" t="s">
        <v>699</v>
      </c>
      <c r="F56" s="33" t="s">
        <v>657</v>
      </c>
      <c r="G56" s="145" t="s">
        <v>700</v>
      </c>
      <c r="H56" s="33" t="s">
        <v>660</v>
      </c>
      <c r="I56" s="33" t="s">
        <v>27</v>
      </c>
    </row>
    <row r="57" spans="1:9" ht="18.600000000000001" customHeight="1">
      <c r="A57" s="26">
        <v>1</v>
      </c>
      <c r="B57" s="26" t="s">
        <v>152</v>
      </c>
      <c r="C57" s="26" t="s">
        <v>290</v>
      </c>
      <c r="D57" s="26" t="s">
        <v>3052</v>
      </c>
      <c r="E57" s="26" t="s">
        <v>661</v>
      </c>
      <c r="F57" s="27" t="s">
        <v>3096</v>
      </c>
      <c r="G57" s="26" t="s">
        <v>3097</v>
      </c>
      <c r="H57" s="28">
        <v>800000</v>
      </c>
      <c r="I57" s="28" t="s">
        <v>891</v>
      </c>
    </row>
    <row r="58" spans="1:9" ht="18.600000000000001" customHeight="1">
      <c r="A58" s="26"/>
      <c r="B58" s="26"/>
      <c r="C58" s="26"/>
      <c r="D58" s="26"/>
      <c r="E58" s="153" t="s">
        <v>294</v>
      </c>
      <c r="F58" s="27" t="s">
        <v>3096</v>
      </c>
      <c r="G58" s="26" t="s">
        <v>3097</v>
      </c>
      <c r="H58" s="28">
        <v>2400000</v>
      </c>
      <c r="I58" s="28" t="s">
        <v>891</v>
      </c>
    </row>
    <row r="59" spans="1:9" ht="18.600000000000001" customHeight="1">
      <c r="A59" s="26"/>
      <c r="B59" s="26"/>
      <c r="C59" s="26"/>
      <c r="D59" s="26"/>
      <c r="E59" s="153"/>
      <c r="F59" s="27"/>
      <c r="G59" s="151"/>
      <c r="H59" s="28"/>
      <c r="I59" s="424"/>
    </row>
    <row r="60" spans="1:9" ht="18.600000000000001" customHeight="1">
      <c r="A60" s="26"/>
      <c r="B60" s="26"/>
      <c r="C60" s="26"/>
      <c r="D60" s="26"/>
      <c r="E60" s="153"/>
      <c r="F60" s="27"/>
      <c r="G60" s="26"/>
      <c r="H60" s="28"/>
      <c r="I60" s="424"/>
    </row>
    <row r="61" spans="1:9" ht="18.600000000000001" customHeight="1">
      <c r="A61" s="26"/>
      <c r="B61" s="26"/>
      <c r="C61" s="26"/>
      <c r="D61" s="26"/>
      <c r="E61" s="153"/>
      <c r="F61" s="27"/>
      <c r="G61" s="26"/>
      <c r="H61" s="28"/>
      <c r="I61" s="424"/>
    </row>
    <row r="62" spans="1:9" ht="18.600000000000001" customHeight="1">
      <c r="A62" s="26"/>
      <c r="B62" s="26"/>
      <c r="C62" s="26"/>
      <c r="D62" s="26"/>
      <c r="E62" s="153"/>
      <c r="F62" s="27"/>
      <c r="G62" s="26"/>
      <c r="H62" s="28"/>
      <c r="I62" s="28"/>
    </row>
    <row r="63" spans="1:9" ht="18.600000000000001" customHeight="1">
      <c r="A63" s="26"/>
      <c r="B63" s="26"/>
      <c r="C63" s="26"/>
      <c r="D63" s="26"/>
      <c r="E63" s="153"/>
      <c r="F63" s="27"/>
      <c r="G63" s="26"/>
      <c r="H63" s="28"/>
      <c r="I63" s="28"/>
    </row>
    <row r="64" spans="1:9" ht="18.600000000000001" customHeight="1">
      <c r="A64" s="26"/>
      <c r="B64" s="26"/>
      <c r="C64" s="26"/>
      <c r="D64" s="26"/>
      <c r="E64" s="153"/>
      <c r="F64" s="27"/>
      <c r="G64" s="26"/>
      <c r="H64" s="28"/>
      <c r="I64" s="424"/>
    </row>
    <row r="65" spans="1:9" ht="18.600000000000001" customHeight="1">
      <c r="A65" s="26"/>
      <c r="B65" s="26"/>
      <c r="C65" s="26"/>
      <c r="D65" s="26"/>
      <c r="E65" s="153"/>
      <c r="F65" s="27"/>
      <c r="G65" s="26"/>
      <c r="H65" s="28"/>
      <c r="I65" s="28"/>
    </row>
    <row r="66" spans="1:9" ht="18.600000000000001" customHeight="1">
      <c r="A66" s="26"/>
      <c r="B66" s="26"/>
      <c r="C66" s="26"/>
      <c r="D66" s="26"/>
      <c r="E66" s="153"/>
      <c r="F66" s="27"/>
      <c r="G66" s="26"/>
      <c r="H66" s="28"/>
      <c r="I66" s="28"/>
    </row>
    <row r="67" spans="1:9" ht="15.6" customHeight="1">
      <c r="A67" s="26"/>
      <c r="B67" s="26"/>
      <c r="C67" s="26"/>
      <c r="D67" s="26"/>
      <c r="E67" s="153"/>
      <c r="F67" s="27"/>
      <c r="G67" s="26"/>
      <c r="H67" s="28">
        <f>SUM(H57:H66)</f>
        <v>3200000</v>
      </c>
      <c r="I67" s="28"/>
    </row>
  </sheetData>
  <mergeCells count="4">
    <mergeCell ref="A2:I2"/>
    <mergeCell ref="A23:I23"/>
    <mergeCell ref="A40:I40"/>
    <mergeCell ref="A55:I55"/>
  </mergeCells>
  <hyperlinks>
    <hyperlink ref="A1" location="Name!A1" display="Name!A1" xr:uid="{B58B66C9-9490-4E4B-8378-2EB65DB86962}"/>
  </hyperlink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E3F7-3239-4CB1-A68E-7D04A7B35582}">
  <dimension ref="A1:N24"/>
  <sheetViews>
    <sheetView workbookViewId="0">
      <selection activeCell="C1" sqref="C1"/>
    </sheetView>
  </sheetViews>
  <sheetFormatPr defaultRowHeight="15"/>
  <cols>
    <col min="3" max="3" width="19.42578125" customWidth="1"/>
    <col min="4" max="4" width="14" customWidth="1"/>
    <col min="5" max="5" width="27.140625" customWidth="1"/>
    <col min="6" max="6" width="9.7109375" customWidth="1"/>
    <col min="7" max="7" width="14.42578125" customWidth="1"/>
    <col min="8" max="8" width="17.85546875" customWidth="1"/>
    <col min="9" max="9" width="23.85546875" customWidth="1"/>
  </cols>
  <sheetData>
    <row r="1" spans="1:14">
      <c r="A1" s="410" t="s">
        <v>648</v>
      </c>
      <c r="C1" s="410" t="s">
        <v>648</v>
      </c>
    </row>
    <row r="2" spans="1:14" ht="18.75">
      <c r="A2" s="651" t="s">
        <v>3098</v>
      </c>
      <c r="B2" s="651"/>
      <c r="C2" s="651"/>
      <c r="D2" s="651"/>
      <c r="E2" s="651"/>
      <c r="F2" s="651"/>
      <c r="G2" s="651"/>
      <c r="H2" s="651"/>
      <c r="I2" s="651"/>
    </row>
    <row r="3" spans="1:14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4" ht="27.75" customHeight="1">
      <c r="A4" s="18">
        <v>1</v>
      </c>
      <c r="B4" s="18"/>
      <c r="C4" s="18" t="s">
        <v>286</v>
      </c>
      <c r="D4" s="18" t="s">
        <v>284</v>
      </c>
      <c r="E4" s="18" t="s">
        <v>703</v>
      </c>
      <c r="F4" s="20" t="s">
        <v>3099</v>
      </c>
      <c r="G4" s="18" t="s">
        <v>3100</v>
      </c>
      <c r="H4" s="21">
        <v>500000</v>
      </c>
      <c r="I4" s="21"/>
    </row>
    <row r="5" spans="1:14" ht="27.75" customHeight="1">
      <c r="A5" s="18"/>
      <c r="B5" s="18"/>
      <c r="C5" s="18"/>
      <c r="D5" s="18"/>
      <c r="E5" s="18" t="s">
        <v>3101</v>
      </c>
      <c r="F5" s="20" t="s">
        <v>3099</v>
      </c>
      <c r="G5" s="18" t="s">
        <v>3100</v>
      </c>
      <c r="H5" s="21">
        <v>500000</v>
      </c>
      <c r="I5" s="21"/>
    </row>
    <row r="6" spans="1:14" ht="27.75" customHeight="1">
      <c r="A6" s="18"/>
      <c r="B6" s="18"/>
      <c r="C6" s="18"/>
      <c r="D6" s="18"/>
      <c r="E6" s="18" t="s">
        <v>3102</v>
      </c>
      <c r="F6" s="20" t="s">
        <v>3103</v>
      </c>
      <c r="G6" s="18" t="s">
        <v>3104</v>
      </c>
      <c r="H6" s="21">
        <v>500000</v>
      </c>
      <c r="I6" s="21"/>
      <c r="N6">
        <f>8*5+6</f>
        <v>46</v>
      </c>
    </row>
    <row r="7" spans="1:14" ht="27.75" customHeight="1">
      <c r="A7" s="18"/>
      <c r="B7" s="18"/>
      <c r="C7" s="18"/>
      <c r="D7" s="18"/>
      <c r="E7" s="18" t="s">
        <v>3105</v>
      </c>
      <c r="F7" s="20" t="s">
        <v>3106</v>
      </c>
      <c r="G7" s="18" t="s">
        <v>1057</v>
      </c>
      <c r="H7" s="21">
        <v>1000000</v>
      </c>
      <c r="I7" s="21"/>
    </row>
    <row r="8" spans="1:14" ht="27.75" customHeight="1">
      <c r="A8" s="18"/>
      <c r="B8" s="18"/>
      <c r="C8" s="18"/>
      <c r="D8" s="18"/>
      <c r="E8" s="18" t="s">
        <v>3107</v>
      </c>
      <c r="F8" s="20" t="s">
        <v>3108</v>
      </c>
      <c r="G8" s="18" t="s">
        <v>3109</v>
      </c>
      <c r="H8" s="21">
        <v>500000</v>
      </c>
      <c r="I8" s="21"/>
    </row>
    <row r="9" spans="1:14" ht="27.75" customHeight="1">
      <c r="A9" s="18"/>
      <c r="B9" s="18"/>
      <c r="C9" s="18"/>
      <c r="D9" s="18"/>
      <c r="E9" s="18" t="s">
        <v>3110</v>
      </c>
      <c r="F9" s="20" t="s">
        <v>3111</v>
      </c>
      <c r="G9" s="18" t="s">
        <v>2269</v>
      </c>
      <c r="H9" s="21">
        <v>1000000</v>
      </c>
      <c r="I9" s="21"/>
    </row>
    <row r="10" spans="1:14" ht="27.75" customHeight="1">
      <c r="A10" s="18"/>
      <c r="B10" s="18"/>
      <c r="C10" s="18"/>
      <c r="D10" s="18"/>
      <c r="E10" s="18" t="s">
        <v>850</v>
      </c>
      <c r="F10" s="20" t="s">
        <v>3112</v>
      </c>
      <c r="G10" s="18" t="s">
        <v>2619</v>
      </c>
      <c r="H10" s="21">
        <v>500000</v>
      </c>
      <c r="I10" s="21"/>
      <c r="J10" t="s">
        <v>3113</v>
      </c>
    </row>
    <row r="11" spans="1:14" ht="27.75" customHeight="1">
      <c r="A11" s="18"/>
      <c r="B11" s="18"/>
      <c r="C11" s="18"/>
      <c r="D11" s="18"/>
      <c r="E11" s="18" t="s">
        <v>1303</v>
      </c>
      <c r="F11" s="20" t="s">
        <v>3114</v>
      </c>
      <c r="G11" s="18" t="s">
        <v>2619</v>
      </c>
      <c r="H11" s="21">
        <v>600000</v>
      </c>
      <c r="I11" s="21"/>
      <c r="J11" t="s">
        <v>3115</v>
      </c>
    </row>
    <row r="12" spans="1:14" ht="27.75" customHeight="1">
      <c r="A12" s="18"/>
      <c r="B12" s="18"/>
      <c r="C12" s="18"/>
      <c r="D12" s="18"/>
      <c r="E12" s="18" t="s">
        <v>2521</v>
      </c>
      <c r="F12" s="20" t="s">
        <v>3116</v>
      </c>
      <c r="G12" s="18" t="s">
        <v>721</v>
      </c>
      <c r="H12" s="21">
        <v>600000</v>
      </c>
      <c r="I12" s="21"/>
      <c r="J12" t="s">
        <v>3117</v>
      </c>
    </row>
    <row r="13" spans="1:14" ht="27.75" customHeight="1">
      <c r="A13" s="18"/>
      <c r="B13" s="18"/>
      <c r="C13" s="18"/>
      <c r="D13" s="18"/>
      <c r="E13" s="18" t="s">
        <v>3118</v>
      </c>
      <c r="F13" s="20" t="s">
        <v>3119</v>
      </c>
      <c r="G13" s="18" t="s">
        <v>3120</v>
      </c>
      <c r="H13" s="21">
        <v>600000</v>
      </c>
      <c r="I13" s="21"/>
      <c r="J13" t="s">
        <v>3121</v>
      </c>
    </row>
    <row r="14" spans="1:14" ht="27.75" customHeight="1">
      <c r="A14" s="18"/>
      <c r="B14" s="18"/>
      <c r="C14" s="18"/>
      <c r="D14" s="18"/>
      <c r="E14" s="18" t="s">
        <v>3122</v>
      </c>
      <c r="F14" s="20" t="s">
        <v>3123</v>
      </c>
      <c r="G14" s="18" t="s">
        <v>3124</v>
      </c>
      <c r="H14" s="21">
        <v>600000</v>
      </c>
      <c r="I14" s="21"/>
    </row>
    <row r="15" spans="1:14" ht="27.75" customHeight="1">
      <c r="A15" s="18"/>
      <c r="B15" s="18"/>
      <c r="C15" s="18"/>
      <c r="D15" s="18"/>
      <c r="E15" s="18" t="s">
        <v>3125</v>
      </c>
      <c r="F15" s="20" t="s">
        <v>3126</v>
      </c>
      <c r="G15" s="18" t="s">
        <v>938</v>
      </c>
      <c r="H15" s="21">
        <v>1200000</v>
      </c>
      <c r="I15" s="21" t="s">
        <v>664</v>
      </c>
    </row>
    <row r="16" spans="1:14" ht="27.75" customHeight="1">
      <c r="A16" s="18"/>
      <c r="B16" s="18"/>
      <c r="C16" s="18"/>
      <c r="D16" s="18"/>
      <c r="E16" s="18" t="s">
        <v>864</v>
      </c>
      <c r="F16" s="20" t="s">
        <v>3127</v>
      </c>
      <c r="G16" s="18" t="s">
        <v>3003</v>
      </c>
      <c r="H16" s="21">
        <v>800000</v>
      </c>
      <c r="I16" s="21" t="s">
        <v>664</v>
      </c>
    </row>
    <row r="17" spans="1:9" ht="27.75" customHeight="1">
      <c r="A17" s="18"/>
      <c r="B17" s="18"/>
      <c r="C17" s="18"/>
      <c r="D17" s="18"/>
      <c r="E17" s="18" t="s">
        <v>2533</v>
      </c>
      <c r="F17" s="20" t="s">
        <v>3127</v>
      </c>
      <c r="G17" s="18" t="s">
        <v>3003</v>
      </c>
      <c r="H17" s="21">
        <v>800000</v>
      </c>
      <c r="I17" s="21" t="s">
        <v>664</v>
      </c>
    </row>
    <row r="18" spans="1:9" ht="27.75" customHeight="1">
      <c r="A18" s="18"/>
      <c r="B18" s="18"/>
      <c r="C18" s="18"/>
      <c r="D18" s="18"/>
      <c r="E18" s="18" t="s">
        <v>3128</v>
      </c>
      <c r="F18" s="20" t="s">
        <v>3129</v>
      </c>
      <c r="G18" s="18" t="s">
        <v>3130</v>
      </c>
      <c r="H18" s="21">
        <v>1600000</v>
      </c>
      <c r="I18" s="21" t="s">
        <v>768</v>
      </c>
    </row>
    <row r="19" spans="1:9" ht="27.75" customHeight="1">
      <c r="A19" s="18"/>
      <c r="B19" s="18"/>
      <c r="C19" s="18"/>
      <c r="D19" s="18"/>
      <c r="E19" s="18" t="s">
        <v>288</v>
      </c>
      <c r="F19" s="20" t="s">
        <v>3131</v>
      </c>
      <c r="G19" s="18" t="s">
        <v>3132</v>
      </c>
      <c r="H19" s="21">
        <v>3200000</v>
      </c>
      <c r="I19" s="21" t="s">
        <v>891</v>
      </c>
    </row>
    <row r="20" spans="1:9" ht="27.75" customHeight="1">
      <c r="A20" s="18"/>
      <c r="B20" s="18"/>
      <c r="C20" s="18"/>
      <c r="D20" s="18"/>
      <c r="E20" s="18"/>
      <c r="F20" s="20"/>
      <c r="G20" s="18"/>
      <c r="H20" s="21"/>
      <c r="I20" s="21"/>
    </row>
    <row r="21" spans="1:9" ht="27.75" customHeight="1">
      <c r="A21" s="18"/>
      <c r="B21" s="18"/>
      <c r="C21" s="18"/>
      <c r="D21" s="18"/>
      <c r="E21" s="18"/>
      <c r="F21" s="20"/>
      <c r="G21" s="18"/>
      <c r="H21" s="21"/>
      <c r="I21" s="21"/>
    </row>
    <row r="22" spans="1:9" ht="27.75" customHeight="1">
      <c r="A22" s="18"/>
      <c r="B22" s="18"/>
      <c r="C22" s="18"/>
      <c r="D22" s="18"/>
      <c r="E22" s="18"/>
      <c r="F22" s="21"/>
      <c r="G22" s="18"/>
      <c r="H22" s="50">
        <f>SUM(H4:H21)</f>
        <v>14500000</v>
      </c>
      <c r="I22" s="21"/>
    </row>
    <row r="23" spans="1:9" ht="27.75" customHeight="1"/>
    <row r="24" spans="1:9" ht="27.75" customHeight="1"/>
  </sheetData>
  <mergeCells count="1">
    <mergeCell ref="A2:I2"/>
  </mergeCells>
  <hyperlinks>
    <hyperlink ref="A1" location="Name!A1" display="Name!A1" xr:uid="{9BABB177-2FF2-40F5-904D-994B238170DA}"/>
    <hyperlink ref="C1" location="Name!A1" display="Name!A1" xr:uid="{65F2EED4-67F0-44B2-AF31-5FDD22546BBB}"/>
  </hyperlink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4AE6-1C6C-4FCD-9183-24C0F787613F}">
  <dimension ref="A1:M75"/>
  <sheetViews>
    <sheetView workbookViewId="0"/>
  </sheetViews>
  <sheetFormatPr defaultRowHeight="15"/>
  <cols>
    <col min="3" max="3" width="18" customWidth="1"/>
    <col min="4" max="4" width="23.28515625" customWidth="1"/>
    <col min="5" max="5" width="22.28515625" customWidth="1"/>
    <col min="7" max="7" width="18.140625" customWidth="1"/>
    <col min="8" max="8" width="19.140625" customWidth="1"/>
    <col min="9" max="9" width="19.28515625" customWidth="1"/>
    <col min="10" max="10" width="45.28515625" customWidth="1"/>
    <col min="11" max="11" width="8.85546875" customWidth="1"/>
    <col min="12" max="12" width="31.5703125" customWidth="1"/>
    <col min="13" max="13" width="19.28515625" style="328" customWidth="1"/>
  </cols>
  <sheetData>
    <row r="1" spans="1:10">
      <c r="A1" s="410" t="s">
        <v>648</v>
      </c>
    </row>
    <row r="2" spans="1:10" ht="18">
      <c r="A2" s="726" t="s">
        <v>3133</v>
      </c>
      <c r="B2" s="726"/>
      <c r="C2" s="726"/>
      <c r="D2" s="726"/>
      <c r="E2" s="726"/>
      <c r="F2" s="726"/>
      <c r="G2" s="726"/>
      <c r="H2" s="726"/>
      <c r="I2" s="726"/>
      <c r="J2" s="310"/>
    </row>
    <row r="3" spans="1:10" ht="28.5">
      <c r="A3" s="16" t="s">
        <v>11</v>
      </c>
      <c r="B3" s="17" t="s">
        <v>697</v>
      </c>
      <c r="C3" s="17" t="s">
        <v>12</v>
      </c>
      <c r="D3" s="17" t="s">
        <v>894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  <c r="J3" s="311"/>
    </row>
    <row r="4" spans="1:10" ht="29.25" customHeight="1">
      <c r="A4" s="18">
        <v>1</v>
      </c>
      <c r="B4" s="18" t="s">
        <v>152</v>
      </c>
      <c r="C4" s="18" t="s">
        <v>278</v>
      </c>
      <c r="D4" s="34" t="s">
        <v>280</v>
      </c>
      <c r="E4" s="34" t="s">
        <v>3134</v>
      </c>
      <c r="F4" s="20" t="s">
        <v>2488</v>
      </c>
      <c r="G4" s="18" t="s">
        <v>3135</v>
      </c>
      <c r="H4" s="21">
        <v>500000</v>
      </c>
      <c r="I4" s="21"/>
      <c r="J4" s="312"/>
    </row>
    <row r="5" spans="1:10" ht="29.25" customHeight="1">
      <c r="A5" s="18"/>
      <c r="B5" s="18"/>
      <c r="C5" s="18"/>
      <c r="D5" s="224"/>
      <c r="E5" s="19" t="s">
        <v>3136</v>
      </c>
      <c r="F5" s="20" t="s">
        <v>1779</v>
      </c>
      <c r="G5" s="18" t="s">
        <v>3137</v>
      </c>
      <c r="H5" s="21">
        <v>500000</v>
      </c>
      <c r="I5" s="21"/>
      <c r="J5" s="312"/>
    </row>
    <row r="6" spans="1:10" ht="29.25" customHeight="1">
      <c r="A6" s="18"/>
      <c r="B6" s="18"/>
      <c r="C6" s="18"/>
      <c r="D6" s="224"/>
      <c r="E6" s="22" t="s">
        <v>3138</v>
      </c>
      <c r="F6" s="20" t="s">
        <v>3139</v>
      </c>
      <c r="G6" s="164" t="s">
        <v>3140</v>
      </c>
      <c r="H6" s="21">
        <v>66000</v>
      </c>
      <c r="I6" s="21"/>
      <c r="J6" s="312"/>
    </row>
    <row r="7" spans="1:10" ht="29.25" customHeight="1">
      <c r="A7" s="18"/>
      <c r="B7" s="18"/>
      <c r="C7" s="18"/>
      <c r="D7" s="224"/>
      <c r="E7" s="22"/>
      <c r="F7" s="20"/>
      <c r="G7" s="18"/>
      <c r="H7" s="21"/>
      <c r="I7" s="21"/>
      <c r="J7" s="312"/>
    </row>
    <row r="8" spans="1:10" ht="29.25" customHeight="1">
      <c r="A8" s="18"/>
      <c r="B8" s="18"/>
      <c r="C8" s="18"/>
      <c r="D8" s="224"/>
      <c r="E8" s="22"/>
      <c r="F8" s="20"/>
      <c r="G8" s="18"/>
      <c r="H8" s="21"/>
      <c r="I8" s="21"/>
      <c r="J8" s="312"/>
    </row>
    <row r="9" spans="1:10" ht="29.25" customHeight="1">
      <c r="A9" s="18"/>
      <c r="B9" s="18"/>
      <c r="C9" s="18"/>
      <c r="D9" s="224"/>
      <c r="E9" s="22"/>
      <c r="F9" s="20"/>
      <c r="G9" s="18"/>
      <c r="H9" s="21"/>
      <c r="I9" s="21"/>
      <c r="J9" s="312"/>
    </row>
    <row r="10" spans="1:10" ht="29.25" customHeight="1">
      <c r="A10" s="18"/>
      <c r="B10" s="18"/>
      <c r="C10" s="18"/>
      <c r="D10" s="224"/>
      <c r="E10" s="22"/>
      <c r="F10" s="20"/>
      <c r="G10" s="18"/>
      <c r="H10" s="21"/>
      <c r="I10" s="21"/>
      <c r="J10" s="312"/>
    </row>
    <row r="11" spans="1:10" ht="29.25" customHeight="1">
      <c r="A11" s="18"/>
      <c r="B11" s="18"/>
      <c r="C11" s="18"/>
      <c r="D11" s="224"/>
      <c r="E11" s="22"/>
      <c r="F11" s="20"/>
      <c r="G11" s="18"/>
      <c r="H11" s="21"/>
      <c r="I11" s="21"/>
      <c r="J11" s="312"/>
    </row>
    <row r="12" spans="1:10" ht="29.25" customHeight="1">
      <c r="A12" s="18"/>
      <c r="B12" s="18"/>
      <c r="C12" s="18"/>
      <c r="D12" s="18"/>
      <c r="E12" s="18"/>
      <c r="F12" s="21"/>
      <c r="G12" s="18"/>
      <c r="H12" s="50">
        <f>SUM(H4:H11)</f>
        <v>1066000</v>
      </c>
      <c r="I12" s="21"/>
      <c r="J12" s="312"/>
    </row>
    <row r="13" spans="1:10" ht="29.25" customHeight="1"/>
    <row r="15" spans="1:10" ht="18">
      <c r="A15" s="726" t="s">
        <v>3141</v>
      </c>
      <c r="B15" s="726"/>
      <c r="C15" s="726"/>
      <c r="D15" s="726"/>
      <c r="E15" s="726"/>
      <c r="F15" s="726"/>
      <c r="G15" s="726"/>
      <c r="H15" s="726"/>
      <c r="I15" s="726"/>
      <c r="J15" s="310"/>
    </row>
    <row r="16" spans="1:10" ht="28.5">
      <c r="A16" s="16" t="s">
        <v>11</v>
      </c>
      <c r="B16" s="17" t="s">
        <v>697</v>
      </c>
      <c r="C16" s="17" t="s">
        <v>12</v>
      </c>
      <c r="D16" s="17" t="s">
        <v>894</v>
      </c>
      <c r="E16" s="16" t="s">
        <v>699</v>
      </c>
      <c r="F16" s="16" t="s">
        <v>657</v>
      </c>
      <c r="G16" s="17" t="s">
        <v>700</v>
      </c>
      <c r="H16" s="16" t="s">
        <v>660</v>
      </c>
      <c r="I16" s="16" t="s">
        <v>27</v>
      </c>
      <c r="J16" s="311"/>
    </row>
    <row r="17" spans="1:11" ht="34.5" customHeight="1">
      <c r="A17" s="18">
        <v>1</v>
      </c>
      <c r="B17" s="18" t="s">
        <v>152</v>
      </c>
      <c r="C17" s="18" t="s">
        <v>278</v>
      </c>
      <c r="D17" s="34" t="s">
        <v>280</v>
      </c>
      <c r="E17" s="34" t="s">
        <v>703</v>
      </c>
      <c r="F17" s="20" t="s">
        <v>3142</v>
      </c>
      <c r="G17" s="18" t="s">
        <v>3143</v>
      </c>
      <c r="H17" s="21">
        <v>500000</v>
      </c>
      <c r="I17" s="21"/>
      <c r="J17" s="312"/>
    </row>
    <row r="18" spans="1:11" ht="34.5" customHeight="1">
      <c r="A18" s="18"/>
      <c r="B18" s="18"/>
      <c r="C18" s="18"/>
      <c r="D18" s="224"/>
      <c r="E18" s="19" t="s">
        <v>3029</v>
      </c>
      <c r="F18" s="20" t="s">
        <v>3142</v>
      </c>
      <c r="G18" s="18" t="s">
        <v>3143</v>
      </c>
      <c r="H18" s="21">
        <v>500000</v>
      </c>
      <c r="I18" s="21"/>
      <c r="J18" s="312"/>
    </row>
    <row r="19" spans="1:11" ht="34.5" customHeight="1">
      <c r="A19" s="18"/>
      <c r="B19" s="18"/>
      <c r="C19" s="18"/>
      <c r="D19" s="224"/>
      <c r="E19" s="22" t="s">
        <v>3033</v>
      </c>
      <c r="F19" s="20" t="s">
        <v>3144</v>
      </c>
      <c r="G19" s="164" t="s">
        <v>3104</v>
      </c>
      <c r="H19" s="21">
        <v>500000</v>
      </c>
      <c r="I19" s="21"/>
      <c r="J19" s="727" t="s">
        <v>3145</v>
      </c>
    </row>
    <row r="20" spans="1:11" ht="34.5" customHeight="1">
      <c r="A20" s="18"/>
      <c r="B20" s="18"/>
      <c r="C20" s="18"/>
      <c r="D20" s="224"/>
      <c r="E20" s="22" t="s">
        <v>3146</v>
      </c>
      <c r="F20" s="20" t="s">
        <v>3144</v>
      </c>
      <c r="G20" s="164" t="s">
        <v>3104</v>
      </c>
      <c r="H20" s="21">
        <v>116900</v>
      </c>
      <c r="I20" s="21"/>
      <c r="J20" s="727"/>
      <c r="K20" t="s">
        <v>3147</v>
      </c>
    </row>
    <row r="21" spans="1:11" ht="34.5" customHeight="1">
      <c r="A21" s="18"/>
      <c r="B21" s="18"/>
      <c r="C21" s="18"/>
      <c r="D21" s="224"/>
      <c r="E21" s="22" t="s">
        <v>830</v>
      </c>
      <c r="F21" s="20" t="s">
        <v>3148</v>
      </c>
      <c r="G21" s="18" t="s">
        <v>3104</v>
      </c>
      <c r="H21" s="21">
        <v>500000</v>
      </c>
      <c r="I21" s="21"/>
      <c r="J21" s="727"/>
    </row>
    <row r="22" spans="1:11" ht="34.5" customHeight="1">
      <c r="A22" s="18"/>
      <c r="B22" s="18"/>
      <c r="C22" s="18"/>
      <c r="D22" s="224"/>
      <c r="E22" s="22" t="s">
        <v>3149</v>
      </c>
      <c r="F22" s="20"/>
      <c r="G22" s="18"/>
      <c r="H22" s="21"/>
      <c r="I22" s="21">
        <v>500000</v>
      </c>
      <c r="J22" s="312" t="s">
        <v>3150</v>
      </c>
    </row>
    <row r="23" spans="1:11" ht="34.5" customHeight="1">
      <c r="A23" s="18"/>
      <c r="B23" s="18"/>
      <c r="C23" s="18"/>
      <c r="D23" s="224"/>
      <c r="E23" s="22" t="s">
        <v>3151</v>
      </c>
      <c r="F23" s="20"/>
      <c r="G23" s="18"/>
      <c r="H23" s="21"/>
      <c r="I23" s="21">
        <v>500000</v>
      </c>
      <c r="J23" s="312"/>
    </row>
    <row r="24" spans="1:11" ht="34.5" customHeight="1">
      <c r="A24" s="18"/>
      <c r="B24" s="18"/>
      <c r="C24" s="18"/>
      <c r="D24" s="224"/>
      <c r="E24" s="22" t="s">
        <v>1066</v>
      </c>
      <c r="F24" s="20"/>
      <c r="G24" s="18"/>
      <c r="H24" s="21"/>
      <c r="I24" s="21">
        <v>-500000</v>
      </c>
      <c r="J24" s="312"/>
    </row>
    <row r="25" spans="1:11" ht="34.5" customHeight="1">
      <c r="A25" s="18"/>
      <c r="B25" s="18"/>
      <c r="C25" s="18"/>
      <c r="D25" s="18"/>
      <c r="E25" s="18"/>
      <c r="F25" s="21"/>
      <c r="G25" s="18"/>
      <c r="H25" s="50">
        <f>SUM(H17:H24)</f>
        <v>2116900</v>
      </c>
      <c r="I25" s="21"/>
      <c r="J25" s="312" t="s">
        <v>3150</v>
      </c>
    </row>
    <row r="29" spans="1:11" ht="18">
      <c r="A29" s="726" t="s">
        <v>3152</v>
      </c>
      <c r="B29" s="726"/>
      <c r="C29" s="726"/>
      <c r="D29" s="726"/>
      <c r="E29" s="726"/>
      <c r="F29" s="726"/>
      <c r="G29" s="726"/>
      <c r="H29" s="726"/>
      <c r="I29" s="726"/>
    </row>
    <row r="30" spans="1:11" ht="28.5">
      <c r="A30" s="16" t="s">
        <v>11</v>
      </c>
      <c r="B30" s="17" t="s">
        <v>697</v>
      </c>
      <c r="C30" s="17" t="s">
        <v>12</v>
      </c>
      <c r="D30" s="17" t="s">
        <v>894</v>
      </c>
      <c r="E30" s="16" t="s">
        <v>699</v>
      </c>
      <c r="F30" s="16" t="s">
        <v>657</v>
      </c>
      <c r="G30" s="17" t="s">
        <v>700</v>
      </c>
      <c r="H30" s="16" t="s">
        <v>660</v>
      </c>
      <c r="I30" s="16" t="s">
        <v>27</v>
      </c>
    </row>
    <row r="31" spans="1:11">
      <c r="A31" s="18">
        <v>1</v>
      </c>
      <c r="B31" s="18" t="s">
        <v>152</v>
      </c>
      <c r="C31" s="18" t="s">
        <v>278</v>
      </c>
      <c r="D31" s="34" t="s">
        <v>280</v>
      </c>
      <c r="E31" s="34" t="s">
        <v>703</v>
      </c>
      <c r="F31" s="20" t="s">
        <v>2266</v>
      </c>
      <c r="G31" s="18" t="s">
        <v>1065</v>
      </c>
      <c r="H31" s="21">
        <v>500000</v>
      </c>
      <c r="I31" s="21"/>
    </row>
    <row r="32" spans="1:11">
      <c r="A32" s="18"/>
      <c r="B32" s="18"/>
      <c r="C32" s="18"/>
      <c r="D32" s="224"/>
      <c r="E32" s="19" t="s">
        <v>3153</v>
      </c>
      <c r="F32" s="20" t="s">
        <v>2266</v>
      </c>
      <c r="G32" s="18" t="s">
        <v>1065</v>
      </c>
      <c r="H32" s="21">
        <v>333340</v>
      </c>
      <c r="I32" s="21"/>
    </row>
    <row r="33" spans="1:13">
      <c r="A33" s="18"/>
      <c r="B33" s="18"/>
      <c r="C33" s="18"/>
      <c r="D33" s="224"/>
      <c r="E33" s="22" t="s">
        <v>1066</v>
      </c>
      <c r="F33" s="20"/>
      <c r="G33" s="164"/>
      <c r="H33" s="21">
        <v>-500000</v>
      </c>
      <c r="I33" s="21"/>
      <c r="J33" t="s">
        <v>3150</v>
      </c>
    </row>
    <row r="34" spans="1:13">
      <c r="A34" s="18"/>
      <c r="B34" s="18"/>
      <c r="C34" s="18"/>
      <c r="D34" s="224"/>
      <c r="E34" s="22"/>
      <c r="F34" s="20"/>
      <c r="G34" s="164"/>
      <c r="H34" s="21"/>
      <c r="I34" s="21"/>
    </row>
    <row r="35" spans="1:13">
      <c r="A35" s="18"/>
      <c r="B35" s="18"/>
      <c r="C35" s="18"/>
      <c r="D35" s="224"/>
      <c r="E35" s="22"/>
      <c r="F35" s="20"/>
      <c r="G35" s="18"/>
      <c r="H35" s="21"/>
      <c r="I35" s="21"/>
    </row>
    <row r="36" spans="1:13">
      <c r="A36" s="18"/>
      <c r="B36" s="18"/>
      <c r="C36" s="18"/>
      <c r="D36" s="224"/>
      <c r="E36" s="22"/>
      <c r="F36" s="20"/>
      <c r="G36" s="18"/>
      <c r="H36" s="21"/>
      <c r="I36" s="21"/>
    </row>
    <row r="37" spans="1:13">
      <c r="A37" s="18"/>
      <c r="B37" s="18"/>
      <c r="C37" s="18"/>
      <c r="D37" s="224"/>
      <c r="E37" s="22"/>
      <c r="F37" s="20"/>
      <c r="G37" s="18"/>
      <c r="H37" s="21"/>
      <c r="I37" s="21"/>
    </row>
    <row r="38" spans="1:13">
      <c r="A38" s="18"/>
      <c r="B38" s="18"/>
      <c r="C38" s="18"/>
      <c r="D38" s="224"/>
      <c r="E38" s="22"/>
      <c r="F38" s="20"/>
      <c r="G38" s="18"/>
      <c r="H38" s="21"/>
      <c r="I38" s="21"/>
    </row>
    <row r="39" spans="1:13">
      <c r="A39" s="18"/>
      <c r="B39" s="18"/>
      <c r="C39" s="18"/>
      <c r="D39" s="18"/>
      <c r="E39" s="18"/>
      <c r="F39" s="21"/>
      <c r="G39" s="18"/>
      <c r="H39" s="50">
        <f>SUM(H31:H38)</f>
        <v>333340</v>
      </c>
      <c r="I39" s="21"/>
    </row>
    <row r="42" spans="1:13">
      <c r="A42" s="410" t="s">
        <v>648</v>
      </c>
    </row>
    <row r="43" spans="1:13" ht="26.45" customHeight="1">
      <c r="A43" s="726" t="s">
        <v>3152</v>
      </c>
      <c r="B43" s="726"/>
      <c r="C43" s="726"/>
      <c r="D43" s="726"/>
      <c r="E43" s="726"/>
      <c r="F43" s="726"/>
      <c r="G43" s="726"/>
      <c r="H43" s="726"/>
      <c r="I43" s="726"/>
    </row>
    <row r="44" spans="1:13" ht="26.45" customHeight="1">
      <c r="A44" s="16" t="s">
        <v>11</v>
      </c>
      <c r="B44" s="17" t="s">
        <v>697</v>
      </c>
      <c r="C44" s="17" t="s">
        <v>12</v>
      </c>
      <c r="D44" s="17" t="s">
        <v>894</v>
      </c>
      <c r="E44" s="16" t="s">
        <v>699</v>
      </c>
      <c r="F44" s="16" t="s">
        <v>657</v>
      </c>
      <c r="G44" s="17" t="s">
        <v>700</v>
      </c>
      <c r="H44" s="16" t="s">
        <v>660</v>
      </c>
      <c r="I44" s="16" t="s">
        <v>27</v>
      </c>
      <c r="K44" s="458"/>
      <c r="L44" s="458" t="s">
        <v>649</v>
      </c>
      <c r="M44" s="459"/>
    </row>
    <row r="45" spans="1:13" ht="26.45" customHeight="1">
      <c r="A45" s="18">
        <v>1</v>
      </c>
      <c r="B45" s="18" t="s">
        <v>152</v>
      </c>
      <c r="C45" s="18" t="s">
        <v>278</v>
      </c>
      <c r="D45" s="34" t="s">
        <v>280</v>
      </c>
      <c r="E45" s="34" t="s">
        <v>703</v>
      </c>
      <c r="F45" s="20" t="s">
        <v>2266</v>
      </c>
      <c r="G45" s="18" t="s">
        <v>1065</v>
      </c>
      <c r="H45" s="21">
        <v>500000</v>
      </c>
      <c r="I45" s="21"/>
      <c r="K45" s="458" t="s">
        <v>11</v>
      </c>
      <c r="L45" s="458" t="s">
        <v>651</v>
      </c>
      <c r="M45" s="459" t="s">
        <v>660</v>
      </c>
    </row>
    <row r="46" spans="1:13" ht="26.45" customHeight="1">
      <c r="A46" s="18"/>
      <c r="B46" s="18"/>
      <c r="C46" s="18"/>
      <c r="D46" s="224"/>
      <c r="E46" s="19" t="s">
        <v>2267</v>
      </c>
      <c r="F46" s="20" t="s">
        <v>2266</v>
      </c>
      <c r="G46" s="18" t="s">
        <v>1065</v>
      </c>
      <c r="H46" s="21">
        <v>500000</v>
      </c>
      <c r="I46" s="21"/>
      <c r="K46" s="444">
        <v>1</v>
      </c>
      <c r="L46" s="444" t="s">
        <v>3154</v>
      </c>
      <c r="M46" s="447">
        <v>40000</v>
      </c>
    </row>
    <row r="47" spans="1:13" ht="26.45" customHeight="1">
      <c r="A47" s="18"/>
      <c r="B47" s="18"/>
      <c r="C47" s="18"/>
      <c r="D47" s="224"/>
      <c r="E47" s="22" t="s">
        <v>2184</v>
      </c>
      <c r="F47" s="20" t="s">
        <v>1070</v>
      </c>
      <c r="G47" s="164" t="s">
        <v>3155</v>
      </c>
      <c r="H47" s="21">
        <v>500000</v>
      </c>
      <c r="I47" s="21"/>
      <c r="K47" s="444">
        <v>2</v>
      </c>
      <c r="L47" s="444" t="s">
        <v>3156</v>
      </c>
      <c r="M47" s="447">
        <v>65000</v>
      </c>
    </row>
    <row r="48" spans="1:13" ht="26.45" customHeight="1">
      <c r="A48" s="18"/>
      <c r="B48" s="18"/>
      <c r="C48" s="18"/>
      <c r="D48" s="224"/>
      <c r="E48" s="22" t="s">
        <v>3157</v>
      </c>
      <c r="F48" s="20" t="s">
        <v>3158</v>
      </c>
      <c r="G48" s="164" t="s">
        <v>3159</v>
      </c>
      <c r="H48" s="21">
        <f>600000*3</f>
        <v>1800000</v>
      </c>
      <c r="I48" s="21"/>
      <c r="K48" s="444">
        <v>3</v>
      </c>
      <c r="L48" s="444" t="s">
        <v>3160</v>
      </c>
      <c r="M48" s="447">
        <v>49000</v>
      </c>
    </row>
    <row r="49" spans="1:13" ht="26.45" customHeight="1">
      <c r="A49" s="18"/>
      <c r="B49" s="18"/>
      <c r="C49" s="18"/>
      <c r="D49" s="224"/>
      <c r="E49" s="22" t="s">
        <v>2275</v>
      </c>
      <c r="F49" s="20" t="s">
        <v>3161</v>
      </c>
      <c r="G49" s="18" t="s">
        <v>2830</v>
      </c>
      <c r="H49" s="21">
        <v>600000</v>
      </c>
      <c r="I49" s="21"/>
      <c r="K49" s="444">
        <v>4</v>
      </c>
      <c r="L49" s="444" t="s">
        <v>3162</v>
      </c>
      <c r="M49" s="447">
        <v>25000</v>
      </c>
    </row>
    <row r="50" spans="1:13" ht="26.45" customHeight="1">
      <c r="A50" s="18"/>
      <c r="B50" s="18"/>
      <c r="C50" s="18"/>
      <c r="D50" s="224"/>
      <c r="E50" s="22" t="s">
        <v>3163</v>
      </c>
      <c r="F50" s="20" t="s">
        <v>3164</v>
      </c>
      <c r="G50" s="18" t="s">
        <v>917</v>
      </c>
      <c r="H50" s="21">
        <v>1800000</v>
      </c>
      <c r="I50" s="21"/>
      <c r="J50" t="s">
        <v>3165</v>
      </c>
      <c r="K50" s="444">
        <v>5</v>
      </c>
      <c r="L50" s="444" t="s">
        <v>3166</v>
      </c>
      <c r="M50" s="447"/>
    </row>
    <row r="51" spans="1:13" ht="26.45" customHeight="1">
      <c r="A51" s="18"/>
      <c r="B51" s="18"/>
      <c r="C51" s="18"/>
      <c r="D51" s="224"/>
      <c r="E51" s="22" t="s">
        <v>3167</v>
      </c>
      <c r="F51" s="20" t="s">
        <v>3168</v>
      </c>
      <c r="G51" s="18" t="s">
        <v>1310</v>
      </c>
      <c r="H51" s="21">
        <v>3200000</v>
      </c>
      <c r="I51" s="21"/>
      <c r="J51" t="s">
        <v>799</v>
      </c>
      <c r="K51" s="444"/>
      <c r="L51" s="460" t="s">
        <v>665</v>
      </c>
      <c r="M51" s="461">
        <f>SUM(M46:M49)/2</f>
        <v>89500</v>
      </c>
    </row>
    <row r="52" spans="1:13" ht="26.45" customHeight="1">
      <c r="A52" s="18"/>
      <c r="B52" s="18"/>
      <c r="C52" s="18"/>
      <c r="D52" s="224"/>
      <c r="E52" s="22" t="s">
        <v>3169</v>
      </c>
      <c r="F52" s="20"/>
      <c r="G52" s="18"/>
      <c r="H52" s="21">
        <v>-89500</v>
      </c>
      <c r="I52" s="21"/>
      <c r="J52" s="44" t="s">
        <v>3170</v>
      </c>
      <c r="K52" s="444"/>
      <c r="L52" s="444"/>
      <c r="M52" s="447"/>
    </row>
    <row r="53" spans="1:13" ht="26.45" customHeight="1">
      <c r="A53" s="18"/>
      <c r="B53" s="18"/>
      <c r="C53" s="18"/>
      <c r="D53" s="224"/>
      <c r="E53" s="22" t="s">
        <v>684</v>
      </c>
      <c r="F53" s="20"/>
      <c r="G53" s="18" t="s">
        <v>1154</v>
      </c>
      <c r="H53" s="21">
        <v>-500000</v>
      </c>
      <c r="I53" s="21"/>
      <c r="J53" s="44"/>
      <c r="K53" s="444"/>
      <c r="L53" s="444"/>
      <c r="M53" s="447"/>
    </row>
    <row r="54" spans="1:13" ht="26.45" customHeight="1">
      <c r="A54" s="18"/>
      <c r="B54" s="18"/>
      <c r="C54" s="18"/>
      <c r="D54" s="224"/>
      <c r="E54" s="22" t="s">
        <v>869</v>
      </c>
      <c r="F54" s="20"/>
      <c r="G54" s="18" t="s">
        <v>1154</v>
      </c>
      <c r="H54" s="21">
        <v>500000</v>
      </c>
      <c r="I54" s="21"/>
      <c r="J54" s="44"/>
      <c r="K54" s="444"/>
      <c r="L54" s="444"/>
      <c r="M54" s="447"/>
    </row>
    <row r="55" spans="1:13" ht="26.45" customHeight="1">
      <c r="A55" s="18"/>
      <c r="B55" s="18"/>
      <c r="C55" s="18"/>
      <c r="D55" s="18"/>
      <c r="E55" s="18"/>
      <c r="F55" s="21"/>
      <c r="G55" s="18"/>
      <c r="H55" s="50">
        <f>SUM(H45:H54)</f>
        <v>8810500</v>
      </c>
      <c r="I55" s="21"/>
    </row>
    <row r="56" spans="1:13" ht="26.45" customHeight="1"/>
    <row r="57" spans="1:13" ht="26.45" customHeight="1">
      <c r="A57" s="726" t="s">
        <v>279</v>
      </c>
      <c r="B57" s="726"/>
      <c r="C57" s="726"/>
      <c r="D57" s="726"/>
      <c r="E57" s="726"/>
      <c r="F57" s="726"/>
      <c r="G57" s="726"/>
      <c r="H57" s="726"/>
      <c r="I57" s="726"/>
    </row>
    <row r="58" spans="1:13" ht="26.45" customHeight="1">
      <c r="A58" s="16" t="s">
        <v>11</v>
      </c>
      <c r="B58" s="17" t="s">
        <v>697</v>
      </c>
      <c r="C58" s="17" t="s">
        <v>12</v>
      </c>
      <c r="D58" s="17" t="s">
        <v>894</v>
      </c>
      <c r="E58" s="16" t="s">
        <v>699</v>
      </c>
      <c r="F58" s="16" t="s">
        <v>657</v>
      </c>
      <c r="G58" s="17" t="s">
        <v>700</v>
      </c>
      <c r="H58" s="16" t="s">
        <v>660</v>
      </c>
      <c r="I58" s="16" t="s">
        <v>27</v>
      </c>
      <c r="K58" s="541"/>
    </row>
    <row r="59" spans="1:13" ht="26.45" customHeight="1">
      <c r="A59" s="18">
        <v>1</v>
      </c>
      <c r="B59" s="18" t="s">
        <v>152</v>
      </c>
      <c r="C59" s="18" t="s">
        <v>278</v>
      </c>
      <c r="D59" s="35" t="s">
        <v>280</v>
      </c>
      <c r="E59" s="620" t="s">
        <v>703</v>
      </c>
      <c r="F59" s="20" t="s">
        <v>3171</v>
      </c>
      <c r="G59" s="18" t="s">
        <v>775</v>
      </c>
      <c r="H59" s="21">
        <v>800000</v>
      </c>
      <c r="I59" s="21" t="s">
        <v>664</v>
      </c>
      <c r="K59" s="444" t="s">
        <v>1310</v>
      </c>
      <c r="L59" s="444" t="s">
        <v>3172</v>
      </c>
      <c r="M59" s="447">
        <v>70000</v>
      </c>
    </row>
    <row r="60" spans="1:13" ht="15.75">
      <c r="A60" s="18"/>
      <c r="B60" s="18"/>
      <c r="C60" s="18"/>
      <c r="D60" s="224"/>
      <c r="E60" s="318" t="s">
        <v>777</v>
      </c>
      <c r="F60" s="20" t="s">
        <v>3171</v>
      </c>
      <c r="G60" s="18" t="s">
        <v>775</v>
      </c>
      <c r="H60" s="21">
        <v>800000</v>
      </c>
      <c r="I60" s="21" t="s">
        <v>664</v>
      </c>
      <c r="K60" s="444"/>
      <c r="L60" s="444" t="s">
        <v>3156</v>
      </c>
      <c r="M60" s="447">
        <v>15000</v>
      </c>
    </row>
    <row r="61" spans="1:13" ht="15.75">
      <c r="A61" s="18"/>
      <c r="B61" s="18"/>
      <c r="C61" s="18"/>
      <c r="D61" s="224"/>
      <c r="E61" s="610" t="s">
        <v>750</v>
      </c>
      <c r="F61" s="20" t="s">
        <v>3173</v>
      </c>
      <c r="G61" s="164" t="s">
        <v>685</v>
      </c>
      <c r="H61" s="21">
        <v>800000</v>
      </c>
      <c r="I61" s="21" t="s">
        <v>667</v>
      </c>
      <c r="K61" s="444"/>
      <c r="L61" s="444" t="s">
        <v>3174</v>
      </c>
      <c r="M61" s="447">
        <v>20000</v>
      </c>
    </row>
    <row r="62" spans="1:13" ht="15.75">
      <c r="A62" s="18"/>
      <c r="B62" s="18"/>
      <c r="C62" s="18"/>
      <c r="D62" s="224"/>
      <c r="E62" s="610" t="s">
        <v>282</v>
      </c>
      <c r="F62" s="20" t="s">
        <v>3175</v>
      </c>
      <c r="G62" s="164" t="s">
        <v>3176</v>
      </c>
      <c r="H62" s="21">
        <v>2400000</v>
      </c>
      <c r="I62" s="21" t="s">
        <v>664</v>
      </c>
      <c r="K62" s="444"/>
      <c r="L62" s="444" t="s">
        <v>3177</v>
      </c>
      <c r="M62" s="447">
        <v>30000</v>
      </c>
    </row>
    <row r="63" spans="1:13" ht="15.75">
      <c r="A63" s="18"/>
      <c r="B63" s="18"/>
      <c r="C63" s="18"/>
      <c r="D63" s="224"/>
      <c r="E63" s="610"/>
      <c r="F63" s="20"/>
      <c r="G63" s="18"/>
      <c r="H63" s="21"/>
      <c r="I63" s="21"/>
      <c r="K63" s="444"/>
      <c r="L63" s="444" t="s">
        <v>3178</v>
      </c>
      <c r="M63" s="447">
        <v>30000</v>
      </c>
    </row>
    <row r="64" spans="1:13" ht="15.75">
      <c r="A64" s="18"/>
      <c r="B64" s="18"/>
      <c r="C64" s="18"/>
      <c r="D64" s="224"/>
      <c r="E64" s="610"/>
      <c r="F64" s="20"/>
      <c r="G64" s="18"/>
      <c r="H64" s="21"/>
      <c r="I64" s="21"/>
      <c r="K64" s="444"/>
      <c r="L64" s="444" t="s">
        <v>959</v>
      </c>
      <c r="M64" s="447">
        <v>10000</v>
      </c>
    </row>
    <row r="65" spans="1:13" ht="15.75">
      <c r="A65" s="18"/>
      <c r="B65" s="18"/>
      <c r="C65" s="18"/>
      <c r="D65" s="224"/>
      <c r="E65" s="610"/>
      <c r="F65" s="20"/>
      <c r="G65" s="18"/>
      <c r="H65" s="21"/>
      <c r="I65" s="21"/>
      <c r="K65" s="444" t="s">
        <v>3179</v>
      </c>
      <c r="L65" s="444" t="s">
        <v>3180</v>
      </c>
      <c r="M65" s="447">
        <v>80000</v>
      </c>
    </row>
    <row r="66" spans="1:13" ht="15.75">
      <c r="A66" s="18"/>
      <c r="B66" s="18"/>
      <c r="C66" s="18"/>
      <c r="D66" s="224"/>
      <c r="E66" s="610"/>
      <c r="F66" s="20"/>
      <c r="G66" s="18"/>
      <c r="H66" s="21"/>
      <c r="I66" s="21"/>
      <c r="K66" s="444"/>
      <c r="L66" s="444" t="s">
        <v>3181</v>
      </c>
      <c r="M66" s="447">
        <v>65000</v>
      </c>
    </row>
    <row r="67" spans="1:13" ht="15.75">
      <c r="A67" s="18"/>
      <c r="B67" s="18"/>
      <c r="C67" s="18"/>
      <c r="D67" s="224"/>
      <c r="E67" s="22"/>
      <c r="F67" s="20"/>
      <c r="G67" s="18"/>
      <c r="H67" s="21"/>
      <c r="I67" s="21"/>
      <c r="K67" s="444" t="s">
        <v>1154</v>
      </c>
      <c r="L67" s="444" t="s">
        <v>3182</v>
      </c>
      <c r="M67" s="447">
        <v>150000</v>
      </c>
    </row>
    <row r="68" spans="1:13" ht="15.75">
      <c r="A68" s="18"/>
      <c r="B68" s="18"/>
      <c r="C68" s="18"/>
      <c r="D68" s="224"/>
      <c r="E68" s="22"/>
      <c r="F68" s="20"/>
      <c r="G68" s="18"/>
      <c r="H68" s="21"/>
      <c r="I68" s="21"/>
      <c r="K68" s="444"/>
      <c r="L68" s="444"/>
      <c r="M68" s="447"/>
    </row>
    <row r="69" spans="1:13" ht="15.75">
      <c r="A69" s="18"/>
      <c r="B69" s="18"/>
      <c r="C69" s="18"/>
      <c r="D69" s="224"/>
      <c r="E69" s="22"/>
      <c r="F69" s="20"/>
      <c r="G69" s="18"/>
      <c r="H69" s="21"/>
      <c r="I69" s="21"/>
      <c r="K69" s="444"/>
      <c r="L69" s="444"/>
      <c r="M69" s="447"/>
    </row>
    <row r="70" spans="1:13" ht="15.75">
      <c r="A70" s="18"/>
      <c r="B70" s="18"/>
      <c r="C70" s="18"/>
      <c r="D70" s="224"/>
      <c r="E70" s="22"/>
      <c r="F70" s="20"/>
      <c r="G70" s="18"/>
      <c r="H70" s="21"/>
      <c r="I70" s="21"/>
      <c r="K70" s="444"/>
      <c r="L70" s="444"/>
      <c r="M70" s="447"/>
    </row>
    <row r="71" spans="1:13" ht="15.75">
      <c r="A71" s="18"/>
      <c r="B71" s="18"/>
      <c r="C71" s="18"/>
      <c r="D71" s="224"/>
      <c r="E71" s="22"/>
      <c r="F71" s="20"/>
      <c r="G71" s="18"/>
      <c r="H71" s="21"/>
      <c r="I71" s="21"/>
      <c r="K71" s="444"/>
      <c r="L71" s="444" t="s">
        <v>665</v>
      </c>
      <c r="M71" s="447">
        <f>SUM(M59:M67)</f>
        <v>470000</v>
      </c>
    </row>
    <row r="72" spans="1:13" ht="15.75">
      <c r="A72" s="18"/>
      <c r="B72" s="18"/>
      <c r="C72" s="18"/>
      <c r="D72" s="224"/>
      <c r="E72" s="22"/>
      <c r="F72" s="20"/>
      <c r="G72" s="18"/>
      <c r="H72" s="21"/>
      <c r="I72" s="21"/>
      <c r="K72" s="444"/>
      <c r="L72" s="444"/>
      <c r="M72" s="447"/>
    </row>
    <row r="73" spans="1:13" ht="15.75">
      <c r="A73" s="18"/>
      <c r="B73" s="18"/>
      <c r="C73" s="18"/>
      <c r="D73" s="18"/>
      <c r="E73" s="18"/>
      <c r="F73" s="21"/>
      <c r="G73" s="18"/>
      <c r="H73" s="50">
        <f>SUM(H59:H72)</f>
        <v>4800000</v>
      </c>
      <c r="I73" s="21"/>
      <c r="K73" s="444"/>
      <c r="L73" s="444"/>
      <c r="M73" s="447"/>
    </row>
    <row r="74" spans="1:13" ht="15.75">
      <c r="K74" s="444"/>
      <c r="L74" s="444"/>
      <c r="M74" s="447"/>
    </row>
    <row r="75" spans="1:13" ht="15.75">
      <c r="K75" s="444"/>
      <c r="L75" s="444"/>
      <c r="M75" s="447"/>
    </row>
  </sheetData>
  <mergeCells count="6">
    <mergeCell ref="A57:I57"/>
    <mergeCell ref="A2:I2"/>
    <mergeCell ref="A15:I15"/>
    <mergeCell ref="J19:J21"/>
    <mergeCell ref="A29:I29"/>
    <mergeCell ref="A43:I43"/>
  </mergeCells>
  <hyperlinks>
    <hyperlink ref="A1" location="Name!A1" display="Name!A1" xr:uid="{81D21C1A-506D-4E4C-BF62-BD1C5F548CA0}"/>
    <hyperlink ref="A42" location="Name!A1" display="Name!A1" xr:uid="{A4F00751-687F-4398-9B52-637ABBA7D2C3}"/>
  </hyperlinks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236C-81DD-499B-9AC8-FEA77AE7C41B}">
  <dimension ref="A1:N71"/>
  <sheetViews>
    <sheetView workbookViewId="0"/>
  </sheetViews>
  <sheetFormatPr defaultColWidth="9.140625" defaultRowHeight="18"/>
  <cols>
    <col min="1" max="1" width="6.140625" style="51" customWidth="1"/>
    <col min="2" max="3" width="15.42578125" style="51" customWidth="1"/>
    <col min="4" max="4" width="15.5703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.7109375" style="51" customWidth="1"/>
    <col min="9" max="9" width="38.42578125" style="193" customWidth="1"/>
    <col min="10" max="11" width="9.140625" style="51"/>
    <col min="12" max="12" width="39.5703125" style="51" customWidth="1"/>
    <col min="13" max="13" width="15.42578125" style="104" customWidth="1"/>
    <col min="14" max="14" width="17.5703125" style="51" customWidth="1"/>
    <col min="15" max="16384" width="9.140625" style="51"/>
  </cols>
  <sheetData>
    <row r="1" spans="1:14">
      <c r="A1" s="411" t="s">
        <v>648</v>
      </c>
    </row>
    <row r="2" spans="1:14" ht="21.75">
      <c r="A2" s="644" t="s">
        <v>3183</v>
      </c>
      <c r="B2" s="644"/>
      <c r="C2" s="644"/>
      <c r="D2" s="644"/>
      <c r="E2" s="644"/>
      <c r="F2" s="644"/>
      <c r="G2" s="644"/>
      <c r="H2" s="644"/>
      <c r="I2" s="169"/>
      <c r="J2" s="644" t="s">
        <v>973</v>
      </c>
      <c r="K2" s="644"/>
      <c r="L2" s="644"/>
      <c r="M2" s="644"/>
    </row>
    <row r="3" spans="1:14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1" t="s">
        <v>657</v>
      </c>
      <c r="G3" s="647" t="s">
        <v>658</v>
      </c>
      <c r="H3" s="3" t="s">
        <v>659</v>
      </c>
      <c r="I3" s="169"/>
      <c r="J3" s="654" t="s">
        <v>653</v>
      </c>
      <c r="K3" s="659" t="s">
        <v>974</v>
      </c>
      <c r="L3" s="661" t="s">
        <v>975</v>
      </c>
      <c r="M3" s="662" t="s">
        <v>976</v>
      </c>
      <c r="N3" s="729" t="s">
        <v>977</v>
      </c>
    </row>
    <row r="4" spans="1:14" ht="21.75">
      <c r="A4" s="646"/>
      <c r="B4" s="646"/>
      <c r="C4" s="646"/>
      <c r="D4" s="646"/>
      <c r="E4" s="648"/>
      <c r="F4" s="4"/>
      <c r="G4" s="646"/>
      <c r="H4" s="6" t="s">
        <v>660</v>
      </c>
      <c r="I4" s="169"/>
      <c r="J4" s="655"/>
      <c r="K4" s="710"/>
      <c r="L4" s="660"/>
      <c r="M4" s="663"/>
      <c r="N4" s="730"/>
    </row>
    <row r="5" spans="1:14" ht="21.75">
      <c r="A5" s="7">
        <v>1</v>
      </c>
      <c r="B5" s="7" t="s">
        <v>152</v>
      </c>
      <c r="C5" s="8" t="s">
        <v>273</v>
      </c>
      <c r="D5" s="7" t="s">
        <v>3184</v>
      </c>
      <c r="E5" s="9" t="s">
        <v>703</v>
      </c>
      <c r="F5" s="10" t="s">
        <v>1773</v>
      </c>
      <c r="G5" s="9" t="s">
        <v>2129</v>
      </c>
      <c r="H5" s="9">
        <v>500000</v>
      </c>
      <c r="I5" s="169"/>
      <c r="J5" s="122"/>
      <c r="K5" s="123"/>
      <c r="L5" s="123"/>
      <c r="M5" s="125"/>
      <c r="N5" s="126"/>
    </row>
    <row r="6" spans="1:14" ht="21.75">
      <c r="A6" s="7"/>
      <c r="B6" s="7"/>
      <c r="C6" s="7"/>
      <c r="D6" s="7"/>
      <c r="E6" s="9" t="s">
        <v>3185</v>
      </c>
      <c r="F6" s="10" t="s">
        <v>1773</v>
      </c>
      <c r="G6" s="9" t="s">
        <v>2129</v>
      </c>
      <c r="H6" s="9">
        <v>1000000</v>
      </c>
      <c r="I6" s="169"/>
      <c r="J6" s="122"/>
      <c r="K6" s="123"/>
      <c r="L6" s="123"/>
      <c r="M6" s="125"/>
      <c r="N6" s="126"/>
    </row>
    <row r="7" spans="1:14" ht="21.75">
      <c r="A7" s="7"/>
      <c r="B7" s="7"/>
      <c r="C7" s="7"/>
      <c r="D7" s="7"/>
      <c r="E7" s="9" t="s">
        <v>3186</v>
      </c>
      <c r="F7" s="10"/>
      <c r="G7" s="9" t="s">
        <v>2133</v>
      </c>
      <c r="H7" s="9">
        <v>-500000</v>
      </c>
      <c r="I7" s="169"/>
      <c r="J7" s="122"/>
      <c r="K7" s="123"/>
      <c r="L7" s="123"/>
      <c r="M7" s="125"/>
      <c r="N7" s="126"/>
    </row>
    <row r="8" spans="1:14" ht="21.75">
      <c r="A8" s="7"/>
      <c r="B8" s="7"/>
      <c r="C8" s="7"/>
      <c r="D8" s="7"/>
      <c r="E8" s="9" t="s">
        <v>1066</v>
      </c>
      <c r="F8" s="10"/>
      <c r="G8" s="9" t="s">
        <v>2133</v>
      </c>
      <c r="H8" s="9">
        <v>-500000</v>
      </c>
      <c r="I8" s="169"/>
      <c r="J8" s="122"/>
      <c r="K8" s="123"/>
      <c r="L8" s="127"/>
      <c r="M8" s="125"/>
      <c r="N8" s="126"/>
    </row>
    <row r="9" spans="1:14" ht="21.75">
      <c r="A9" s="7"/>
      <c r="B9" s="7"/>
      <c r="C9" s="7"/>
      <c r="D9" s="7"/>
      <c r="E9" s="9"/>
      <c r="F9" s="10"/>
      <c r="G9" s="9"/>
      <c r="H9" s="9"/>
      <c r="I9" s="169"/>
      <c r="J9" s="122"/>
      <c r="K9" s="123"/>
      <c r="L9" s="123"/>
      <c r="M9" s="125"/>
      <c r="N9" s="126"/>
    </row>
    <row r="10" spans="1:14" ht="21.75">
      <c r="A10" s="7"/>
      <c r="B10" s="7"/>
      <c r="C10" s="7"/>
      <c r="D10" s="7"/>
      <c r="E10" s="9"/>
      <c r="F10" s="10"/>
      <c r="G10" s="9"/>
      <c r="H10" s="9"/>
      <c r="I10" s="169"/>
      <c r="J10" s="122"/>
      <c r="K10" s="123"/>
      <c r="L10" s="123"/>
      <c r="M10" s="125"/>
      <c r="N10" s="126"/>
    </row>
    <row r="11" spans="1:14" ht="21.75">
      <c r="A11" s="7"/>
      <c r="B11" s="7"/>
      <c r="C11" s="7"/>
      <c r="D11" s="7"/>
      <c r="E11" s="9"/>
      <c r="F11" s="10"/>
      <c r="G11" s="9"/>
      <c r="H11" s="9"/>
      <c r="I11" s="169"/>
      <c r="J11" s="122"/>
      <c r="K11" s="123"/>
      <c r="L11" s="123"/>
      <c r="M11" s="125"/>
      <c r="N11" s="126"/>
    </row>
    <row r="12" spans="1:14" ht="21.75">
      <c r="A12" s="7"/>
      <c r="B12" s="7"/>
      <c r="C12" s="7"/>
      <c r="D12" s="7"/>
      <c r="E12" s="9"/>
      <c r="F12" s="10"/>
      <c r="G12" s="9"/>
      <c r="H12" s="9"/>
      <c r="I12" s="169"/>
      <c r="J12" s="122"/>
      <c r="K12" s="123"/>
      <c r="L12" s="123"/>
      <c r="M12" s="125"/>
      <c r="N12" s="126"/>
    </row>
    <row r="13" spans="1:14" ht="21.75">
      <c r="A13" s="7"/>
      <c r="B13" s="7"/>
      <c r="C13" s="7"/>
      <c r="D13" s="7"/>
      <c r="E13" s="9"/>
      <c r="F13" s="10"/>
      <c r="G13" s="9"/>
      <c r="H13" s="9"/>
      <c r="I13" s="169"/>
      <c r="J13" s="122"/>
      <c r="K13" s="123"/>
      <c r="L13" s="123"/>
      <c r="M13" s="125"/>
      <c r="N13" s="126"/>
    </row>
    <row r="14" spans="1:14" ht="21.75">
      <c r="A14" s="12"/>
      <c r="B14" s="12"/>
      <c r="C14" s="12"/>
      <c r="D14" s="12"/>
      <c r="E14" s="13"/>
      <c r="F14" s="14"/>
      <c r="G14" s="13">
        <f>SUM(G5:G13)</f>
        <v>0</v>
      </c>
      <c r="H14" s="13">
        <f>SUM(H5:H13)</f>
        <v>500000</v>
      </c>
      <c r="I14" s="169"/>
      <c r="J14" s="183"/>
      <c r="K14" s="184"/>
      <c r="L14" s="184"/>
      <c r="M14" s="185">
        <f>SUM(M5:M13)</f>
        <v>0</v>
      </c>
      <c r="N14" s="194">
        <f>G14-M14</f>
        <v>0</v>
      </c>
    </row>
    <row r="15" spans="1:14" ht="21.75">
      <c r="A15" s="644" t="s">
        <v>1468</v>
      </c>
      <c r="B15" s="644"/>
      <c r="C15" s="644"/>
      <c r="D15" s="644"/>
      <c r="E15" s="644"/>
      <c r="F15" s="644"/>
      <c r="G15" s="644"/>
      <c r="H15" s="644"/>
      <c r="I15" s="169"/>
      <c r="J15" s="122"/>
      <c r="K15" s="123"/>
      <c r="L15" s="123"/>
      <c r="M15" s="125"/>
      <c r="N15" s="126"/>
    </row>
    <row r="16" spans="1:14" ht="21.75">
      <c r="A16" s="7">
        <v>1</v>
      </c>
      <c r="B16" s="7" t="s">
        <v>152</v>
      </c>
      <c r="C16" s="8" t="s">
        <v>273</v>
      </c>
      <c r="D16" s="7" t="s">
        <v>3184</v>
      </c>
      <c r="E16" s="9" t="s">
        <v>703</v>
      </c>
      <c r="F16" s="10" t="s">
        <v>3187</v>
      </c>
      <c r="G16" s="9" t="s">
        <v>3188</v>
      </c>
      <c r="H16" s="9">
        <v>500000</v>
      </c>
      <c r="I16" s="169"/>
      <c r="J16" s="122"/>
      <c r="K16" s="123"/>
      <c r="L16" s="123"/>
      <c r="M16" s="125"/>
      <c r="N16" s="126"/>
    </row>
    <row r="17" spans="1:14" ht="21.75">
      <c r="A17" s="7"/>
      <c r="B17" s="7"/>
      <c r="C17" s="7"/>
      <c r="D17" s="7"/>
      <c r="E17" s="9" t="s">
        <v>3189</v>
      </c>
      <c r="F17" s="10" t="s">
        <v>3187</v>
      </c>
      <c r="G17" s="9" t="s">
        <v>3188</v>
      </c>
      <c r="H17" s="9">
        <v>500000</v>
      </c>
      <c r="I17" s="169"/>
      <c r="J17" s="122"/>
      <c r="K17" s="123"/>
      <c r="L17" s="123"/>
      <c r="M17" s="125"/>
      <c r="N17" s="126"/>
    </row>
    <row r="18" spans="1:14" ht="21.75">
      <c r="A18" s="7"/>
      <c r="B18" s="7"/>
      <c r="C18" s="7"/>
      <c r="D18" s="7"/>
      <c r="E18" s="9" t="s">
        <v>3190</v>
      </c>
      <c r="F18" s="10" t="s">
        <v>3191</v>
      </c>
      <c r="G18" s="9" t="s">
        <v>3192</v>
      </c>
      <c r="H18" s="9">
        <v>3000000</v>
      </c>
      <c r="I18" s="169"/>
      <c r="J18" s="122"/>
      <c r="K18" s="123"/>
      <c r="L18" s="123"/>
      <c r="M18" s="125"/>
      <c r="N18" s="126"/>
    </row>
    <row r="19" spans="1:14" ht="21.75">
      <c r="A19" s="7"/>
      <c r="B19" s="7"/>
      <c r="C19" s="7"/>
      <c r="D19" s="7"/>
      <c r="E19" s="9" t="s">
        <v>1006</v>
      </c>
      <c r="F19" s="10" t="s">
        <v>3191</v>
      </c>
      <c r="G19" s="9" t="s">
        <v>3192</v>
      </c>
      <c r="H19" s="9">
        <v>-250000</v>
      </c>
      <c r="I19" s="169" t="s">
        <v>3193</v>
      </c>
      <c r="J19" s="122"/>
      <c r="K19" s="123"/>
      <c r="L19" s="123"/>
      <c r="M19" s="125"/>
      <c r="N19" s="126"/>
    </row>
    <row r="20" spans="1:14" ht="21.75">
      <c r="A20" s="7"/>
      <c r="B20" s="7"/>
      <c r="C20" s="7"/>
      <c r="D20" s="7"/>
      <c r="E20" s="9" t="s">
        <v>1066</v>
      </c>
      <c r="F20" s="10"/>
      <c r="G20" s="9" t="s">
        <v>2017</v>
      </c>
      <c r="H20" s="9">
        <v>-500000</v>
      </c>
      <c r="I20" s="169" t="s">
        <v>3194</v>
      </c>
      <c r="J20" s="122"/>
      <c r="K20" s="123"/>
      <c r="L20" s="123"/>
      <c r="M20" s="125"/>
      <c r="N20" s="126"/>
    </row>
    <row r="21" spans="1:14" ht="22.5" customHeight="1">
      <c r="A21" s="7"/>
      <c r="B21" s="7"/>
      <c r="C21" s="7"/>
      <c r="D21" s="7"/>
      <c r="E21" s="9"/>
      <c r="F21" s="10"/>
      <c r="G21" s="9"/>
      <c r="H21" s="9"/>
      <c r="I21" s="169"/>
      <c r="J21" s="122"/>
      <c r="K21" s="123"/>
      <c r="L21" s="123"/>
      <c r="M21" s="125"/>
      <c r="N21" s="126"/>
    </row>
    <row r="22" spans="1:14" ht="21.75">
      <c r="A22" s="7"/>
      <c r="B22" s="7"/>
      <c r="C22" s="7"/>
      <c r="D22" s="7"/>
      <c r="E22" s="9"/>
      <c r="F22" s="10"/>
      <c r="G22" s="9"/>
      <c r="H22" s="9"/>
      <c r="I22" s="169"/>
      <c r="J22" s="122"/>
      <c r="K22" s="123"/>
      <c r="L22" s="123"/>
      <c r="M22" s="125"/>
      <c r="N22" s="126"/>
    </row>
    <row r="23" spans="1:14" ht="21.75">
      <c r="A23" s="7"/>
      <c r="B23" s="7"/>
      <c r="C23" s="7"/>
      <c r="D23" s="7"/>
      <c r="E23" s="9"/>
      <c r="F23" s="10"/>
      <c r="G23" s="9"/>
      <c r="H23" s="9"/>
      <c r="I23" s="169"/>
      <c r="J23" s="122"/>
      <c r="K23" s="123"/>
      <c r="L23" s="123"/>
      <c r="M23" s="125"/>
      <c r="N23" s="126"/>
    </row>
    <row r="24" spans="1:14" ht="21.75">
      <c r="A24" s="7"/>
      <c r="B24" s="7"/>
      <c r="C24" s="7"/>
      <c r="D24" s="7"/>
      <c r="E24" s="9"/>
      <c r="F24" s="10"/>
      <c r="G24" s="9"/>
      <c r="H24" s="9"/>
      <c r="I24" s="169"/>
      <c r="J24" s="122"/>
      <c r="K24" s="123"/>
      <c r="L24" s="123"/>
      <c r="M24" s="125"/>
      <c r="N24" s="126"/>
    </row>
    <row r="25" spans="1:14" ht="21.75">
      <c r="A25" s="12"/>
      <c r="B25" s="12"/>
      <c r="C25" s="12"/>
      <c r="D25" s="12"/>
      <c r="E25" s="13"/>
      <c r="F25" s="14"/>
      <c r="G25" s="13">
        <f>SUM(G16:G24)</f>
        <v>0</v>
      </c>
      <c r="H25" s="13">
        <f>SUM(H16:H24)</f>
        <v>3250000</v>
      </c>
      <c r="I25" s="169"/>
      <c r="J25" s="183"/>
      <c r="K25" s="184"/>
      <c r="L25" s="184"/>
      <c r="M25" s="185">
        <f>SUM(M16:M24)</f>
        <v>0</v>
      </c>
      <c r="N25" s="194">
        <f>G25-M25</f>
        <v>0</v>
      </c>
    </row>
    <row r="26" spans="1:14" s="304" customFormat="1" ht="23.25" customHeight="1">
      <c r="A26" s="731" t="s">
        <v>272</v>
      </c>
      <c r="B26" s="731"/>
      <c r="C26" s="731"/>
      <c r="D26" s="731"/>
      <c r="E26" s="731"/>
      <c r="F26" s="731"/>
      <c r="G26" s="731"/>
      <c r="H26" s="731"/>
      <c r="I26" s="299"/>
      <c r="J26" s="300"/>
      <c r="K26" s="301"/>
      <c r="L26" s="301"/>
      <c r="M26" s="302"/>
      <c r="N26" s="303"/>
    </row>
    <row r="27" spans="1:14" ht="21.75">
      <c r="A27" s="7"/>
      <c r="B27" s="7" t="s">
        <v>152</v>
      </c>
      <c r="C27" s="8" t="s">
        <v>273</v>
      </c>
      <c r="D27" s="7" t="s">
        <v>3184</v>
      </c>
      <c r="E27" s="9" t="s">
        <v>3195</v>
      </c>
      <c r="F27" s="10" t="s">
        <v>3196</v>
      </c>
      <c r="G27" s="9" t="s">
        <v>3197</v>
      </c>
      <c r="H27" s="305">
        <v>450000</v>
      </c>
      <c r="I27" s="169" t="s">
        <v>710</v>
      </c>
      <c r="J27" s="122"/>
      <c r="K27" s="123"/>
      <c r="L27" s="123"/>
      <c r="M27" s="125"/>
      <c r="N27" s="126"/>
    </row>
    <row r="28" spans="1:14" ht="21.75">
      <c r="A28" s="7"/>
      <c r="B28" s="7"/>
      <c r="C28" s="7"/>
      <c r="D28" s="7"/>
      <c r="E28" s="9" t="s">
        <v>3198</v>
      </c>
      <c r="F28" s="10" t="s">
        <v>3199</v>
      </c>
      <c r="G28" s="9" t="s">
        <v>3200</v>
      </c>
      <c r="H28" s="305">
        <v>450000</v>
      </c>
      <c r="I28" s="169" t="s">
        <v>3201</v>
      </c>
      <c r="J28" s="122"/>
      <c r="K28" s="123"/>
      <c r="L28" s="123"/>
      <c r="M28" s="125"/>
      <c r="N28" s="126"/>
    </row>
    <row r="29" spans="1:14" ht="21.75">
      <c r="A29" s="7"/>
      <c r="B29" s="7"/>
      <c r="C29" s="7"/>
      <c r="D29" s="7"/>
      <c r="E29" s="9" t="s">
        <v>3202</v>
      </c>
      <c r="F29" s="10" t="s">
        <v>3203</v>
      </c>
      <c r="G29" s="9" t="s">
        <v>3204</v>
      </c>
      <c r="H29" s="305">
        <v>450000</v>
      </c>
      <c r="I29" s="169" t="s">
        <v>3205</v>
      </c>
      <c r="J29" s="122"/>
      <c r="K29" s="123"/>
      <c r="L29" s="123"/>
      <c r="M29" s="125"/>
      <c r="N29" s="126"/>
    </row>
    <row r="30" spans="1:14" ht="21.75">
      <c r="A30" s="7"/>
      <c r="B30" s="7"/>
      <c r="C30" s="7"/>
      <c r="D30" s="7"/>
      <c r="E30" s="9" t="s">
        <v>3206</v>
      </c>
      <c r="F30" s="10" t="s">
        <v>3207</v>
      </c>
      <c r="G30" s="306" t="s">
        <v>3208</v>
      </c>
      <c r="H30" s="305">
        <v>450000</v>
      </c>
      <c r="I30" s="169" t="s">
        <v>3201</v>
      </c>
      <c r="J30" s="122"/>
      <c r="K30" s="123"/>
      <c r="L30" s="123"/>
      <c r="M30" s="125"/>
      <c r="N30" s="126"/>
    </row>
    <row r="31" spans="1:14" ht="21.75">
      <c r="A31" s="7"/>
      <c r="B31" s="7"/>
      <c r="C31" s="7"/>
      <c r="D31" s="7"/>
      <c r="E31" s="9" t="s">
        <v>3209</v>
      </c>
      <c r="F31" s="732" t="s">
        <v>3210</v>
      </c>
      <c r="G31" s="722" t="s">
        <v>1035</v>
      </c>
      <c r="H31" s="305">
        <v>450000</v>
      </c>
      <c r="I31" s="169" t="s">
        <v>3211</v>
      </c>
      <c r="J31" s="122"/>
      <c r="K31" s="123"/>
      <c r="L31" s="123"/>
      <c r="M31" s="125"/>
      <c r="N31" s="126"/>
    </row>
    <row r="32" spans="1:14" ht="21.75">
      <c r="A32" s="7"/>
      <c r="B32" s="7"/>
      <c r="C32" s="7"/>
      <c r="D32" s="7"/>
      <c r="E32" s="9" t="s">
        <v>3212</v>
      </c>
      <c r="F32" s="733"/>
      <c r="G32" s="723"/>
      <c r="H32" s="305">
        <v>450000</v>
      </c>
      <c r="I32" s="169" t="s">
        <v>3213</v>
      </c>
      <c r="J32" s="122"/>
      <c r="K32" s="123"/>
      <c r="L32" s="123"/>
      <c r="M32" s="125"/>
      <c r="N32" s="126"/>
    </row>
    <row r="33" spans="1:14" ht="21.75">
      <c r="A33" s="7"/>
      <c r="B33" s="7"/>
      <c r="C33" s="7"/>
      <c r="D33" s="7"/>
      <c r="E33" s="9" t="s">
        <v>2163</v>
      </c>
      <c r="F33" s="10" t="s">
        <v>3214</v>
      </c>
      <c r="G33" s="9" t="s">
        <v>3215</v>
      </c>
      <c r="H33" s="305">
        <v>450000</v>
      </c>
      <c r="I33" s="169" t="s">
        <v>3216</v>
      </c>
      <c r="J33" s="122"/>
      <c r="K33" s="123"/>
      <c r="L33" s="123"/>
      <c r="M33" s="125"/>
      <c r="N33" s="126"/>
    </row>
    <row r="34" spans="1:14" ht="21.75">
      <c r="A34" s="7"/>
      <c r="B34" s="7"/>
      <c r="C34" s="7"/>
      <c r="D34" s="7"/>
      <c r="E34" s="9" t="s">
        <v>2164</v>
      </c>
      <c r="F34" s="10" t="s">
        <v>1895</v>
      </c>
      <c r="G34" s="9" t="s">
        <v>3217</v>
      </c>
      <c r="H34" s="305">
        <v>450000</v>
      </c>
      <c r="I34" s="169" t="s">
        <v>3218</v>
      </c>
      <c r="J34" s="122"/>
      <c r="K34" s="123"/>
      <c r="L34" s="123"/>
      <c r="M34" s="125"/>
      <c r="N34" s="126"/>
    </row>
    <row r="35" spans="1:14" ht="21.75">
      <c r="A35" s="7"/>
      <c r="B35" s="7"/>
      <c r="C35" s="7"/>
      <c r="D35" s="7"/>
      <c r="E35" s="9" t="s">
        <v>3219</v>
      </c>
      <c r="F35" s="10"/>
      <c r="G35" s="9"/>
      <c r="H35" s="9">
        <v>450000</v>
      </c>
      <c r="I35" s="169" t="s">
        <v>3220</v>
      </c>
      <c r="J35" s="122"/>
      <c r="K35" s="123"/>
      <c r="L35" s="123"/>
      <c r="M35" s="125"/>
      <c r="N35" s="126"/>
    </row>
    <row r="36" spans="1:14" ht="21.75">
      <c r="A36" s="7"/>
      <c r="B36" s="7"/>
      <c r="C36" s="7"/>
      <c r="D36" s="7"/>
      <c r="E36" s="9"/>
      <c r="F36" s="10"/>
      <c r="G36" s="9"/>
      <c r="H36" s="9"/>
      <c r="I36" s="169"/>
      <c r="J36" s="122"/>
      <c r="K36" s="123"/>
      <c r="L36" s="123"/>
      <c r="M36" s="125"/>
      <c r="N36" s="126"/>
    </row>
    <row r="37" spans="1:14" ht="21.75">
      <c r="A37" s="7"/>
      <c r="B37" s="7"/>
      <c r="C37" s="7"/>
      <c r="D37" s="7"/>
      <c r="E37" s="9"/>
      <c r="F37" s="10"/>
      <c r="G37" s="9"/>
      <c r="H37" s="9"/>
      <c r="I37" s="169"/>
      <c r="J37" s="122"/>
      <c r="K37" s="123"/>
      <c r="L37" s="123"/>
      <c r="M37" s="125"/>
      <c r="N37" s="126"/>
    </row>
    <row r="38" spans="1:14" ht="21.75">
      <c r="A38" s="7"/>
      <c r="B38" s="7"/>
      <c r="C38" s="7"/>
      <c r="D38" s="7"/>
      <c r="E38" s="9"/>
      <c r="F38" s="10"/>
      <c r="G38" s="9"/>
      <c r="H38" s="9"/>
      <c r="I38" s="169"/>
      <c r="J38" s="122"/>
      <c r="K38" s="123"/>
      <c r="L38" s="123"/>
      <c r="M38" s="125"/>
      <c r="N38" s="126"/>
    </row>
    <row r="39" spans="1:14" ht="21.75">
      <c r="A39" s="7"/>
      <c r="B39" s="7"/>
      <c r="C39" s="7"/>
      <c r="D39" s="7"/>
      <c r="E39" s="9"/>
      <c r="F39" s="10"/>
      <c r="G39" s="9"/>
      <c r="H39" s="9"/>
      <c r="I39" s="169"/>
      <c r="J39" s="122"/>
      <c r="K39" s="123"/>
      <c r="L39" s="123"/>
      <c r="M39" s="125"/>
      <c r="N39" s="126"/>
    </row>
    <row r="40" spans="1:14" ht="21" customHeight="1">
      <c r="A40" s="7"/>
      <c r="B40" s="7"/>
      <c r="C40" s="7"/>
      <c r="D40" s="7"/>
      <c r="E40" s="9"/>
      <c r="F40" s="10"/>
      <c r="G40" s="9"/>
      <c r="H40" s="9">
        <f>SUM(H27:H35)</f>
        <v>4050000</v>
      </c>
      <c r="I40" s="169"/>
      <c r="J40" s="122"/>
      <c r="K40" s="123"/>
      <c r="L40" s="123"/>
      <c r="M40" s="125"/>
      <c r="N40" s="126"/>
    </row>
    <row r="41" spans="1:14" ht="21.75">
      <c r="A41" s="143"/>
      <c r="B41" s="143"/>
      <c r="C41" s="143"/>
      <c r="D41" s="143"/>
      <c r="E41" s="143"/>
      <c r="F41" s="143"/>
      <c r="G41" s="143"/>
      <c r="H41" s="143"/>
      <c r="I41" s="169"/>
      <c r="J41" s="122"/>
      <c r="K41" s="123"/>
      <c r="L41" s="123"/>
      <c r="M41" s="125"/>
      <c r="N41" s="126"/>
    </row>
    <row r="42" spans="1:14" ht="21.75">
      <c r="A42" s="709" t="s">
        <v>272</v>
      </c>
      <c r="B42" s="709"/>
      <c r="C42" s="709"/>
      <c r="D42" s="709"/>
      <c r="E42" s="709"/>
      <c r="F42" s="709"/>
      <c r="G42" s="709"/>
      <c r="H42" s="709"/>
      <c r="I42" s="299"/>
      <c r="J42" s="122"/>
      <c r="K42" s="123"/>
      <c r="L42" s="123"/>
      <c r="M42" s="125"/>
      <c r="N42" s="126"/>
    </row>
    <row r="43" spans="1:14" ht="21.75">
      <c r="A43" s="26"/>
      <c r="B43" s="26" t="s">
        <v>152</v>
      </c>
      <c r="C43" s="186" t="s">
        <v>273</v>
      </c>
      <c r="D43" s="26" t="s">
        <v>3184</v>
      </c>
      <c r="E43" s="28" t="s">
        <v>3195</v>
      </c>
      <c r="F43" s="151" t="s">
        <v>3196</v>
      </c>
      <c r="G43" s="28" t="s">
        <v>3197</v>
      </c>
      <c r="H43" s="307">
        <v>450000</v>
      </c>
      <c r="I43" s="169" t="s">
        <v>710</v>
      </c>
      <c r="J43" s="122"/>
      <c r="K43" s="123"/>
      <c r="L43" s="123"/>
      <c r="M43" s="125"/>
      <c r="N43" s="126"/>
    </row>
    <row r="44" spans="1:14" ht="21.75">
      <c r="A44" s="26"/>
      <c r="B44" s="26"/>
      <c r="C44" s="26"/>
      <c r="D44" s="26"/>
      <c r="E44" s="28" t="s">
        <v>3198</v>
      </c>
      <c r="F44" s="151" t="s">
        <v>3207</v>
      </c>
      <c r="G44" s="305" t="s">
        <v>3208</v>
      </c>
      <c r="H44" s="307">
        <v>450000</v>
      </c>
      <c r="I44" s="169" t="s">
        <v>3201</v>
      </c>
      <c r="J44" s="122"/>
      <c r="K44" s="123"/>
      <c r="L44" s="123"/>
      <c r="M44" s="125"/>
      <c r="N44" s="126"/>
    </row>
    <row r="45" spans="1:14" ht="21.75">
      <c r="A45" s="26"/>
      <c r="B45" s="26"/>
      <c r="C45" s="26"/>
      <c r="D45" s="26"/>
      <c r="E45" s="28" t="s">
        <v>3202</v>
      </c>
      <c r="F45" s="151"/>
      <c r="G45" s="307" t="s">
        <v>3221</v>
      </c>
      <c r="H45" s="307">
        <v>450000</v>
      </c>
      <c r="I45" s="25" t="s">
        <v>3222</v>
      </c>
      <c r="J45" s="122"/>
      <c r="K45" s="123"/>
      <c r="L45" s="123"/>
      <c r="M45" s="125"/>
      <c r="N45" s="126"/>
    </row>
    <row r="46" spans="1:14" ht="21.75">
      <c r="A46" s="26"/>
      <c r="B46" s="26"/>
      <c r="C46" s="26"/>
      <c r="D46" s="26"/>
      <c r="E46" s="28" t="s">
        <v>3206</v>
      </c>
      <c r="F46" s="151" t="s">
        <v>3199</v>
      </c>
      <c r="G46" s="9" t="s">
        <v>3200</v>
      </c>
      <c r="H46" s="307">
        <v>450000</v>
      </c>
      <c r="I46" s="169" t="s">
        <v>3201</v>
      </c>
      <c r="J46" s="122"/>
      <c r="K46" s="123"/>
      <c r="L46" s="123"/>
      <c r="M46" s="125"/>
      <c r="N46" s="126"/>
    </row>
    <row r="47" spans="1:14" ht="21.75">
      <c r="A47" s="26"/>
      <c r="B47" s="26"/>
      <c r="C47" s="26"/>
      <c r="D47" s="26"/>
      <c r="E47" s="28" t="s">
        <v>3209</v>
      </c>
      <c r="F47" s="151" t="s">
        <v>3203</v>
      </c>
      <c r="G47" s="308" t="s">
        <v>3223</v>
      </c>
      <c r="H47" s="307">
        <v>450000</v>
      </c>
      <c r="I47" s="169" t="s">
        <v>3205</v>
      </c>
      <c r="J47" s="122"/>
      <c r="K47" s="123"/>
      <c r="L47" s="123"/>
      <c r="M47" s="125"/>
      <c r="N47" s="126"/>
    </row>
    <row r="48" spans="1:14" ht="21.75">
      <c r="A48" s="26"/>
      <c r="B48" s="26"/>
      <c r="C48" s="26"/>
      <c r="D48" s="26"/>
      <c r="E48" s="28" t="s">
        <v>3212</v>
      </c>
      <c r="F48" s="151" t="s">
        <v>1895</v>
      </c>
      <c r="G48" s="9" t="s">
        <v>3217</v>
      </c>
      <c r="H48" s="307">
        <v>450000</v>
      </c>
      <c r="I48" s="169" t="s">
        <v>3218</v>
      </c>
      <c r="J48" s="122"/>
      <c r="K48" s="123"/>
      <c r="L48" s="123"/>
      <c r="M48" s="125"/>
      <c r="N48" s="126"/>
    </row>
    <row r="49" spans="1:14" ht="21.75">
      <c r="A49" s="26"/>
      <c r="B49" s="26"/>
      <c r="C49" s="26"/>
      <c r="D49" s="26"/>
      <c r="E49" s="28" t="s">
        <v>2163</v>
      </c>
      <c r="F49" s="728" t="s">
        <v>3210</v>
      </c>
      <c r="G49" s="28" t="s">
        <v>3224</v>
      </c>
      <c r="H49" s="307">
        <v>450000</v>
      </c>
      <c r="I49" s="169" t="s">
        <v>3225</v>
      </c>
      <c r="J49" s="122"/>
      <c r="K49" s="123"/>
      <c r="L49" s="123"/>
      <c r="M49" s="125"/>
      <c r="N49" s="126"/>
    </row>
    <row r="50" spans="1:14" ht="21.75">
      <c r="A50" s="26"/>
      <c r="B50" s="26"/>
      <c r="C50" s="26"/>
      <c r="D50" s="26"/>
      <c r="E50" s="28" t="s">
        <v>2164</v>
      </c>
      <c r="F50" s="728"/>
      <c r="G50" s="28" t="s">
        <v>3226</v>
      </c>
      <c r="H50" s="307">
        <v>450000</v>
      </c>
      <c r="I50" s="169" t="s">
        <v>3227</v>
      </c>
      <c r="J50" s="122"/>
      <c r="K50" s="123"/>
      <c r="L50" s="123"/>
      <c r="M50" s="125"/>
      <c r="N50" s="126"/>
    </row>
    <row r="51" spans="1:14" ht="21.75">
      <c r="A51" s="26"/>
      <c r="B51" s="26"/>
      <c r="C51" s="26"/>
      <c r="D51" s="26"/>
      <c r="E51" s="28" t="s">
        <v>3219</v>
      </c>
      <c r="F51" s="151" t="s">
        <v>2174</v>
      </c>
      <c r="G51" s="28" t="s">
        <v>3228</v>
      </c>
      <c r="H51" s="28">
        <v>450000</v>
      </c>
      <c r="I51" s="169" t="s">
        <v>3220</v>
      </c>
      <c r="J51" s="122"/>
      <c r="K51" s="123"/>
      <c r="L51" s="123"/>
      <c r="M51" s="125"/>
      <c r="N51" s="126"/>
    </row>
    <row r="52" spans="1:14" ht="21.75">
      <c r="A52" s="26"/>
      <c r="B52" s="26"/>
      <c r="C52" s="26"/>
      <c r="D52" s="26"/>
      <c r="E52" s="28" t="s">
        <v>2170</v>
      </c>
      <c r="F52" s="151" t="s">
        <v>3214</v>
      </c>
      <c r="G52" s="28" t="s">
        <v>3229</v>
      </c>
      <c r="H52" s="28">
        <v>450000</v>
      </c>
      <c r="I52" s="169" t="s">
        <v>3216</v>
      </c>
      <c r="J52" s="122"/>
      <c r="K52" s="123"/>
      <c r="L52" s="123"/>
      <c r="M52" s="125"/>
      <c r="N52" s="126"/>
    </row>
    <row r="53" spans="1:14" ht="21.75">
      <c r="A53" s="26"/>
      <c r="B53" s="26"/>
      <c r="C53" s="26"/>
      <c r="D53" s="26"/>
      <c r="E53" s="28" t="s">
        <v>2173</v>
      </c>
      <c r="F53" s="151" t="s">
        <v>3230</v>
      </c>
      <c r="G53" s="28" t="s">
        <v>826</v>
      </c>
      <c r="H53" s="28">
        <v>500000</v>
      </c>
      <c r="I53" s="169" t="s">
        <v>3231</v>
      </c>
      <c r="J53" s="122"/>
      <c r="K53" s="123"/>
      <c r="L53" s="123"/>
      <c r="M53" s="125"/>
      <c r="N53" s="126"/>
    </row>
    <row r="54" spans="1:14" ht="21.75">
      <c r="A54" s="26"/>
      <c r="B54" s="26"/>
      <c r="C54" s="26"/>
      <c r="D54" s="26"/>
      <c r="E54" s="28" t="s">
        <v>3232</v>
      </c>
      <c r="F54" s="151" t="s">
        <v>3233</v>
      </c>
      <c r="G54" s="28" t="s">
        <v>829</v>
      </c>
      <c r="H54" s="28">
        <v>1000000</v>
      </c>
      <c r="I54" s="169" t="s">
        <v>3234</v>
      </c>
      <c r="J54" s="122"/>
      <c r="K54" s="123"/>
      <c r="L54" s="123"/>
      <c r="M54" s="125"/>
      <c r="N54" s="126"/>
    </row>
    <row r="55" spans="1:14" ht="21.75">
      <c r="A55" s="26"/>
      <c r="B55" s="26"/>
      <c r="C55" s="26"/>
      <c r="D55" s="26"/>
      <c r="E55" s="28" t="s">
        <v>830</v>
      </c>
      <c r="F55" s="151" t="s">
        <v>3235</v>
      </c>
      <c r="G55" s="28" t="s">
        <v>832</v>
      </c>
      <c r="H55" s="28">
        <v>500000</v>
      </c>
      <c r="I55" s="169" t="s">
        <v>3236</v>
      </c>
      <c r="J55" s="122"/>
      <c r="K55" s="123"/>
      <c r="L55" s="123"/>
      <c r="M55" s="125"/>
      <c r="N55" s="126"/>
    </row>
    <row r="56" spans="1:14" ht="21.75">
      <c r="A56" s="26"/>
      <c r="B56" s="26"/>
      <c r="C56" s="26"/>
      <c r="D56" s="26"/>
      <c r="E56" s="28" t="s">
        <v>833</v>
      </c>
      <c r="F56" s="151" t="s">
        <v>3237</v>
      </c>
      <c r="G56" s="28" t="s">
        <v>835</v>
      </c>
      <c r="H56" s="28">
        <v>500000</v>
      </c>
      <c r="I56" s="169"/>
      <c r="J56" s="122"/>
      <c r="K56" s="123"/>
      <c r="L56" s="123"/>
      <c r="M56" s="125"/>
      <c r="N56" s="126"/>
    </row>
    <row r="57" spans="1:14" ht="21.75">
      <c r="A57" s="26"/>
      <c r="B57" s="26"/>
      <c r="C57" s="26"/>
      <c r="D57" s="26"/>
      <c r="E57" s="28" t="s">
        <v>3238</v>
      </c>
      <c r="F57" s="151" t="s">
        <v>3239</v>
      </c>
      <c r="G57" s="28" t="s">
        <v>838</v>
      </c>
      <c r="H57" s="28">
        <v>500000</v>
      </c>
      <c r="I57" s="169" t="s">
        <v>3240</v>
      </c>
      <c r="J57" s="122"/>
      <c r="K57" s="123"/>
      <c r="L57" s="123"/>
      <c r="M57" s="125"/>
      <c r="N57" s="126"/>
    </row>
    <row r="58" spans="1:14" ht="21.75">
      <c r="A58" s="26"/>
      <c r="B58" s="26"/>
      <c r="C58" s="26"/>
      <c r="D58" s="26"/>
      <c r="E58" s="28" t="s">
        <v>839</v>
      </c>
      <c r="F58" s="151"/>
      <c r="G58" s="28" t="s">
        <v>1067</v>
      </c>
      <c r="H58" s="28">
        <v>500000</v>
      </c>
      <c r="I58" s="169" t="s">
        <v>3241</v>
      </c>
      <c r="J58" s="122"/>
      <c r="K58" s="123"/>
      <c r="L58" s="123"/>
      <c r="M58" s="125"/>
      <c r="N58" s="126"/>
    </row>
    <row r="59" spans="1:14" ht="21.75">
      <c r="A59" s="26"/>
      <c r="B59" s="26"/>
      <c r="C59" s="26"/>
      <c r="D59" s="26"/>
      <c r="E59" s="28" t="s">
        <v>841</v>
      </c>
      <c r="F59" s="151" t="s">
        <v>3242</v>
      </c>
      <c r="G59" s="28" t="s">
        <v>843</v>
      </c>
      <c r="H59" s="28">
        <v>500000</v>
      </c>
      <c r="I59" s="169" t="s">
        <v>3243</v>
      </c>
      <c r="J59" s="122"/>
      <c r="K59" s="123"/>
      <c r="L59" s="123"/>
      <c r="M59" s="125"/>
      <c r="N59" s="126"/>
    </row>
    <row r="60" spans="1:14" ht="21.75">
      <c r="A60" s="26"/>
      <c r="B60" s="26"/>
      <c r="C60" s="26"/>
      <c r="D60" s="26"/>
      <c r="E60" s="28" t="s">
        <v>844</v>
      </c>
      <c r="F60" s="151" t="s">
        <v>3244</v>
      </c>
      <c r="G60" s="28" t="s">
        <v>846</v>
      </c>
      <c r="H60" s="307">
        <v>600000</v>
      </c>
      <c r="I60" s="169" t="s">
        <v>3245</v>
      </c>
      <c r="J60" s="122"/>
      <c r="K60" s="123"/>
      <c r="L60" s="123"/>
      <c r="M60" s="125"/>
      <c r="N60" s="126"/>
    </row>
    <row r="61" spans="1:14" ht="21.75">
      <c r="A61" s="26"/>
      <c r="B61" s="26"/>
      <c r="C61" s="26"/>
      <c r="D61" s="26"/>
      <c r="E61" s="28" t="s">
        <v>847</v>
      </c>
      <c r="F61" s="151"/>
      <c r="G61" s="28" t="s">
        <v>849</v>
      </c>
      <c r="H61" s="309">
        <v>600000</v>
      </c>
      <c r="I61" s="169" t="s">
        <v>3246</v>
      </c>
      <c r="J61" s="122"/>
      <c r="K61" s="123"/>
      <c r="L61" s="123"/>
      <c r="M61" s="125"/>
      <c r="N61" s="126"/>
    </row>
    <row r="62" spans="1:14" ht="21.75">
      <c r="A62" s="26"/>
      <c r="B62" s="26"/>
      <c r="C62" s="26"/>
      <c r="D62" s="26"/>
      <c r="E62" s="28" t="s">
        <v>3247</v>
      </c>
      <c r="F62" s="151" t="s">
        <v>3248</v>
      </c>
      <c r="G62" s="28" t="s">
        <v>852</v>
      </c>
      <c r="H62" s="28">
        <v>600000</v>
      </c>
      <c r="I62" s="169" t="s">
        <v>3249</v>
      </c>
      <c r="J62" s="122"/>
      <c r="K62" s="123"/>
      <c r="L62" s="123"/>
      <c r="M62" s="125"/>
      <c r="N62" s="126"/>
    </row>
    <row r="63" spans="1:14" ht="21.75">
      <c r="A63" s="26"/>
      <c r="B63" s="26"/>
      <c r="C63" s="26"/>
      <c r="D63" s="26"/>
      <c r="E63" s="28" t="s">
        <v>853</v>
      </c>
      <c r="F63" s="151"/>
      <c r="G63" s="28" t="s">
        <v>854</v>
      </c>
      <c r="H63" s="28">
        <v>600000</v>
      </c>
      <c r="I63" s="169" t="s">
        <v>3249</v>
      </c>
      <c r="J63" s="122"/>
      <c r="K63" s="123"/>
      <c r="L63" s="123"/>
      <c r="M63" s="125"/>
      <c r="N63" s="126"/>
    </row>
    <row r="64" spans="1:14" ht="21.75">
      <c r="A64" s="26"/>
      <c r="B64" s="26"/>
      <c r="C64" s="26"/>
      <c r="D64" s="26"/>
      <c r="E64" s="28" t="s">
        <v>855</v>
      </c>
      <c r="F64" s="151" t="s">
        <v>3250</v>
      </c>
      <c r="G64" s="28" t="s">
        <v>857</v>
      </c>
      <c r="H64" s="28">
        <v>1200000</v>
      </c>
      <c r="I64" s="169" t="s">
        <v>3251</v>
      </c>
      <c r="J64" s="122"/>
      <c r="K64" s="123"/>
      <c r="L64" s="123"/>
      <c r="M64" s="125"/>
      <c r="N64" s="126"/>
    </row>
    <row r="65" spans="1:14" ht="21.75">
      <c r="A65" s="26"/>
      <c r="B65" s="26"/>
      <c r="C65" s="26"/>
      <c r="D65" s="26"/>
      <c r="E65" s="28" t="s">
        <v>858</v>
      </c>
      <c r="F65" s="151" t="s">
        <v>3252</v>
      </c>
      <c r="G65" s="28" t="s">
        <v>859</v>
      </c>
      <c r="H65" s="28">
        <v>600000</v>
      </c>
      <c r="I65" s="169" t="s">
        <v>3251</v>
      </c>
      <c r="J65" s="122"/>
      <c r="K65" s="123"/>
      <c r="L65" s="123"/>
      <c r="M65" s="125"/>
      <c r="N65" s="126"/>
    </row>
    <row r="66" spans="1:14" ht="21.75">
      <c r="A66" s="26"/>
      <c r="B66" s="26"/>
      <c r="C66" s="26"/>
      <c r="D66" s="26"/>
      <c r="E66" s="28" t="s">
        <v>3253</v>
      </c>
      <c r="F66" s="151" t="s">
        <v>3254</v>
      </c>
      <c r="G66" s="28" t="s">
        <v>863</v>
      </c>
      <c r="H66" s="28">
        <v>1200000</v>
      </c>
      <c r="I66" s="169" t="s">
        <v>3251</v>
      </c>
      <c r="J66" s="122"/>
      <c r="K66" s="123"/>
      <c r="L66" s="123"/>
      <c r="M66" s="125"/>
      <c r="N66" s="126"/>
    </row>
    <row r="67" spans="1:14" ht="21.75">
      <c r="A67" s="26"/>
      <c r="B67" s="26"/>
      <c r="C67" s="26"/>
      <c r="D67" s="26"/>
      <c r="E67" s="28" t="s">
        <v>3255</v>
      </c>
      <c r="F67" s="151" t="s">
        <v>3256</v>
      </c>
      <c r="G67" s="28" t="s">
        <v>3257</v>
      </c>
      <c r="H67" s="28">
        <v>2880000</v>
      </c>
      <c r="I67" s="169" t="s">
        <v>3251</v>
      </c>
      <c r="J67" s="122"/>
      <c r="K67" s="123"/>
      <c r="L67" s="123"/>
      <c r="M67" s="125"/>
      <c r="N67" s="126"/>
    </row>
    <row r="68" spans="1:14" ht="21.75">
      <c r="A68" s="26"/>
      <c r="B68" s="26"/>
      <c r="C68" s="26"/>
      <c r="D68" s="26"/>
      <c r="E68" s="28" t="s">
        <v>276</v>
      </c>
      <c r="F68" s="151" t="s">
        <v>3258</v>
      </c>
      <c r="G68" s="28" t="s">
        <v>2906</v>
      </c>
      <c r="H68" s="28">
        <v>1440000</v>
      </c>
      <c r="I68" s="169" t="s">
        <v>3251</v>
      </c>
      <c r="J68" s="122"/>
      <c r="K68" s="123"/>
      <c r="L68" s="123"/>
      <c r="M68" s="125"/>
      <c r="N68" s="126"/>
    </row>
    <row r="69" spans="1:14" ht="21.75">
      <c r="A69" s="26"/>
      <c r="B69" s="26"/>
      <c r="C69" s="26"/>
      <c r="D69" s="26"/>
      <c r="E69" s="28"/>
      <c r="F69" s="151"/>
      <c r="G69" s="28"/>
      <c r="H69" s="28"/>
      <c r="I69" s="169"/>
      <c r="J69" s="122"/>
      <c r="K69" s="123"/>
      <c r="L69" s="123"/>
      <c r="M69" s="125"/>
      <c r="N69" s="126"/>
    </row>
    <row r="70" spans="1:14" ht="21.75">
      <c r="A70" s="26"/>
      <c r="B70" s="26"/>
      <c r="C70" s="26"/>
      <c r="D70" s="26"/>
      <c r="E70" s="28"/>
      <c r="F70" s="151"/>
      <c r="G70" s="28"/>
      <c r="H70" s="28">
        <f>SUM(H43:H69)</f>
        <v>18220000</v>
      </c>
      <c r="I70" s="169"/>
      <c r="J70" s="122"/>
      <c r="K70" s="123"/>
      <c r="L70" s="123"/>
      <c r="M70" s="125"/>
      <c r="N70" s="126"/>
    </row>
    <row r="71" spans="1:14" ht="21.75">
      <c r="G71" s="90"/>
      <c r="J71" s="139"/>
      <c r="K71" s="140"/>
      <c r="L71" s="140"/>
      <c r="M71" s="141"/>
      <c r="N71" s="142"/>
    </row>
  </sheetData>
  <mergeCells count="19">
    <mergeCell ref="A2:H2"/>
    <mergeCell ref="J2:M2"/>
    <mergeCell ref="A3:A4"/>
    <mergeCell ref="B3:B4"/>
    <mergeCell ref="C3:C4"/>
    <mergeCell ref="D3:D4"/>
    <mergeCell ref="E3:E4"/>
    <mergeCell ref="G3:G4"/>
    <mergeCell ref="J3:J4"/>
    <mergeCell ref="K3:K4"/>
    <mergeCell ref="A42:H42"/>
    <mergeCell ref="F49:F50"/>
    <mergeCell ref="L3:L4"/>
    <mergeCell ref="M3:M4"/>
    <mergeCell ref="N3:N4"/>
    <mergeCell ref="A15:H15"/>
    <mergeCell ref="A26:H26"/>
    <mergeCell ref="F31:F32"/>
    <mergeCell ref="G31:G32"/>
  </mergeCells>
  <hyperlinks>
    <hyperlink ref="A1" location="Name!A1" display="Name!A1" xr:uid="{64296DE5-0AEB-4F89-BDE6-253B1A886482}"/>
  </hyperlinks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0E44-A6D2-40B4-9EF0-5FDB388F2A97}">
  <dimension ref="A1:M101"/>
  <sheetViews>
    <sheetView topLeftCell="A79" workbookViewId="0">
      <selection activeCell="A89" sqref="A89"/>
    </sheetView>
  </sheetViews>
  <sheetFormatPr defaultColWidth="9.140625" defaultRowHeight="22.5"/>
  <cols>
    <col min="1" max="1" width="6.140625" style="51" customWidth="1"/>
    <col min="2" max="4" width="15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13" style="51" customWidth="1"/>
    <col min="10" max="10" width="14.140625" style="51" customWidth="1"/>
    <col min="11" max="11" width="11.5703125" style="562" customWidth="1"/>
    <col min="12" max="12" width="30.42578125" style="562" customWidth="1"/>
    <col min="13" max="13" width="20.28515625" style="563" customWidth="1"/>
    <col min="14" max="16384" width="9.140625" style="51"/>
  </cols>
  <sheetData>
    <row r="1" spans="1:10">
      <c r="A1" s="411" t="s">
        <v>648</v>
      </c>
    </row>
    <row r="3" spans="1:10">
      <c r="A3" s="652" t="s">
        <v>972</v>
      </c>
      <c r="B3" s="652"/>
      <c r="C3" s="652"/>
      <c r="D3" s="652"/>
      <c r="E3" s="652"/>
      <c r="F3" s="652"/>
      <c r="G3" s="652"/>
      <c r="H3" s="652"/>
      <c r="I3" s="652"/>
    </row>
    <row r="4" spans="1:10" ht="28.5">
      <c r="A4" s="16" t="s">
        <v>1469</v>
      </c>
      <c r="B4" s="17" t="s">
        <v>697</v>
      </c>
      <c r="C4" s="17" t="s">
        <v>12</v>
      </c>
      <c r="D4" s="17" t="s">
        <v>894</v>
      </c>
      <c r="E4" s="16" t="s">
        <v>699</v>
      </c>
      <c r="F4" s="16" t="s">
        <v>657</v>
      </c>
      <c r="G4" s="17" t="s">
        <v>700</v>
      </c>
      <c r="H4" s="16" t="s">
        <v>660</v>
      </c>
      <c r="I4" s="16" t="s">
        <v>27</v>
      </c>
    </row>
    <row r="5" spans="1:10">
      <c r="A5" s="18">
        <v>1</v>
      </c>
      <c r="B5" s="18" t="s">
        <v>152</v>
      </c>
      <c r="C5" s="18" t="s">
        <v>3259</v>
      </c>
      <c r="D5" s="34" t="s">
        <v>268</v>
      </c>
      <c r="E5" s="34" t="s">
        <v>703</v>
      </c>
      <c r="F5" s="20" t="s">
        <v>3260</v>
      </c>
      <c r="G5" s="18" t="s">
        <v>1495</v>
      </c>
      <c r="H5" s="21">
        <v>500000</v>
      </c>
      <c r="I5" s="21"/>
    </row>
    <row r="6" spans="1:10">
      <c r="A6" s="18"/>
      <c r="B6" s="18"/>
      <c r="C6" s="18"/>
      <c r="D6" s="224"/>
      <c r="E6" s="19" t="s">
        <v>3261</v>
      </c>
      <c r="F6" s="20" t="s">
        <v>3260</v>
      </c>
      <c r="G6" s="18" t="s">
        <v>1495</v>
      </c>
      <c r="H6" s="21">
        <v>1000000</v>
      </c>
      <c r="I6" s="21"/>
    </row>
    <row r="7" spans="1:10">
      <c r="A7" s="18"/>
      <c r="B7" s="18"/>
      <c r="C7" s="18"/>
      <c r="D7" s="224"/>
      <c r="E7" s="22" t="s">
        <v>3262</v>
      </c>
      <c r="F7" s="20" t="s">
        <v>3263</v>
      </c>
      <c r="G7" s="18" t="s">
        <v>3264</v>
      </c>
      <c r="H7" s="21">
        <v>1000000</v>
      </c>
      <c r="I7" s="21"/>
      <c r="J7" s="51" t="s">
        <v>3265</v>
      </c>
    </row>
    <row r="8" spans="1:10">
      <c r="A8" s="18"/>
      <c r="B8" s="18"/>
      <c r="C8" s="18"/>
      <c r="D8" s="224"/>
      <c r="E8" s="22" t="s">
        <v>3266</v>
      </c>
      <c r="F8" s="20" t="s">
        <v>3267</v>
      </c>
      <c r="G8" s="18" t="s">
        <v>3268</v>
      </c>
      <c r="H8" s="21">
        <v>500000</v>
      </c>
      <c r="I8" s="21"/>
      <c r="J8" s="51" t="s">
        <v>3269</v>
      </c>
    </row>
    <row r="9" spans="1:10">
      <c r="A9" s="18"/>
      <c r="B9" s="18"/>
      <c r="C9" s="18"/>
      <c r="D9" s="224"/>
      <c r="E9" s="22" t="s">
        <v>1066</v>
      </c>
      <c r="F9" s="20"/>
      <c r="G9" s="18" t="s">
        <v>3270</v>
      </c>
      <c r="H9" s="21">
        <v>-500000</v>
      </c>
      <c r="I9" s="21"/>
      <c r="J9" s="51" t="s">
        <v>3271</v>
      </c>
    </row>
    <row r="10" spans="1:10">
      <c r="A10" s="18"/>
      <c r="B10" s="18"/>
      <c r="C10" s="18"/>
      <c r="D10" s="224"/>
      <c r="E10" s="22"/>
      <c r="F10" s="20"/>
      <c r="G10" s="18"/>
      <c r="H10" s="21"/>
      <c r="I10" s="21"/>
    </row>
    <row r="11" spans="1:10">
      <c r="A11" s="18"/>
      <c r="B11" s="18"/>
      <c r="C11" s="18"/>
      <c r="D11" s="224"/>
      <c r="E11" s="22"/>
      <c r="F11" s="20"/>
      <c r="G11" s="18"/>
      <c r="H11" s="21"/>
      <c r="I11" s="21"/>
    </row>
    <row r="12" spans="1:10">
      <c r="A12" s="18"/>
      <c r="B12" s="18"/>
      <c r="C12" s="18"/>
      <c r="D12" s="224"/>
      <c r="E12" s="22"/>
      <c r="F12" s="20"/>
      <c r="G12" s="18"/>
      <c r="H12" s="21"/>
      <c r="I12" s="21"/>
    </row>
    <row r="13" spans="1:10">
      <c r="A13" s="18"/>
      <c r="B13" s="18"/>
      <c r="C13" s="18"/>
      <c r="D13" s="18"/>
      <c r="E13" s="18"/>
      <c r="F13" s="21"/>
      <c r="G13" s="18"/>
      <c r="H13" s="50">
        <f>SUM(H5:H12)</f>
        <v>2500000</v>
      </c>
      <c r="I13" s="21"/>
    </row>
    <row r="16" spans="1:10">
      <c r="A16" s="652" t="s">
        <v>3272</v>
      </c>
      <c r="B16" s="652"/>
      <c r="C16" s="652"/>
      <c r="D16" s="652"/>
      <c r="E16" s="652"/>
      <c r="F16" s="652"/>
      <c r="G16" s="652"/>
      <c r="H16" s="652"/>
      <c r="I16" s="652"/>
    </row>
    <row r="17" spans="1:9" ht="28.5">
      <c r="A17" s="16" t="s">
        <v>11</v>
      </c>
      <c r="B17" s="17" t="s">
        <v>697</v>
      </c>
      <c r="C17" s="17" t="s">
        <v>12</v>
      </c>
      <c r="D17" s="17" t="s">
        <v>894</v>
      </c>
      <c r="E17" s="16" t="s">
        <v>699</v>
      </c>
      <c r="F17" s="16" t="s">
        <v>657</v>
      </c>
      <c r="G17" s="17" t="s">
        <v>700</v>
      </c>
      <c r="H17" s="16" t="s">
        <v>660</v>
      </c>
      <c r="I17" s="16" t="s">
        <v>27</v>
      </c>
    </row>
    <row r="18" spans="1:9">
      <c r="A18" s="18">
        <v>1</v>
      </c>
      <c r="B18" s="18" t="s">
        <v>152</v>
      </c>
      <c r="C18" s="18" t="s">
        <v>3259</v>
      </c>
      <c r="D18" s="34" t="s">
        <v>268</v>
      </c>
      <c r="E18" s="34" t="s">
        <v>703</v>
      </c>
      <c r="F18" s="20" t="s">
        <v>3273</v>
      </c>
      <c r="G18" s="18" t="s">
        <v>3274</v>
      </c>
      <c r="H18" s="21">
        <v>500000</v>
      </c>
      <c r="I18" s="21"/>
    </row>
    <row r="19" spans="1:9">
      <c r="A19" s="18"/>
      <c r="B19" s="18"/>
      <c r="C19" s="18"/>
      <c r="D19" s="224"/>
      <c r="E19" s="19" t="s">
        <v>3275</v>
      </c>
      <c r="F19" s="20" t="s">
        <v>3273</v>
      </c>
      <c r="G19" s="18" t="s">
        <v>3274</v>
      </c>
      <c r="H19" s="21">
        <v>500000</v>
      </c>
      <c r="I19" s="21"/>
    </row>
    <row r="20" spans="1:9">
      <c r="A20" s="18"/>
      <c r="B20" s="18"/>
      <c r="C20" s="18"/>
      <c r="D20" s="224"/>
      <c r="E20" s="22" t="s">
        <v>3276</v>
      </c>
      <c r="F20" s="20" t="s">
        <v>3277</v>
      </c>
      <c r="G20" s="18" t="s">
        <v>3278</v>
      </c>
      <c r="H20" s="21">
        <v>500000</v>
      </c>
      <c r="I20" s="21"/>
    </row>
    <row r="21" spans="1:9">
      <c r="A21" s="18"/>
      <c r="B21" s="18"/>
      <c r="C21" s="18"/>
      <c r="D21" s="224"/>
      <c r="E21" s="22" t="s">
        <v>1006</v>
      </c>
      <c r="F21" s="20" t="s">
        <v>3277</v>
      </c>
      <c r="G21" s="18" t="s">
        <v>3278</v>
      </c>
      <c r="H21" s="21">
        <v>-250000</v>
      </c>
      <c r="I21" s="21"/>
    </row>
    <row r="22" spans="1:9">
      <c r="A22" s="18"/>
      <c r="B22" s="18"/>
      <c r="C22" s="18"/>
      <c r="D22" s="224"/>
      <c r="E22" s="22" t="s">
        <v>3279</v>
      </c>
      <c r="F22" s="20" t="s">
        <v>3280</v>
      </c>
      <c r="G22" s="18" t="s">
        <v>3281</v>
      </c>
      <c r="H22" s="21">
        <v>2417500</v>
      </c>
      <c r="I22" s="21"/>
    </row>
    <row r="23" spans="1:9">
      <c r="A23" s="18"/>
      <c r="B23" s="18"/>
      <c r="C23" s="18"/>
      <c r="D23" s="224"/>
      <c r="E23" s="22"/>
      <c r="F23" s="20"/>
      <c r="G23" s="18"/>
      <c r="H23" s="21"/>
      <c r="I23" s="21"/>
    </row>
    <row r="24" spans="1:9">
      <c r="A24" s="18"/>
      <c r="B24" s="18"/>
      <c r="C24" s="18"/>
      <c r="D24" s="224"/>
      <c r="E24" s="22"/>
      <c r="F24" s="20"/>
      <c r="G24" s="18"/>
      <c r="H24" s="21"/>
      <c r="I24" s="21"/>
    </row>
    <row r="25" spans="1:9">
      <c r="A25" s="18"/>
      <c r="B25" s="18"/>
      <c r="C25" s="18"/>
      <c r="D25" s="224"/>
      <c r="E25" s="22"/>
      <c r="F25" s="20"/>
      <c r="G25" s="18"/>
      <c r="H25" s="21"/>
      <c r="I25" s="21"/>
    </row>
    <row r="26" spans="1:9">
      <c r="A26" s="18"/>
      <c r="B26" s="18"/>
      <c r="C26" s="18"/>
      <c r="D26" s="18"/>
      <c r="E26" s="18"/>
      <c r="F26" s="21"/>
      <c r="G26" s="18"/>
      <c r="H26" s="50">
        <f>SUM(H18:H25)</f>
        <v>3667500</v>
      </c>
      <c r="I26" s="21"/>
    </row>
    <row r="28" spans="1:9">
      <c r="A28" s="652" t="s">
        <v>3282</v>
      </c>
      <c r="B28" s="652"/>
      <c r="C28" s="652"/>
      <c r="D28" s="652"/>
      <c r="E28" s="652"/>
      <c r="F28" s="652"/>
      <c r="G28" s="652"/>
      <c r="H28" s="652"/>
      <c r="I28" s="652"/>
    </row>
    <row r="29" spans="1:9" ht="28.5">
      <c r="A29" s="16" t="s">
        <v>11</v>
      </c>
      <c r="B29" s="17" t="s">
        <v>697</v>
      </c>
      <c r="C29" s="17" t="s">
        <v>12</v>
      </c>
      <c r="D29" s="17" t="s">
        <v>894</v>
      </c>
      <c r="E29" s="16" t="s">
        <v>699</v>
      </c>
      <c r="F29" s="16" t="s">
        <v>657</v>
      </c>
      <c r="G29" s="17" t="s">
        <v>700</v>
      </c>
      <c r="H29" s="16" t="s">
        <v>660</v>
      </c>
      <c r="I29" s="16" t="s">
        <v>27</v>
      </c>
    </row>
    <row r="30" spans="1:9">
      <c r="A30" s="18">
        <v>1</v>
      </c>
      <c r="B30" s="18" t="s">
        <v>152</v>
      </c>
      <c r="C30" s="18">
        <v>9176</v>
      </c>
      <c r="D30" s="34" t="s">
        <v>268</v>
      </c>
      <c r="E30" s="34" t="s">
        <v>703</v>
      </c>
      <c r="F30" s="20" t="s">
        <v>3283</v>
      </c>
      <c r="G30" s="18" t="s">
        <v>3284</v>
      </c>
      <c r="H30" s="21">
        <v>450000</v>
      </c>
      <c r="I30" s="21"/>
    </row>
    <row r="31" spans="1:9">
      <c r="A31" s="18"/>
      <c r="B31" s="18"/>
      <c r="C31" s="18"/>
      <c r="D31" s="224"/>
      <c r="E31" s="19" t="s">
        <v>3285</v>
      </c>
      <c r="F31" s="20" t="s">
        <v>3283</v>
      </c>
      <c r="G31" s="18" t="s">
        <v>3284</v>
      </c>
      <c r="H31" s="21">
        <v>450000</v>
      </c>
      <c r="I31" s="21"/>
    </row>
    <row r="32" spans="1:9">
      <c r="A32" s="18"/>
      <c r="B32" s="18"/>
      <c r="C32" s="18"/>
      <c r="D32" s="224"/>
      <c r="E32" s="22" t="s">
        <v>3286</v>
      </c>
      <c r="F32" s="20" t="s">
        <v>3287</v>
      </c>
      <c r="G32" s="18" t="s">
        <v>3288</v>
      </c>
      <c r="H32" s="21">
        <f>450000*4+300000</f>
        <v>2100000</v>
      </c>
      <c r="I32" s="21"/>
    </row>
    <row r="33" spans="1:10">
      <c r="A33" s="18"/>
      <c r="B33" s="18"/>
      <c r="C33" s="18"/>
      <c r="D33" s="224"/>
      <c r="E33" s="22" t="s">
        <v>1066</v>
      </c>
      <c r="F33" s="20"/>
      <c r="G33" s="18"/>
      <c r="H33" s="21">
        <v>-450000</v>
      </c>
      <c r="I33" s="21"/>
    </row>
    <row r="34" spans="1:10">
      <c r="A34" s="18"/>
      <c r="B34" s="18"/>
      <c r="C34" s="18"/>
      <c r="D34" s="224"/>
      <c r="E34" s="22"/>
      <c r="F34" s="20"/>
      <c r="G34" s="18"/>
      <c r="H34" s="21"/>
      <c r="I34" s="21"/>
    </row>
    <row r="35" spans="1:10">
      <c r="A35" s="18"/>
      <c r="B35" s="18"/>
      <c r="C35" s="18"/>
      <c r="D35" s="224"/>
      <c r="E35" s="22"/>
      <c r="F35" s="20"/>
      <c r="G35" s="18"/>
      <c r="H35" s="21"/>
      <c r="I35" s="21"/>
    </row>
    <row r="36" spans="1:10">
      <c r="A36" s="18"/>
      <c r="B36" s="18"/>
      <c r="C36" s="18"/>
      <c r="D36" s="224"/>
      <c r="E36" s="22"/>
      <c r="F36" s="20"/>
      <c r="G36" s="18"/>
      <c r="H36" s="21"/>
      <c r="I36" s="21"/>
    </row>
    <row r="37" spans="1:10">
      <c r="A37" s="18"/>
      <c r="B37" s="18"/>
      <c r="C37" s="18"/>
      <c r="D37" s="224"/>
      <c r="E37" s="22"/>
      <c r="F37" s="20"/>
      <c r="G37" s="18"/>
      <c r="H37" s="21"/>
      <c r="I37" s="21"/>
    </row>
    <row r="38" spans="1:10">
      <c r="A38" s="18"/>
      <c r="B38" s="18"/>
      <c r="C38" s="18"/>
      <c r="D38" s="18"/>
      <c r="E38" s="18"/>
      <c r="F38" s="21"/>
      <c r="G38" s="18"/>
      <c r="H38" s="50">
        <f>SUM(H30:H37)</f>
        <v>2550000</v>
      </c>
      <c r="I38" s="21"/>
    </row>
    <row r="40" spans="1:10">
      <c r="A40" s="652" t="s">
        <v>3289</v>
      </c>
      <c r="B40" s="652"/>
      <c r="C40" s="652"/>
      <c r="D40" s="652"/>
      <c r="E40" s="652"/>
      <c r="F40" s="652"/>
      <c r="G40" s="652"/>
      <c r="H40" s="652"/>
      <c r="I40" s="652"/>
    </row>
    <row r="41" spans="1:10" ht="28.5">
      <c r="A41" s="16" t="s">
        <v>11</v>
      </c>
      <c r="B41" s="17" t="s">
        <v>697</v>
      </c>
      <c r="C41" s="17" t="s">
        <v>12</v>
      </c>
      <c r="D41" s="17" t="s">
        <v>894</v>
      </c>
      <c r="E41" s="16" t="s">
        <v>699</v>
      </c>
      <c r="F41" s="16" t="s">
        <v>657</v>
      </c>
      <c r="G41" s="17" t="s">
        <v>700</v>
      </c>
      <c r="H41" s="16" t="s">
        <v>660</v>
      </c>
      <c r="I41" s="16" t="s">
        <v>27</v>
      </c>
    </row>
    <row r="42" spans="1:10">
      <c r="A42" s="18">
        <v>1</v>
      </c>
      <c r="B42" s="18" t="s">
        <v>152</v>
      </c>
      <c r="C42" s="18" t="s">
        <v>3259</v>
      </c>
      <c r="D42" s="34" t="s">
        <v>268</v>
      </c>
      <c r="E42" s="34" t="s">
        <v>3290</v>
      </c>
      <c r="F42" s="20" t="s">
        <v>3291</v>
      </c>
      <c r="G42" s="18" t="s">
        <v>3292</v>
      </c>
      <c r="H42" s="21">
        <v>1000000</v>
      </c>
      <c r="I42" s="21"/>
    </row>
    <row r="43" spans="1:10">
      <c r="A43" s="18"/>
      <c r="B43" s="18"/>
      <c r="C43" s="18"/>
      <c r="D43" s="224"/>
      <c r="E43" s="19" t="s">
        <v>3293</v>
      </c>
      <c r="F43" s="20"/>
      <c r="G43" s="18" t="s">
        <v>3294</v>
      </c>
      <c r="H43" s="21"/>
      <c r="I43" s="21"/>
      <c r="J43" s="51" t="s">
        <v>3295</v>
      </c>
    </row>
    <row r="44" spans="1:10">
      <c r="A44" s="18"/>
      <c r="B44" s="18"/>
      <c r="C44" s="18"/>
      <c r="D44" s="224"/>
      <c r="E44" s="22"/>
      <c r="F44" s="20"/>
      <c r="G44" s="18"/>
      <c r="H44" s="21"/>
      <c r="I44" s="21"/>
    </row>
    <row r="45" spans="1:10">
      <c r="A45" s="18"/>
      <c r="B45" s="18"/>
      <c r="C45" s="18"/>
      <c r="D45" s="224"/>
      <c r="E45" s="22"/>
      <c r="F45" s="20"/>
      <c r="G45" s="18"/>
      <c r="H45" s="21"/>
      <c r="I45" s="21"/>
    </row>
    <row r="46" spans="1:10">
      <c r="A46" s="18"/>
      <c r="B46" s="18"/>
      <c r="C46" s="18"/>
      <c r="D46" s="224"/>
      <c r="E46" s="22"/>
      <c r="F46" s="20"/>
      <c r="G46" s="18"/>
      <c r="H46" s="21"/>
      <c r="I46" s="21"/>
    </row>
    <row r="47" spans="1:10">
      <c r="A47" s="18"/>
      <c r="B47" s="18"/>
      <c r="C47" s="18"/>
      <c r="D47" s="224"/>
      <c r="E47" s="22"/>
      <c r="F47" s="20"/>
      <c r="G47" s="18"/>
      <c r="H47" s="21"/>
      <c r="I47" s="21"/>
    </row>
    <row r="48" spans="1:10">
      <c r="A48" s="18"/>
      <c r="B48" s="18"/>
      <c r="C48" s="18"/>
      <c r="D48" s="224"/>
      <c r="E48" s="22"/>
      <c r="F48" s="20"/>
      <c r="G48" s="18"/>
      <c r="H48" s="21"/>
      <c r="I48" s="21"/>
    </row>
    <row r="49" spans="1:9">
      <c r="A49" s="18"/>
      <c r="B49" s="18"/>
      <c r="C49" s="18"/>
      <c r="D49" s="224"/>
      <c r="E49" s="22"/>
      <c r="F49" s="20"/>
      <c r="G49" s="18"/>
      <c r="H49" s="21"/>
      <c r="I49" s="21"/>
    </row>
    <row r="50" spans="1:9">
      <c r="A50" s="18"/>
      <c r="B50" s="18"/>
      <c r="C50" s="18"/>
      <c r="D50" s="18"/>
      <c r="E50" s="18"/>
      <c r="F50" s="21"/>
      <c r="G50" s="18"/>
      <c r="H50" s="50">
        <f>SUM(H42:H49)</f>
        <v>1000000</v>
      </c>
      <c r="I50" s="21"/>
    </row>
    <row r="52" spans="1:9">
      <c r="A52" s="652" t="s">
        <v>3296</v>
      </c>
      <c r="B52" s="652"/>
      <c r="C52" s="652"/>
      <c r="D52" s="652"/>
      <c r="E52" s="652"/>
      <c r="F52" s="652"/>
      <c r="G52" s="652"/>
      <c r="H52" s="652"/>
      <c r="I52" s="652"/>
    </row>
    <row r="53" spans="1:9" ht="28.5">
      <c r="A53" s="16" t="s">
        <v>11</v>
      </c>
      <c r="B53" s="17" t="s">
        <v>697</v>
      </c>
      <c r="C53" s="17" t="s">
        <v>12</v>
      </c>
      <c r="D53" s="17" t="s">
        <v>894</v>
      </c>
      <c r="E53" s="16" t="s">
        <v>699</v>
      </c>
      <c r="F53" s="16" t="s">
        <v>657</v>
      </c>
      <c r="G53" s="17" t="s">
        <v>700</v>
      </c>
      <c r="H53" s="16" t="s">
        <v>660</v>
      </c>
      <c r="I53" s="16" t="s">
        <v>27</v>
      </c>
    </row>
    <row r="54" spans="1:9">
      <c r="A54" s="18">
        <v>1</v>
      </c>
      <c r="B54" s="18" t="s">
        <v>152</v>
      </c>
      <c r="C54" s="18" t="s">
        <v>3259</v>
      </c>
      <c r="D54" s="34" t="s">
        <v>268</v>
      </c>
      <c r="E54" s="34" t="s">
        <v>3297</v>
      </c>
      <c r="F54" s="20" t="s">
        <v>3298</v>
      </c>
      <c r="G54" s="18" t="s">
        <v>3299</v>
      </c>
      <c r="H54" s="21">
        <v>1500000</v>
      </c>
      <c r="I54" s="21"/>
    </row>
    <row r="55" spans="1:9">
      <c r="A55" s="18"/>
      <c r="B55" s="18"/>
      <c r="C55" s="18"/>
      <c r="D55" s="224"/>
      <c r="E55" s="19" t="s">
        <v>3300</v>
      </c>
      <c r="F55" s="20" t="s">
        <v>3301</v>
      </c>
      <c r="G55" s="18" t="s">
        <v>1883</v>
      </c>
      <c r="H55" s="21">
        <v>500000</v>
      </c>
      <c r="I55" s="21"/>
    </row>
    <row r="56" spans="1:9">
      <c r="A56" s="18"/>
      <c r="B56" s="18"/>
      <c r="C56" s="18"/>
      <c r="D56" s="224"/>
      <c r="E56" s="22" t="s">
        <v>3302</v>
      </c>
      <c r="F56" s="20" t="s">
        <v>3303</v>
      </c>
      <c r="G56" s="164" t="s">
        <v>3303</v>
      </c>
      <c r="H56" s="21">
        <v>288000</v>
      </c>
      <c r="I56" s="21"/>
    </row>
    <row r="57" spans="1:9">
      <c r="A57" s="18"/>
      <c r="B57" s="18"/>
      <c r="C57" s="18"/>
      <c r="D57" s="224"/>
      <c r="E57" s="22"/>
      <c r="F57" s="20"/>
      <c r="G57" s="18"/>
      <c r="H57" s="21"/>
      <c r="I57" s="21"/>
    </row>
    <row r="58" spans="1:9">
      <c r="A58" s="18"/>
      <c r="B58" s="18"/>
      <c r="C58" s="18"/>
      <c r="D58" s="224"/>
      <c r="E58" s="22"/>
      <c r="F58" s="20"/>
      <c r="G58" s="18"/>
      <c r="H58" s="21"/>
      <c r="I58" s="21"/>
    </row>
    <row r="59" spans="1:9">
      <c r="A59" s="18"/>
      <c r="B59" s="18"/>
      <c r="C59" s="18"/>
      <c r="D59" s="224"/>
      <c r="E59" s="22"/>
      <c r="F59" s="20"/>
      <c r="G59" s="18"/>
      <c r="H59" s="21"/>
      <c r="I59" s="21"/>
    </row>
    <row r="60" spans="1:9">
      <c r="A60" s="18"/>
      <c r="B60" s="18"/>
      <c r="C60" s="18"/>
      <c r="D60" s="224"/>
      <c r="E60" s="22"/>
      <c r="F60" s="20"/>
      <c r="G60" s="18"/>
      <c r="H60" s="21"/>
      <c r="I60" s="21"/>
    </row>
    <row r="61" spans="1:9">
      <c r="A61" s="18"/>
      <c r="B61" s="18"/>
      <c r="C61" s="18"/>
      <c r="D61" s="224"/>
      <c r="E61" s="22"/>
      <c r="F61" s="20"/>
      <c r="G61" s="18"/>
      <c r="H61" s="21"/>
      <c r="I61" s="21"/>
    </row>
    <row r="62" spans="1:9">
      <c r="A62" s="18"/>
      <c r="B62" s="18"/>
      <c r="C62" s="18"/>
      <c r="D62" s="18"/>
      <c r="E62" s="18"/>
      <c r="F62" s="21"/>
      <c r="G62" s="18"/>
      <c r="H62" s="50">
        <f>SUM(H54:H61)</f>
        <v>2288000</v>
      </c>
      <c r="I62" s="21"/>
    </row>
    <row r="64" spans="1:9">
      <c r="A64" s="652" t="s">
        <v>3304</v>
      </c>
      <c r="B64" s="652"/>
      <c r="C64" s="652"/>
      <c r="D64" s="652"/>
      <c r="E64" s="652"/>
      <c r="F64" s="652"/>
      <c r="G64" s="652"/>
      <c r="H64" s="652"/>
      <c r="I64" s="652"/>
    </row>
    <row r="65" spans="1:10" ht="28.5">
      <c r="A65" s="16" t="s">
        <v>11</v>
      </c>
      <c r="B65" s="17" t="s">
        <v>697</v>
      </c>
      <c r="C65" s="17" t="s">
        <v>12</v>
      </c>
      <c r="D65" s="17" t="s">
        <v>894</v>
      </c>
      <c r="E65" s="16" t="s">
        <v>699</v>
      </c>
      <c r="F65" s="16" t="s">
        <v>657</v>
      </c>
      <c r="G65" s="17" t="s">
        <v>700</v>
      </c>
      <c r="H65" s="16" t="s">
        <v>660</v>
      </c>
      <c r="I65" s="16" t="s">
        <v>27</v>
      </c>
    </row>
    <row r="66" spans="1:10">
      <c r="A66" s="35">
        <v>1</v>
      </c>
      <c r="B66" s="35" t="s">
        <v>152</v>
      </c>
      <c r="C66" s="35" t="s">
        <v>3259</v>
      </c>
      <c r="D66" s="35" t="s">
        <v>268</v>
      </c>
      <c r="E66" s="35" t="s">
        <v>3305</v>
      </c>
      <c r="F66" s="36" t="s">
        <v>3306</v>
      </c>
      <c r="G66" s="35" t="s">
        <v>2169</v>
      </c>
      <c r="H66" s="37">
        <v>1000000</v>
      </c>
      <c r="I66" s="37"/>
    </row>
    <row r="67" spans="1:10">
      <c r="A67" s="35"/>
      <c r="B67" s="35"/>
      <c r="C67" s="35"/>
      <c r="D67" s="35"/>
      <c r="E67" s="297" t="s">
        <v>3307</v>
      </c>
      <c r="F67" s="36" t="s">
        <v>3308</v>
      </c>
      <c r="G67" s="35" t="s">
        <v>3309</v>
      </c>
      <c r="H67" s="37">
        <v>2000000</v>
      </c>
      <c r="I67" s="37"/>
    </row>
    <row r="68" spans="1:10">
      <c r="A68" s="35"/>
      <c r="B68" s="35"/>
      <c r="C68" s="35"/>
      <c r="D68" s="35"/>
      <c r="E68" s="297" t="s">
        <v>3310</v>
      </c>
      <c r="F68" s="36" t="s">
        <v>3311</v>
      </c>
      <c r="G68" s="298" t="s">
        <v>3312</v>
      </c>
      <c r="H68" s="37">
        <v>1500000</v>
      </c>
      <c r="I68" s="37"/>
    </row>
    <row r="69" spans="1:10">
      <c r="A69" s="35"/>
      <c r="B69" s="35"/>
      <c r="C69" s="35"/>
      <c r="D69" s="35"/>
      <c r="E69" s="297" t="s">
        <v>3313</v>
      </c>
      <c r="F69" s="36" t="s">
        <v>3314</v>
      </c>
      <c r="G69" s="35" t="s">
        <v>1344</v>
      </c>
      <c r="H69" s="37">
        <v>500000</v>
      </c>
      <c r="I69" s="37">
        <v>0</v>
      </c>
      <c r="J69" s="51" t="s">
        <v>3315</v>
      </c>
    </row>
    <row r="70" spans="1:10">
      <c r="A70" s="35"/>
      <c r="B70" s="35"/>
      <c r="C70" s="35"/>
      <c r="D70" s="35"/>
      <c r="E70" s="38"/>
      <c r="F70" s="36"/>
      <c r="G70" s="35"/>
      <c r="H70" s="37"/>
      <c r="I70" s="37"/>
    </row>
    <row r="71" spans="1:10">
      <c r="A71" s="35"/>
      <c r="B71" s="35"/>
      <c r="C71" s="35"/>
      <c r="D71" s="35"/>
      <c r="E71" s="38"/>
      <c r="F71" s="36"/>
      <c r="G71" s="35"/>
      <c r="H71" s="37"/>
      <c r="I71" s="37"/>
    </row>
    <row r="72" spans="1:10">
      <c r="A72" s="35"/>
      <c r="B72" s="35"/>
      <c r="C72" s="35"/>
      <c r="D72" s="35"/>
      <c r="E72" s="38"/>
      <c r="F72" s="36"/>
      <c r="G72" s="35"/>
      <c r="H72" s="37"/>
      <c r="I72" s="37"/>
    </row>
    <row r="73" spans="1:10">
      <c r="A73" s="35"/>
      <c r="B73" s="35"/>
      <c r="C73" s="35"/>
      <c r="D73" s="35"/>
      <c r="E73" s="38"/>
      <c r="F73" s="36"/>
      <c r="G73" s="35"/>
      <c r="H73" s="37"/>
      <c r="I73" s="37"/>
    </row>
    <row r="74" spans="1:10">
      <c r="A74" s="35"/>
      <c r="B74" s="35"/>
      <c r="C74" s="35"/>
      <c r="D74" s="35"/>
      <c r="E74" s="35"/>
      <c r="F74" s="37"/>
      <c r="G74" s="35"/>
      <c r="H74" s="48">
        <f>SUM(H66:H73)</f>
        <v>5000000</v>
      </c>
      <c r="I74" s="37"/>
    </row>
    <row r="77" spans="1:10">
      <c r="A77" s="652" t="s">
        <v>3316</v>
      </c>
      <c r="B77" s="652"/>
      <c r="C77" s="652"/>
      <c r="D77" s="652"/>
      <c r="E77" s="652"/>
      <c r="F77" s="652"/>
      <c r="G77" s="652"/>
      <c r="H77" s="652"/>
      <c r="I77" s="652"/>
    </row>
    <row r="78" spans="1:10" ht="28.5">
      <c r="A78" s="16" t="s">
        <v>11</v>
      </c>
      <c r="B78" s="17" t="s">
        <v>697</v>
      </c>
      <c r="C78" s="17" t="s">
        <v>12</v>
      </c>
      <c r="D78" s="17" t="s">
        <v>894</v>
      </c>
      <c r="E78" s="16" t="s">
        <v>699</v>
      </c>
      <c r="F78" s="16" t="s">
        <v>657</v>
      </c>
      <c r="G78" s="17" t="s">
        <v>700</v>
      </c>
      <c r="H78" s="16" t="s">
        <v>660</v>
      </c>
      <c r="I78" s="16" t="s">
        <v>27</v>
      </c>
    </row>
    <row r="79" spans="1:10">
      <c r="A79" s="35">
        <v>1</v>
      </c>
      <c r="B79" s="35" t="s">
        <v>152</v>
      </c>
      <c r="C79" s="35" t="s">
        <v>3259</v>
      </c>
      <c r="D79" s="35" t="s">
        <v>268</v>
      </c>
      <c r="E79" s="35" t="s">
        <v>703</v>
      </c>
      <c r="F79" s="36" t="s">
        <v>3317</v>
      </c>
      <c r="G79" s="35" t="s">
        <v>3318</v>
      </c>
      <c r="H79" s="37">
        <v>500000</v>
      </c>
      <c r="I79" s="37"/>
    </row>
    <row r="80" spans="1:10">
      <c r="A80" s="35"/>
      <c r="B80" s="35"/>
      <c r="C80" s="35"/>
      <c r="D80" s="35"/>
      <c r="E80" s="297" t="s">
        <v>1345</v>
      </c>
      <c r="F80" s="36" t="s">
        <v>3317</v>
      </c>
      <c r="G80" s="35" t="s">
        <v>3318</v>
      </c>
      <c r="H80" s="37">
        <v>500000</v>
      </c>
      <c r="I80" s="37"/>
    </row>
    <row r="81" spans="1:13">
      <c r="A81" s="35"/>
      <c r="B81" s="35"/>
      <c r="C81" s="35"/>
      <c r="D81" s="35"/>
      <c r="E81" s="297" t="s">
        <v>3319</v>
      </c>
      <c r="F81" s="36" t="s">
        <v>3320</v>
      </c>
      <c r="G81" s="298" t="s">
        <v>3321</v>
      </c>
      <c r="H81" s="37">
        <v>1640000</v>
      </c>
      <c r="I81" s="37"/>
    </row>
    <row r="82" spans="1:13">
      <c r="A82" s="35"/>
      <c r="B82" s="35"/>
      <c r="C82" s="35"/>
      <c r="D82" s="35"/>
      <c r="E82" s="38"/>
      <c r="F82" s="36"/>
      <c r="G82" s="35"/>
      <c r="H82" s="37"/>
      <c r="I82" s="37">
        <v>0</v>
      </c>
    </row>
    <row r="83" spans="1:13">
      <c r="A83" s="35"/>
      <c r="B83" s="35"/>
      <c r="C83" s="35"/>
      <c r="D83" s="35"/>
      <c r="E83" s="38"/>
      <c r="F83" s="36"/>
      <c r="G83" s="35"/>
      <c r="H83" s="37"/>
      <c r="I83" s="37"/>
    </row>
    <row r="84" spans="1:13">
      <c r="A84" s="35"/>
      <c r="B84" s="35"/>
      <c r="C84" s="35"/>
      <c r="D84" s="35"/>
      <c r="E84" s="38"/>
      <c r="F84" s="36"/>
      <c r="G84" s="35"/>
      <c r="H84" s="37"/>
      <c r="I84" s="37"/>
    </row>
    <row r="85" spans="1:13">
      <c r="A85" s="35"/>
      <c r="B85" s="35"/>
      <c r="C85" s="35"/>
      <c r="D85" s="35"/>
      <c r="E85" s="38"/>
      <c r="F85" s="36"/>
      <c r="G85" s="35"/>
      <c r="H85" s="37"/>
      <c r="I85" s="37"/>
    </row>
    <row r="86" spans="1:13">
      <c r="A86" s="35"/>
      <c r="B86" s="35"/>
      <c r="C86" s="35"/>
      <c r="D86" s="35"/>
      <c r="E86" s="38"/>
      <c r="F86" s="36"/>
      <c r="G86" s="35"/>
      <c r="H86" s="37"/>
      <c r="I86" s="37"/>
    </row>
    <row r="87" spans="1:13">
      <c r="A87" s="35"/>
      <c r="B87" s="35"/>
      <c r="C87" s="35"/>
      <c r="D87" s="35"/>
      <c r="E87" s="35"/>
      <c r="F87" s="37"/>
      <c r="G87" s="35"/>
      <c r="H87" s="48">
        <f>SUM(H79:H86)</f>
        <v>2640000</v>
      </c>
      <c r="I87" s="37"/>
    </row>
    <row r="89" spans="1:13">
      <c r="A89" s="411" t="s">
        <v>648</v>
      </c>
    </row>
    <row r="90" spans="1:13" ht="26.25">
      <c r="L90" s="564" t="s">
        <v>649</v>
      </c>
    </row>
    <row r="91" spans="1:13">
      <c r="A91" s="652" t="s">
        <v>3322</v>
      </c>
      <c r="B91" s="652"/>
      <c r="C91" s="652"/>
      <c r="D91" s="652"/>
      <c r="E91" s="652"/>
      <c r="F91" s="652"/>
      <c r="G91" s="652"/>
      <c r="H91" s="652"/>
      <c r="I91" s="652"/>
      <c r="K91" s="567" t="s">
        <v>807</v>
      </c>
      <c r="L91" s="567" t="s">
        <v>651</v>
      </c>
      <c r="M91" s="568" t="s">
        <v>652</v>
      </c>
    </row>
    <row r="92" spans="1:13" ht="28.5">
      <c r="A92" s="16" t="s">
        <v>11</v>
      </c>
      <c r="B92" s="17" t="s">
        <v>697</v>
      </c>
      <c r="C92" s="17" t="s">
        <v>12</v>
      </c>
      <c r="D92" s="17" t="s">
        <v>894</v>
      </c>
      <c r="E92" s="16" t="s">
        <v>699</v>
      </c>
      <c r="F92" s="16" t="s">
        <v>657</v>
      </c>
      <c r="G92" s="17" t="s">
        <v>700</v>
      </c>
      <c r="H92" s="16" t="s">
        <v>660</v>
      </c>
      <c r="I92" s="16" t="s">
        <v>27</v>
      </c>
    </row>
    <row r="93" spans="1:13">
      <c r="A93" s="35">
        <v>1</v>
      </c>
      <c r="B93" s="35" t="s">
        <v>152</v>
      </c>
      <c r="C93" s="35" t="s">
        <v>3259</v>
      </c>
      <c r="D93" s="35" t="s">
        <v>268</v>
      </c>
      <c r="E93" s="297" t="s">
        <v>3323</v>
      </c>
      <c r="F93" s="36" t="s">
        <v>3324</v>
      </c>
      <c r="G93" s="35" t="s">
        <v>3325</v>
      </c>
      <c r="H93" s="37">
        <v>600000</v>
      </c>
      <c r="I93" s="37"/>
      <c r="K93" s="529" t="s">
        <v>794</v>
      </c>
      <c r="L93" s="529" t="s">
        <v>3326</v>
      </c>
      <c r="M93" s="530">
        <v>15000</v>
      </c>
    </row>
    <row r="94" spans="1:13">
      <c r="A94" s="35"/>
      <c r="B94" s="35"/>
      <c r="C94" s="35"/>
      <c r="D94" s="35"/>
      <c r="E94" s="297" t="s">
        <v>3327</v>
      </c>
      <c r="F94" s="36" t="s">
        <v>3324</v>
      </c>
      <c r="G94" s="35" t="s">
        <v>3325</v>
      </c>
      <c r="H94" s="37">
        <v>600000</v>
      </c>
      <c r="I94" s="37"/>
      <c r="K94" s="529" t="s">
        <v>794</v>
      </c>
      <c r="L94" s="529" t="s">
        <v>2462</v>
      </c>
      <c r="M94" s="530">
        <v>50000</v>
      </c>
    </row>
    <row r="95" spans="1:13">
      <c r="A95" s="35"/>
      <c r="B95" s="35"/>
      <c r="C95" s="35"/>
      <c r="D95" s="35"/>
      <c r="E95" s="297" t="s">
        <v>2608</v>
      </c>
      <c r="F95" s="36" t="s">
        <v>3324</v>
      </c>
      <c r="G95" s="298" t="s">
        <v>3325</v>
      </c>
      <c r="H95" s="37">
        <v>600000</v>
      </c>
      <c r="I95" s="37"/>
      <c r="K95" s="529" t="s">
        <v>794</v>
      </c>
      <c r="L95" s="529" t="s">
        <v>3328</v>
      </c>
      <c r="M95" s="530">
        <v>5000</v>
      </c>
    </row>
    <row r="96" spans="1:13">
      <c r="A96" s="35"/>
      <c r="B96" s="35"/>
      <c r="C96" s="35"/>
      <c r="D96" s="35"/>
      <c r="E96" s="297" t="s">
        <v>3329</v>
      </c>
      <c r="F96" s="36" t="s">
        <v>3324</v>
      </c>
      <c r="G96" s="35" t="s">
        <v>3325</v>
      </c>
      <c r="H96" s="37">
        <v>600000</v>
      </c>
      <c r="I96" s="37">
        <v>0</v>
      </c>
      <c r="K96" s="529"/>
      <c r="L96" s="529"/>
      <c r="M96" s="530"/>
    </row>
    <row r="97" spans="1:13">
      <c r="A97" s="35"/>
      <c r="B97" s="35"/>
      <c r="C97" s="35"/>
      <c r="D97" s="35"/>
      <c r="E97" s="297" t="s">
        <v>3330</v>
      </c>
      <c r="F97" s="36" t="s">
        <v>3331</v>
      </c>
      <c r="G97" s="35" t="s">
        <v>3332</v>
      </c>
      <c r="H97" s="37">
        <v>3200000</v>
      </c>
      <c r="I97" s="37" t="s">
        <v>3333</v>
      </c>
      <c r="K97" s="529"/>
      <c r="L97" s="529"/>
      <c r="M97" s="530"/>
    </row>
    <row r="98" spans="1:13">
      <c r="A98" s="35"/>
      <c r="B98" s="35"/>
      <c r="C98" s="35"/>
      <c r="D98" s="35"/>
      <c r="E98" s="297" t="s">
        <v>134</v>
      </c>
      <c r="F98" s="36" t="s">
        <v>3334</v>
      </c>
      <c r="G98" s="35" t="s">
        <v>885</v>
      </c>
      <c r="H98" s="37">
        <v>2400000</v>
      </c>
      <c r="I98" s="37" t="s">
        <v>3333</v>
      </c>
      <c r="K98" s="529"/>
      <c r="L98" s="529"/>
      <c r="M98" s="530"/>
    </row>
    <row r="99" spans="1:13">
      <c r="A99" s="35"/>
      <c r="B99" s="35"/>
      <c r="C99" s="35"/>
      <c r="D99" s="35"/>
      <c r="E99" s="297"/>
      <c r="F99" s="36"/>
      <c r="G99" s="35"/>
      <c r="H99" s="37"/>
      <c r="I99" s="37"/>
      <c r="K99" s="529"/>
      <c r="L99" s="529"/>
      <c r="M99" s="530"/>
    </row>
    <row r="100" spans="1:13">
      <c r="A100" s="35"/>
      <c r="B100" s="35"/>
      <c r="C100" s="35"/>
      <c r="D100" s="35"/>
      <c r="E100" s="297"/>
      <c r="F100" s="36"/>
      <c r="G100" s="35"/>
      <c r="H100" s="37"/>
      <c r="I100" s="37"/>
    </row>
    <row r="101" spans="1:13">
      <c r="A101" s="35"/>
      <c r="B101" s="35"/>
      <c r="C101" s="35"/>
      <c r="D101" s="35"/>
      <c r="E101" s="297"/>
      <c r="F101" s="37"/>
      <c r="G101" s="35"/>
      <c r="H101" s="48">
        <f>SUM(H93:H100)</f>
        <v>8000000</v>
      </c>
      <c r="I101" s="37"/>
      <c r="K101" s="565"/>
      <c r="L101" s="565" t="s">
        <v>665</v>
      </c>
      <c r="M101" s="566">
        <f>SUM(M93:M100)</f>
        <v>70000</v>
      </c>
    </row>
  </sheetData>
  <mergeCells count="8">
    <mergeCell ref="A77:I77"/>
    <mergeCell ref="A91:I91"/>
    <mergeCell ref="A3:I3"/>
    <mergeCell ref="A16:I16"/>
    <mergeCell ref="A28:I28"/>
    <mergeCell ref="A40:I40"/>
    <mergeCell ref="A52:I52"/>
    <mergeCell ref="A64:I64"/>
  </mergeCells>
  <hyperlinks>
    <hyperlink ref="A1" location="Name!A1" display="Name!A1" xr:uid="{EE77AE90-8994-48A6-93E8-4423E697B872}"/>
    <hyperlink ref="A89" location="Name!A1" display="Name!A1" xr:uid="{F5BC2FD6-0FF4-4959-BB5B-3AF0FB315303}"/>
  </hyperlinks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31AF-C510-4806-949E-5F8FC616B4BD}">
  <dimension ref="A1:O62"/>
  <sheetViews>
    <sheetView topLeftCell="A43" workbookViewId="0">
      <selection activeCell="A48" sqref="A48"/>
    </sheetView>
  </sheetViews>
  <sheetFormatPr defaultColWidth="9.140625" defaultRowHeight="18"/>
  <cols>
    <col min="1" max="1" width="6.140625" style="51" customWidth="1"/>
    <col min="2" max="2" width="15.42578125" style="51" customWidth="1"/>
    <col min="3" max="3" width="30.7109375" style="51" customWidth="1"/>
    <col min="4" max="4" width="12.28515625" style="51" customWidth="1"/>
    <col min="5" max="5" width="30.7109375" style="51" customWidth="1"/>
    <col min="6" max="6" width="22.85546875" style="245" customWidth="1"/>
    <col min="7" max="7" width="15.140625" style="51" customWidth="1"/>
    <col min="8" max="9" width="14" style="51" customWidth="1"/>
    <col min="10" max="10" width="5" style="193" customWidth="1"/>
    <col min="11" max="12" width="9.140625" style="51"/>
    <col min="13" max="13" width="39.5703125" style="51" customWidth="1"/>
    <col min="14" max="14" width="15.42578125" style="104" customWidth="1"/>
    <col min="15" max="15" width="17.5703125" style="51" customWidth="1"/>
    <col min="16" max="16384" width="9.140625" style="51"/>
  </cols>
  <sheetData>
    <row r="1" spans="1:15">
      <c r="A1" s="411" t="s">
        <v>648</v>
      </c>
    </row>
    <row r="2" spans="1:15" ht="21.75">
      <c r="A2" s="644" t="s">
        <v>3335</v>
      </c>
      <c r="B2" s="644"/>
      <c r="C2" s="644"/>
      <c r="D2" s="644"/>
      <c r="E2" s="644"/>
      <c r="F2" s="644"/>
      <c r="G2" s="644"/>
      <c r="H2" s="644"/>
      <c r="I2" s="174"/>
      <c r="J2" s="169"/>
      <c r="K2" s="644" t="s">
        <v>973</v>
      </c>
      <c r="L2" s="644"/>
      <c r="M2" s="644"/>
      <c r="N2" s="644"/>
    </row>
    <row r="3" spans="1:15" s="56" customFormat="1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  <c r="I3" s="175"/>
      <c r="J3" s="169"/>
      <c r="K3" s="654" t="s">
        <v>653</v>
      </c>
      <c r="L3" s="659" t="s">
        <v>974</v>
      </c>
      <c r="M3" s="661" t="s">
        <v>975</v>
      </c>
      <c r="N3" s="662" t="s">
        <v>976</v>
      </c>
      <c r="O3" s="729" t="s">
        <v>977</v>
      </c>
    </row>
    <row r="4" spans="1:15" ht="21.75">
      <c r="A4" s="655"/>
      <c r="B4" s="660"/>
      <c r="C4" s="660"/>
      <c r="D4" s="660"/>
      <c r="E4" s="710"/>
      <c r="F4" s="660"/>
      <c r="G4" s="660"/>
      <c r="H4" s="202" t="s">
        <v>660</v>
      </c>
      <c r="I4" s="175"/>
      <c r="J4" s="169"/>
      <c r="K4" s="655"/>
      <c r="L4" s="710"/>
      <c r="M4" s="660"/>
      <c r="N4" s="663"/>
      <c r="O4" s="730"/>
    </row>
    <row r="5" spans="1:15" ht="21.75">
      <c r="A5" s="203">
        <v>1</v>
      </c>
      <c r="B5" s="204" t="s">
        <v>152</v>
      </c>
      <c r="C5" s="205" t="s">
        <v>262</v>
      </c>
      <c r="D5" s="204" t="s">
        <v>3336</v>
      </c>
      <c r="E5" s="206" t="s">
        <v>703</v>
      </c>
      <c r="F5" s="207" t="s">
        <v>3337</v>
      </c>
      <c r="G5" s="208" t="s">
        <v>3338</v>
      </c>
      <c r="H5" s="209">
        <v>500000</v>
      </c>
      <c r="I5" s="176"/>
      <c r="J5" s="169"/>
      <c r="K5" s="122"/>
      <c r="L5" s="123"/>
      <c r="M5" s="127"/>
      <c r="N5" s="125"/>
      <c r="O5" s="126"/>
    </row>
    <row r="6" spans="1:15" ht="21.75">
      <c r="A6" s="203"/>
      <c r="B6" s="204"/>
      <c r="C6" s="204"/>
      <c r="D6" s="204"/>
      <c r="E6" s="208" t="s">
        <v>3339</v>
      </c>
      <c r="F6" s="207" t="s">
        <v>3337</v>
      </c>
      <c r="G6" s="208" t="s">
        <v>3338</v>
      </c>
      <c r="H6" s="209">
        <v>1000000</v>
      </c>
      <c r="I6" s="176"/>
      <c r="J6" s="169"/>
      <c r="K6" s="122"/>
      <c r="L6" s="123"/>
      <c r="M6" s="123"/>
      <c r="N6" s="125"/>
      <c r="O6" s="126"/>
    </row>
    <row r="7" spans="1:15" ht="21.75">
      <c r="A7" s="203"/>
      <c r="B7" s="204"/>
      <c r="C7" s="204"/>
      <c r="D7" s="204"/>
      <c r="E7" s="208" t="s">
        <v>3340</v>
      </c>
      <c r="F7" s="207" t="s">
        <v>3341</v>
      </c>
      <c r="G7" s="208" t="s">
        <v>3342</v>
      </c>
      <c r="H7" s="209">
        <v>1333000</v>
      </c>
      <c r="I7" s="176"/>
      <c r="J7" s="169"/>
      <c r="K7" s="122"/>
      <c r="L7" s="123"/>
      <c r="M7" s="123"/>
      <c r="N7" s="125"/>
      <c r="O7" s="126"/>
    </row>
    <row r="8" spans="1:15" ht="21.75">
      <c r="A8" s="203"/>
      <c r="B8" s="204"/>
      <c r="C8" s="204"/>
      <c r="D8" s="204"/>
      <c r="E8" s="208" t="s">
        <v>1006</v>
      </c>
      <c r="F8" s="207" t="s">
        <v>3341</v>
      </c>
      <c r="G8" s="208" t="s">
        <v>3342</v>
      </c>
      <c r="H8" s="209">
        <v>-250000</v>
      </c>
      <c r="I8" s="176"/>
      <c r="J8" s="169"/>
      <c r="K8" s="122"/>
      <c r="L8" s="123"/>
      <c r="M8" s="127"/>
      <c r="N8" s="125"/>
      <c r="O8" s="126"/>
    </row>
    <row r="9" spans="1:15" ht="21.75">
      <c r="A9" s="203"/>
      <c r="B9" s="204"/>
      <c r="C9" s="204"/>
      <c r="D9" s="204"/>
      <c r="E9" s="208" t="s">
        <v>1066</v>
      </c>
      <c r="F9" s="207" t="s">
        <v>3341</v>
      </c>
      <c r="G9" s="208" t="s">
        <v>3342</v>
      </c>
      <c r="H9" s="209">
        <v>-500000</v>
      </c>
      <c r="I9" s="176" t="s">
        <v>3343</v>
      </c>
      <c r="J9" s="169"/>
      <c r="K9" s="122"/>
      <c r="L9" s="123"/>
      <c r="M9" s="123"/>
      <c r="N9" s="125"/>
      <c r="O9" s="126"/>
    </row>
    <row r="10" spans="1:15" ht="21.75">
      <c r="A10" s="203"/>
      <c r="B10" s="204"/>
      <c r="C10" s="204"/>
      <c r="D10" s="204"/>
      <c r="E10" s="208"/>
      <c r="F10" s="207"/>
      <c r="G10" s="208"/>
      <c r="H10" s="209"/>
      <c r="I10" s="176"/>
      <c r="J10" s="169"/>
      <c r="K10" s="122"/>
      <c r="L10" s="123"/>
      <c r="M10" s="123"/>
      <c r="N10" s="125"/>
      <c r="O10" s="126"/>
    </row>
    <row r="11" spans="1:15" ht="21.75">
      <c r="A11" s="122"/>
      <c r="B11" s="123"/>
      <c r="C11" s="123"/>
      <c r="D11" s="123"/>
      <c r="E11" s="123"/>
      <c r="F11" s="204"/>
      <c r="G11" s="123"/>
      <c r="H11" s="210"/>
      <c r="I11" s="143"/>
      <c r="J11" s="169"/>
      <c r="K11" s="122"/>
      <c r="L11" s="123"/>
      <c r="M11" s="123"/>
      <c r="N11" s="125"/>
      <c r="O11" s="126"/>
    </row>
    <row r="12" spans="1:15" ht="21.75">
      <c r="A12" s="66"/>
      <c r="B12" s="68"/>
      <c r="C12" s="68"/>
      <c r="D12" s="68"/>
      <c r="E12" s="68"/>
      <c r="F12" s="282"/>
      <c r="G12" s="68"/>
      <c r="H12" s="126"/>
      <c r="J12" s="169"/>
      <c r="K12" s="122"/>
      <c r="L12" s="123"/>
      <c r="M12" s="123"/>
      <c r="N12" s="125"/>
      <c r="O12" s="126"/>
    </row>
    <row r="13" spans="1:15" ht="21.75">
      <c r="A13" s="66"/>
      <c r="B13" s="68"/>
      <c r="C13" s="68"/>
      <c r="D13" s="68"/>
      <c r="E13" s="68"/>
      <c r="F13" s="282"/>
      <c r="G13" s="68"/>
      <c r="H13" s="126"/>
      <c r="J13" s="169"/>
      <c r="K13" s="122"/>
      <c r="L13" s="123"/>
      <c r="M13" s="123"/>
      <c r="N13" s="125"/>
      <c r="O13" s="126"/>
    </row>
    <row r="14" spans="1:15" ht="21.75">
      <c r="A14" s="211"/>
      <c r="B14" s="212"/>
      <c r="C14" s="212"/>
      <c r="D14" s="212"/>
      <c r="E14" s="212"/>
      <c r="F14" s="283"/>
      <c r="G14" s="212"/>
      <c r="H14" s="214">
        <f>SUM(H5:H13)</f>
        <v>2083000</v>
      </c>
      <c r="I14" s="114"/>
      <c r="J14" s="121"/>
      <c r="K14" s="183"/>
      <c r="L14" s="184"/>
      <c r="M14" s="184"/>
      <c r="N14" s="185"/>
      <c r="O14" s="194"/>
    </row>
    <row r="15" spans="1:15" ht="21.75">
      <c r="A15" s="644" t="s">
        <v>3344</v>
      </c>
      <c r="B15" s="644"/>
      <c r="C15" s="644"/>
      <c r="D15" s="644"/>
      <c r="E15" s="644"/>
      <c r="F15" s="644"/>
      <c r="G15" s="644"/>
      <c r="H15" s="644"/>
      <c r="J15" s="169"/>
      <c r="K15" s="122"/>
      <c r="L15" s="123"/>
      <c r="M15" s="123"/>
      <c r="N15" s="125"/>
      <c r="O15" s="126"/>
    </row>
    <row r="16" spans="1:15" ht="21.75">
      <c r="A16" s="654" t="s">
        <v>653</v>
      </c>
      <c r="B16" s="659" t="s">
        <v>654</v>
      </c>
      <c r="C16" s="661" t="s">
        <v>655</v>
      </c>
      <c r="D16" s="661" t="s">
        <v>12</v>
      </c>
      <c r="E16" s="659" t="s">
        <v>656</v>
      </c>
      <c r="F16" s="661" t="s">
        <v>657</v>
      </c>
      <c r="G16" s="659" t="s">
        <v>658</v>
      </c>
      <c r="H16" s="201" t="s">
        <v>659</v>
      </c>
      <c r="J16" s="169"/>
      <c r="K16" s="122"/>
      <c r="L16" s="123"/>
      <c r="M16" s="123"/>
      <c r="N16" s="125"/>
      <c r="O16" s="126"/>
    </row>
    <row r="17" spans="1:15" ht="21.75">
      <c r="A17" s="655"/>
      <c r="B17" s="660"/>
      <c r="C17" s="660"/>
      <c r="D17" s="660"/>
      <c r="E17" s="710"/>
      <c r="F17" s="660"/>
      <c r="G17" s="660"/>
      <c r="H17" s="202" t="s">
        <v>660</v>
      </c>
      <c r="J17" s="169"/>
      <c r="K17" s="122"/>
      <c r="L17" s="123"/>
      <c r="M17" s="123"/>
      <c r="N17" s="125"/>
      <c r="O17" s="126"/>
    </row>
    <row r="18" spans="1:15" ht="21.75">
      <c r="A18" s="203">
        <v>1</v>
      </c>
      <c r="B18" s="204" t="s">
        <v>152</v>
      </c>
      <c r="C18" s="205" t="s">
        <v>262</v>
      </c>
      <c r="D18" s="204" t="s">
        <v>3336</v>
      </c>
      <c r="E18" s="206" t="s">
        <v>703</v>
      </c>
      <c r="F18" s="207" t="s">
        <v>3345</v>
      </c>
      <c r="G18" s="208" t="s">
        <v>3346</v>
      </c>
      <c r="H18" s="209">
        <v>500000</v>
      </c>
      <c r="J18" s="169"/>
      <c r="K18" s="122"/>
      <c r="L18" s="123"/>
      <c r="M18" s="123"/>
      <c r="N18" s="125"/>
      <c r="O18" s="126"/>
    </row>
    <row r="19" spans="1:15" ht="21.75">
      <c r="A19" s="203"/>
      <c r="B19" s="204"/>
      <c r="C19" s="204"/>
      <c r="D19" s="204"/>
      <c r="E19" s="208" t="s">
        <v>3347</v>
      </c>
      <c r="F19" s="207" t="s">
        <v>3345</v>
      </c>
      <c r="G19" s="208" t="s">
        <v>3346</v>
      </c>
      <c r="H19" s="209">
        <v>500000</v>
      </c>
      <c r="J19" s="169"/>
      <c r="K19" s="122"/>
      <c r="L19" s="123"/>
      <c r="M19" s="123"/>
      <c r="N19" s="125"/>
      <c r="O19" s="126"/>
    </row>
    <row r="20" spans="1:15" ht="21.75">
      <c r="A20" s="203"/>
      <c r="B20" s="204"/>
      <c r="C20" s="204"/>
      <c r="D20" s="204"/>
      <c r="E20" s="208" t="s">
        <v>1066</v>
      </c>
      <c r="F20" s="207" t="s">
        <v>3348</v>
      </c>
      <c r="G20" s="208" t="s">
        <v>3349</v>
      </c>
      <c r="H20" s="209">
        <v>-500000</v>
      </c>
      <c r="J20" s="169"/>
      <c r="K20" s="122"/>
      <c r="L20" s="123"/>
      <c r="M20" s="123"/>
      <c r="N20" s="125"/>
      <c r="O20" s="126"/>
    </row>
    <row r="21" spans="1:15" ht="21.75">
      <c r="A21" s="203"/>
      <c r="B21" s="204"/>
      <c r="C21" s="204"/>
      <c r="D21" s="204"/>
      <c r="E21" s="208" t="s">
        <v>3350</v>
      </c>
      <c r="F21" s="207" t="s">
        <v>3348</v>
      </c>
      <c r="G21" s="208" t="s">
        <v>3349</v>
      </c>
      <c r="H21" s="209">
        <v>160000</v>
      </c>
      <c r="I21" s="51" t="s">
        <v>3351</v>
      </c>
      <c r="J21" s="169"/>
      <c r="K21" s="122"/>
      <c r="L21" s="123"/>
      <c r="M21" s="123"/>
      <c r="N21" s="125"/>
      <c r="O21" s="126"/>
    </row>
    <row r="22" spans="1:15" ht="21.75">
      <c r="A22" s="203"/>
      <c r="B22" s="204"/>
      <c r="C22" s="204"/>
      <c r="D22" s="204"/>
      <c r="E22" s="208"/>
      <c r="F22" s="207"/>
      <c r="G22" s="208"/>
      <c r="H22" s="209"/>
      <c r="J22" s="169"/>
      <c r="K22" s="122"/>
      <c r="L22" s="123"/>
      <c r="M22" s="123"/>
      <c r="N22" s="125"/>
      <c r="O22" s="126"/>
    </row>
    <row r="23" spans="1:15" ht="21.75">
      <c r="A23" s="203"/>
      <c r="B23" s="204"/>
      <c r="C23" s="204"/>
      <c r="D23" s="204"/>
      <c r="E23" s="208"/>
      <c r="F23" s="207"/>
      <c r="G23" s="208"/>
      <c r="H23" s="209"/>
      <c r="J23" s="169"/>
      <c r="K23" s="122"/>
      <c r="L23" s="123"/>
      <c r="M23" s="123"/>
      <c r="N23" s="125"/>
      <c r="O23" s="126"/>
    </row>
    <row r="24" spans="1:15" ht="21.75">
      <c r="A24" s="122"/>
      <c r="B24" s="123"/>
      <c r="C24" s="123"/>
      <c r="D24" s="123"/>
      <c r="E24" s="123"/>
      <c r="F24" s="204"/>
      <c r="G24" s="123"/>
      <c r="H24" s="210"/>
      <c r="J24" s="169"/>
      <c r="K24" s="122"/>
      <c r="L24" s="123"/>
      <c r="M24" s="123"/>
      <c r="N24" s="125"/>
      <c r="O24" s="126"/>
    </row>
    <row r="25" spans="1:15" ht="21.75">
      <c r="A25" s="66"/>
      <c r="B25" s="68"/>
      <c r="C25" s="68"/>
      <c r="D25" s="68"/>
      <c r="E25" s="68"/>
      <c r="F25" s="282"/>
      <c r="G25" s="68"/>
      <c r="H25" s="126"/>
      <c r="J25" s="169"/>
      <c r="K25" s="122"/>
      <c r="L25" s="123"/>
      <c r="M25" s="123"/>
      <c r="N25" s="125"/>
      <c r="O25" s="126"/>
    </row>
    <row r="26" spans="1:15" ht="21.75">
      <c r="A26" s="66"/>
      <c r="B26" s="68"/>
      <c r="C26" s="68"/>
      <c r="D26" s="68"/>
      <c r="E26" s="68"/>
      <c r="F26" s="282"/>
      <c r="G26" s="68"/>
      <c r="H26" s="126"/>
      <c r="J26" s="169"/>
      <c r="K26" s="122"/>
      <c r="L26" s="123"/>
      <c r="M26" s="123"/>
      <c r="N26" s="125"/>
      <c r="O26" s="126"/>
    </row>
    <row r="27" spans="1:15" ht="21.75">
      <c r="A27" s="211"/>
      <c r="B27" s="212"/>
      <c r="C27" s="212"/>
      <c r="D27" s="212"/>
      <c r="E27" s="212"/>
      <c r="F27" s="283"/>
      <c r="G27" s="212"/>
      <c r="H27" s="214">
        <f>SUM(H18:H26)</f>
        <v>660000</v>
      </c>
      <c r="J27" s="169"/>
      <c r="K27" s="122"/>
      <c r="L27" s="123"/>
      <c r="M27" s="123"/>
      <c r="N27" s="125"/>
      <c r="O27" s="126"/>
    </row>
    <row r="28" spans="1:15" ht="21.75">
      <c r="A28" s="644" t="s">
        <v>3352</v>
      </c>
      <c r="B28" s="644"/>
      <c r="C28" s="644"/>
      <c r="D28" s="644"/>
      <c r="E28" s="644"/>
      <c r="F28" s="644"/>
      <c r="G28" s="644"/>
      <c r="H28" s="644"/>
      <c r="J28" s="169"/>
      <c r="K28" s="122"/>
      <c r="L28" s="123"/>
      <c r="M28" s="123"/>
      <c r="N28" s="125"/>
      <c r="O28" s="126"/>
    </row>
    <row r="29" spans="1:15" ht="21.75">
      <c r="A29" s="654" t="s">
        <v>653</v>
      </c>
      <c r="B29" s="659" t="s">
        <v>654</v>
      </c>
      <c r="C29" s="661" t="s">
        <v>655</v>
      </c>
      <c r="D29" s="661" t="s">
        <v>12</v>
      </c>
      <c r="E29" s="659" t="s">
        <v>656</v>
      </c>
      <c r="F29" s="661" t="s">
        <v>657</v>
      </c>
      <c r="G29" s="659" t="s">
        <v>658</v>
      </c>
      <c r="H29" s="201" t="s">
        <v>659</v>
      </c>
      <c r="J29" s="169"/>
      <c r="K29" s="122"/>
      <c r="L29" s="123"/>
      <c r="M29" s="123"/>
      <c r="N29" s="125"/>
      <c r="O29" s="126"/>
    </row>
    <row r="30" spans="1:15" ht="21.75">
      <c r="A30" s="655"/>
      <c r="B30" s="660"/>
      <c r="C30" s="660"/>
      <c r="D30" s="660"/>
      <c r="E30" s="710"/>
      <c r="F30" s="660"/>
      <c r="G30" s="660"/>
      <c r="H30" s="202" t="s">
        <v>660</v>
      </c>
      <c r="J30" s="169"/>
      <c r="K30" s="122"/>
      <c r="L30" s="123"/>
      <c r="M30" s="123"/>
      <c r="N30" s="125"/>
      <c r="O30" s="126"/>
    </row>
    <row r="31" spans="1:15" ht="21.75">
      <c r="A31" s="203">
        <v>1</v>
      </c>
      <c r="B31" s="204" t="s">
        <v>152</v>
      </c>
      <c r="C31" s="205" t="s">
        <v>262</v>
      </c>
      <c r="D31" s="204" t="s">
        <v>3336</v>
      </c>
      <c r="E31" s="206" t="s">
        <v>703</v>
      </c>
      <c r="F31" s="207" t="s">
        <v>3353</v>
      </c>
      <c r="G31" s="208" t="s">
        <v>3354</v>
      </c>
      <c r="H31" s="209">
        <v>450000</v>
      </c>
      <c r="J31" s="169"/>
      <c r="K31" s="122"/>
      <c r="L31" s="123"/>
      <c r="M31" s="123"/>
      <c r="N31" s="125"/>
      <c r="O31" s="126"/>
    </row>
    <row r="32" spans="1:15" ht="21.75">
      <c r="A32" s="203"/>
      <c r="B32" s="204"/>
      <c r="C32" s="204"/>
      <c r="D32" s="204"/>
      <c r="E32" s="208" t="s">
        <v>3355</v>
      </c>
      <c r="F32" s="207" t="s">
        <v>3353</v>
      </c>
      <c r="G32" s="208" t="s">
        <v>3354</v>
      </c>
      <c r="H32" s="209">
        <v>900000</v>
      </c>
      <c r="J32" s="169"/>
      <c r="K32" s="122"/>
      <c r="L32" s="123"/>
      <c r="M32" s="123"/>
      <c r="N32" s="125"/>
      <c r="O32" s="126"/>
    </row>
    <row r="33" spans="1:15" ht="21.75">
      <c r="A33" s="203"/>
      <c r="B33" s="204"/>
      <c r="C33" s="204"/>
      <c r="D33" s="737" t="s">
        <v>3336</v>
      </c>
      <c r="E33" s="284" t="s">
        <v>3356</v>
      </c>
      <c r="F33" s="740" t="s">
        <v>3357</v>
      </c>
      <c r="G33" s="743">
        <f>450000*8</f>
        <v>3600000</v>
      </c>
      <c r="H33" s="209"/>
      <c r="J33" s="169"/>
      <c r="K33" s="122"/>
      <c r="L33" s="123"/>
      <c r="M33" s="123"/>
      <c r="N33" s="125"/>
      <c r="O33" s="126"/>
    </row>
    <row r="34" spans="1:15" ht="21.75">
      <c r="A34" s="203"/>
      <c r="B34" s="204"/>
      <c r="C34" s="204"/>
      <c r="D34" s="738"/>
      <c r="E34" s="284" t="s">
        <v>3358</v>
      </c>
      <c r="F34" s="741"/>
      <c r="G34" s="744"/>
      <c r="H34" s="734">
        <v>2000000</v>
      </c>
      <c r="J34" s="169"/>
      <c r="K34" s="122"/>
      <c r="L34" s="123"/>
      <c r="M34" s="123"/>
      <c r="N34" s="125"/>
      <c r="O34" s="126"/>
    </row>
    <row r="35" spans="1:15" ht="21.75">
      <c r="A35" s="203"/>
      <c r="B35" s="204"/>
      <c r="C35" s="204"/>
      <c r="D35" s="738"/>
      <c r="E35" s="284" t="s">
        <v>3359</v>
      </c>
      <c r="F35" s="741"/>
      <c r="G35" s="744"/>
      <c r="H35" s="735"/>
      <c r="J35" s="169"/>
      <c r="K35" s="122"/>
      <c r="L35" s="123"/>
      <c r="M35" s="123"/>
      <c r="N35" s="125"/>
      <c r="O35" s="126"/>
    </row>
    <row r="36" spans="1:15" ht="21.75">
      <c r="A36" s="203"/>
      <c r="B36" s="204"/>
      <c r="C36" s="204"/>
      <c r="D36" s="738"/>
      <c r="E36" s="284" t="s">
        <v>3360</v>
      </c>
      <c r="F36" s="741"/>
      <c r="G36" s="744"/>
      <c r="H36" s="735"/>
      <c r="J36" s="169"/>
      <c r="K36" s="122"/>
      <c r="L36" s="123"/>
      <c r="M36" s="123"/>
      <c r="N36" s="125"/>
      <c r="O36" s="126"/>
    </row>
    <row r="37" spans="1:15" ht="21.75">
      <c r="A37" s="122"/>
      <c r="B37" s="123"/>
      <c r="C37" s="123"/>
      <c r="D37" s="738"/>
      <c r="E37" s="285" t="s">
        <v>3361</v>
      </c>
      <c r="F37" s="741"/>
      <c r="G37" s="744"/>
      <c r="H37" s="735"/>
      <c r="K37" s="122"/>
      <c r="L37" s="123"/>
      <c r="M37" s="123"/>
      <c r="N37" s="125"/>
      <c r="O37" s="126"/>
    </row>
    <row r="38" spans="1:15" ht="21.75">
      <c r="A38" s="66"/>
      <c r="B38" s="68"/>
      <c r="C38" s="68"/>
      <c r="D38" s="738"/>
      <c r="E38" s="285" t="s">
        <v>3362</v>
      </c>
      <c r="F38" s="741"/>
      <c r="G38" s="744"/>
      <c r="H38" s="735"/>
      <c r="I38" s="51" t="s">
        <v>3363</v>
      </c>
      <c r="K38" s="122"/>
      <c r="L38" s="123"/>
      <c r="M38" s="123"/>
      <c r="N38" s="125"/>
      <c r="O38" s="126"/>
    </row>
    <row r="39" spans="1:15" ht="21.75">
      <c r="A39" s="66"/>
      <c r="B39" s="68"/>
      <c r="C39" s="68"/>
      <c r="D39" s="738"/>
      <c r="E39" s="285" t="s">
        <v>3364</v>
      </c>
      <c r="F39" s="741"/>
      <c r="G39" s="744"/>
      <c r="H39" s="735"/>
      <c r="K39" s="122"/>
      <c r="L39" s="123"/>
      <c r="M39" s="123"/>
      <c r="N39" s="125"/>
      <c r="O39" s="126"/>
    </row>
    <row r="40" spans="1:15" ht="21.75">
      <c r="A40" s="66"/>
      <c r="B40" s="68"/>
      <c r="C40" s="68"/>
      <c r="D40" s="739"/>
      <c r="E40" s="285" t="s">
        <v>3365</v>
      </c>
      <c r="F40" s="742"/>
      <c r="G40" s="745"/>
      <c r="H40" s="735"/>
      <c r="K40" s="122"/>
      <c r="L40" s="123"/>
      <c r="M40" s="123"/>
      <c r="N40" s="125"/>
      <c r="O40" s="126"/>
    </row>
    <row r="41" spans="1:15" ht="21.75">
      <c r="A41" s="66"/>
      <c r="B41" s="68"/>
      <c r="C41" s="68"/>
      <c r="D41" s="286"/>
      <c r="E41" s="285" t="s">
        <v>3366</v>
      </c>
      <c r="F41" s="225" t="s">
        <v>3367</v>
      </c>
      <c r="G41" s="226">
        <f>500000*4</f>
        <v>2000000</v>
      </c>
      <c r="H41" s="736"/>
      <c r="I41" s="90">
        <f>G33+G41-H34</f>
        <v>3600000</v>
      </c>
      <c r="K41" s="122"/>
      <c r="L41" s="123"/>
      <c r="M41" s="123"/>
      <c r="N41" s="125"/>
      <c r="O41" s="126"/>
    </row>
    <row r="42" spans="1:15" ht="21.75">
      <c r="A42" s="66"/>
      <c r="B42" s="68"/>
      <c r="C42" s="68"/>
      <c r="D42" s="286"/>
      <c r="E42" s="285"/>
      <c r="F42" s="225"/>
      <c r="G42" s="226"/>
      <c r="H42" s="126"/>
      <c r="K42" s="122"/>
      <c r="L42" s="123"/>
      <c r="M42" s="123"/>
      <c r="N42" s="125"/>
      <c r="O42" s="126"/>
    </row>
    <row r="43" spans="1:15" ht="21.75">
      <c r="A43" s="66"/>
      <c r="B43" s="68"/>
      <c r="C43" s="68"/>
      <c r="D43" s="286"/>
      <c r="E43" s="285"/>
      <c r="F43" s="225"/>
      <c r="G43" s="226"/>
      <c r="H43" s="126"/>
      <c r="K43" s="122"/>
      <c r="L43" s="123"/>
      <c r="M43" s="123"/>
      <c r="N43" s="125"/>
      <c r="O43" s="126"/>
    </row>
    <row r="44" spans="1:15" ht="21.75">
      <c r="A44" s="66"/>
      <c r="B44" s="68"/>
      <c r="C44" s="68"/>
      <c r="D44" s="286"/>
      <c r="E44" s="285"/>
      <c r="F44" s="225"/>
      <c r="G44" s="226"/>
      <c r="H44" s="126"/>
      <c r="K44" s="122"/>
      <c r="L44" s="123"/>
      <c r="M44" s="123"/>
      <c r="N44" s="125"/>
      <c r="O44" s="126"/>
    </row>
    <row r="45" spans="1:15" ht="21.75">
      <c r="A45" s="66"/>
      <c r="B45" s="68"/>
      <c r="C45" s="68"/>
      <c r="D45" s="68"/>
      <c r="E45" s="68"/>
      <c r="F45" s="282"/>
      <c r="G45" s="68"/>
      <c r="H45" s="126"/>
      <c r="K45" s="122"/>
      <c r="L45" s="123"/>
      <c r="M45" s="123"/>
      <c r="N45" s="125"/>
      <c r="O45" s="126"/>
    </row>
    <row r="46" spans="1:15" ht="21.75">
      <c r="A46" s="66"/>
      <c r="B46" s="68"/>
      <c r="C46" s="68"/>
      <c r="D46" s="68"/>
      <c r="E46" s="68"/>
      <c r="F46" s="282"/>
      <c r="G46" s="68"/>
      <c r="H46" s="287"/>
      <c r="K46" s="122"/>
      <c r="L46" s="123"/>
      <c r="M46" s="123"/>
      <c r="N46" s="125"/>
      <c r="O46" s="126"/>
    </row>
    <row r="47" spans="1:15" ht="21.75">
      <c r="A47" s="211"/>
      <c r="B47" s="212"/>
      <c r="C47" s="212"/>
      <c r="D47" s="212"/>
      <c r="E47" s="212"/>
      <c r="F47" s="283"/>
      <c r="G47" s="212"/>
      <c r="H47" s="214">
        <f>SUM(H31:H46)</f>
        <v>3350000</v>
      </c>
      <c r="K47" s="122"/>
      <c r="L47" s="123"/>
      <c r="M47" s="123"/>
      <c r="N47" s="125"/>
      <c r="O47" s="126"/>
    </row>
    <row r="48" spans="1:15" ht="21.75">
      <c r="A48" s="436" t="s">
        <v>648</v>
      </c>
      <c r="B48" s="434"/>
      <c r="C48" s="434"/>
      <c r="D48" s="434"/>
      <c r="E48" s="434"/>
      <c r="F48" s="425"/>
      <c r="G48" s="434"/>
      <c r="H48" s="435"/>
      <c r="K48" s="122"/>
      <c r="L48" s="123"/>
      <c r="M48" s="123"/>
      <c r="N48" s="125"/>
      <c r="O48" s="126"/>
    </row>
    <row r="49" spans="1:15" ht="27" customHeight="1">
      <c r="A49" s="644" t="s">
        <v>261</v>
      </c>
      <c r="B49" s="644"/>
      <c r="C49" s="644"/>
      <c r="D49" s="644"/>
      <c r="E49" s="644"/>
      <c r="F49" s="644"/>
      <c r="G49" s="644"/>
      <c r="H49" s="644"/>
      <c r="K49" s="122"/>
      <c r="L49" s="123"/>
      <c r="M49" s="123"/>
      <c r="N49" s="125"/>
      <c r="O49" s="126"/>
    </row>
    <row r="50" spans="1:15" ht="21.75">
      <c r="A50" s="654" t="s">
        <v>653</v>
      </c>
      <c r="B50" s="659" t="s">
        <v>654</v>
      </c>
      <c r="C50" s="661" t="s">
        <v>655</v>
      </c>
      <c r="D50" s="661" t="s">
        <v>12</v>
      </c>
      <c r="E50" s="659" t="s">
        <v>656</v>
      </c>
      <c r="F50" s="661" t="s">
        <v>657</v>
      </c>
      <c r="G50" s="659" t="s">
        <v>658</v>
      </c>
      <c r="H50" s="201" t="s">
        <v>659</v>
      </c>
      <c r="K50" s="122"/>
      <c r="L50" s="123"/>
      <c r="M50" s="123"/>
      <c r="N50" s="125"/>
      <c r="O50" s="126"/>
    </row>
    <row r="51" spans="1:15" ht="21.75">
      <c r="A51" s="714"/>
      <c r="B51" s="715"/>
      <c r="C51" s="715"/>
      <c r="D51" s="715"/>
      <c r="E51" s="716"/>
      <c r="F51" s="715"/>
      <c r="G51" s="715"/>
      <c r="H51" s="288" t="s">
        <v>660</v>
      </c>
      <c r="K51" s="122"/>
      <c r="L51" s="123"/>
      <c r="M51" s="123"/>
      <c r="N51" s="125"/>
      <c r="O51" s="126"/>
    </row>
    <row r="52" spans="1:15" ht="24" customHeight="1">
      <c r="A52" s="26">
        <v>1</v>
      </c>
      <c r="B52" s="26" t="s">
        <v>152</v>
      </c>
      <c r="C52" s="186" t="s">
        <v>262</v>
      </c>
      <c r="D52" s="26" t="s">
        <v>2561</v>
      </c>
      <c r="E52" s="289" t="s">
        <v>661</v>
      </c>
      <c r="F52" s="151" t="s">
        <v>3368</v>
      </c>
      <c r="G52" s="28" t="s">
        <v>3369</v>
      </c>
      <c r="H52" s="28">
        <v>500000</v>
      </c>
      <c r="K52" s="122"/>
      <c r="L52" s="123"/>
      <c r="M52" s="123"/>
      <c r="N52" s="125"/>
      <c r="O52" s="126"/>
    </row>
    <row r="53" spans="1:15" ht="24" customHeight="1">
      <c r="A53" s="26"/>
      <c r="B53" s="26"/>
      <c r="C53" s="26"/>
      <c r="D53" s="26"/>
      <c r="E53" s="28" t="s">
        <v>2871</v>
      </c>
      <c r="F53" s="151" t="s">
        <v>3368</v>
      </c>
      <c r="G53" s="28" t="s">
        <v>3369</v>
      </c>
      <c r="H53" s="28">
        <v>500000</v>
      </c>
      <c r="K53" s="122"/>
      <c r="L53" s="123"/>
      <c r="M53" s="123"/>
      <c r="N53" s="125"/>
      <c r="O53" s="126"/>
    </row>
    <row r="54" spans="1:15" ht="24" customHeight="1">
      <c r="A54" s="26"/>
      <c r="B54" s="26"/>
      <c r="C54" s="26"/>
      <c r="D54" s="153"/>
      <c r="E54" s="187" t="s">
        <v>2872</v>
      </c>
      <c r="F54" s="290" t="s">
        <v>3370</v>
      </c>
      <c r="G54" s="28" t="s">
        <v>3369</v>
      </c>
      <c r="H54" s="28">
        <v>500000</v>
      </c>
      <c r="K54" s="122"/>
      <c r="L54" s="123"/>
      <c r="M54" s="123"/>
      <c r="N54" s="125"/>
      <c r="O54" s="126"/>
    </row>
    <row r="55" spans="1:15" ht="24" customHeight="1">
      <c r="A55" s="26"/>
      <c r="B55" s="26"/>
      <c r="C55" s="26"/>
      <c r="D55" s="153"/>
      <c r="E55" s="187" t="s">
        <v>3371</v>
      </c>
      <c r="F55" s="290" t="s">
        <v>3372</v>
      </c>
      <c r="G55" s="28" t="s">
        <v>3143</v>
      </c>
      <c r="H55" s="28">
        <v>1500000</v>
      </c>
      <c r="K55" s="143"/>
      <c r="L55" s="143"/>
      <c r="M55" s="143"/>
      <c r="N55" s="144"/>
    </row>
    <row r="56" spans="1:15" ht="24" customHeight="1">
      <c r="A56" s="26"/>
      <c r="B56" s="26"/>
      <c r="C56" s="26"/>
      <c r="D56" s="153"/>
      <c r="E56" s="187" t="s">
        <v>3373</v>
      </c>
      <c r="F56" s="290" t="s">
        <v>3374</v>
      </c>
      <c r="G56" s="28" t="s">
        <v>3375</v>
      </c>
      <c r="H56" s="28">
        <v>2000000</v>
      </c>
      <c r="K56" s="143"/>
      <c r="L56" s="143"/>
      <c r="M56" s="143"/>
      <c r="N56" s="144"/>
    </row>
    <row r="57" spans="1:15" ht="24" customHeight="1">
      <c r="A57" s="26"/>
      <c r="B57" s="26"/>
      <c r="C57" s="26"/>
      <c r="D57" s="153"/>
      <c r="E57" s="187" t="s">
        <v>3376</v>
      </c>
      <c r="F57" s="290" t="s">
        <v>3377</v>
      </c>
      <c r="G57" s="28" t="s">
        <v>911</v>
      </c>
      <c r="H57" s="28">
        <v>2400000</v>
      </c>
      <c r="K57" s="143"/>
      <c r="L57" s="143"/>
      <c r="M57" s="143"/>
      <c r="N57" s="144"/>
    </row>
    <row r="58" spans="1:15" ht="24" customHeight="1">
      <c r="A58" s="26"/>
      <c r="B58" s="26"/>
      <c r="C58" s="26"/>
      <c r="D58" s="153"/>
      <c r="E58" s="187" t="s">
        <v>3378</v>
      </c>
      <c r="F58" s="290" t="s">
        <v>3379</v>
      </c>
      <c r="G58" s="28" t="s">
        <v>3380</v>
      </c>
      <c r="H58" s="28">
        <v>3600000</v>
      </c>
      <c r="K58" s="143"/>
      <c r="L58" s="143"/>
      <c r="M58" s="143"/>
      <c r="N58" s="144"/>
    </row>
    <row r="59" spans="1:15" ht="24" customHeight="1">
      <c r="A59" s="26"/>
      <c r="B59" s="26"/>
      <c r="C59" s="26"/>
      <c r="D59" s="153"/>
      <c r="E59" s="187" t="s">
        <v>3381</v>
      </c>
      <c r="F59" s="290" t="s">
        <v>3382</v>
      </c>
      <c r="G59" s="28" t="s">
        <v>1310</v>
      </c>
      <c r="H59" s="28">
        <v>3200000</v>
      </c>
      <c r="I59" s="51" t="s">
        <v>664</v>
      </c>
      <c r="K59" s="143"/>
      <c r="L59" s="143"/>
      <c r="M59" s="143"/>
      <c r="N59" s="144"/>
    </row>
    <row r="60" spans="1:15" ht="24" customHeight="1">
      <c r="A60" s="26"/>
      <c r="B60" s="26"/>
      <c r="C60" s="26"/>
      <c r="D60" s="153"/>
      <c r="E60" s="187" t="s">
        <v>264</v>
      </c>
      <c r="F60" s="290" t="s">
        <v>3383</v>
      </c>
      <c r="G60" s="28" t="s">
        <v>3384</v>
      </c>
      <c r="H60" s="28">
        <v>2400000</v>
      </c>
      <c r="I60" s="51" t="s">
        <v>891</v>
      </c>
      <c r="K60" s="143"/>
      <c r="L60" s="143"/>
      <c r="M60" s="143"/>
      <c r="N60" s="144"/>
    </row>
    <row r="61" spans="1:15" ht="24" customHeight="1">
      <c r="A61" s="93"/>
      <c r="B61" s="93"/>
      <c r="C61" s="93"/>
      <c r="D61" s="93"/>
      <c r="E61" s="93"/>
      <c r="F61" s="291"/>
      <c r="G61" s="93"/>
      <c r="H61" s="292">
        <f>SUM(H52:H60)</f>
        <v>16600000</v>
      </c>
    </row>
    <row r="62" spans="1:15" ht="24" customHeight="1">
      <c r="A62" s="293"/>
      <c r="B62" s="294"/>
      <c r="C62" s="294"/>
      <c r="D62" s="294"/>
      <c r="E62" s="294"/>
      <c r="F62" s="295"/>
      <c r="G62" s="294"/>
      <c r="H62" s="296"/>
    </row>
  </sheetData>
  <mergeCells count="42">
    <mergeCell ref="A2:H2"/>
    <mergeCell ref="K2:N2"/>
    <mergeCell ref="A3:A4"/>
    <mergeCell ref="B3:B4"/>
    <mergeCell ref="C3:C4"/>
    <mergeCell ref="D3:D4"/>
    <mergeCell ref="E3:E4"/>
    <mergeCell ref="F3:F4"/>
    <mergeCell ref="G3:G4"/>
    <mergeCell ref="K3:K4"/>
    <mergeCell ref="L3:L4"/>
    <mergeCell ref="M3:M4"/>
    <mergeCell ref="N3:N4"/>
    <mergeCell ref="O3:O4"/>
    <mergeCell ref="A15:H15"/>
    <mergeCell ref="F16:F17"/>
    <mergeCell ref="G16:G17"/>
    <mergeCell ref="A28:H28"/>
    <mergeCell ref="F29:F30"/>
    <mergeCell ref="G29:G30"/>
    <mergeCell ref="A16:A17"/>
    <mergeCell ref="B16:B17"/>
    <mergeCell ref="C16:C17"/>
    <mergeCell ref="D16:D17"/>
    <mergeCell ref="E16:E17"/>
    <mergeCell ref="A29:A30"/>
    <mergeCell ref="B29:B30"/>
    <mergeCell ref="C29:C30"/>
    <mergeCell ref="D29:D30"/>
    <mergeCell ref="E29:E30"/>
    <mergeCell ref="H34:H41"/>
    <mergeCell ref="A49:H49"/>
    <mergeCell ref="A50:A51"/>
    <mergeCell ref="B50:B51"/>
    <mergeCell ref="C50:C51"/>
    <mergeCell ref="D50:D51"/>
    <mergeCell ref="E50:E51"/>
    <mergeCell ref="F50:F51"/>
    <mergeCell ref="G50:G51"/>
    <mergeCell ref="D33:D40"/>
    <mergeCell ref="F33:F40"/>
    <mergeCell ref="G33:G40"/>
  </mergeCells>
  <hyperlinks>
    <hyperlink ref="A1" location="Name!A1" display="Name!A1" xr:uid="{ACC4D5C0-AE56-4321-B9C3-9C8A936D8DA6}"/>
    <hyperlink ref="A48" location="Name!A1" display="Name!A1" xr:uid="{BC7A15C0-1478-412D-B083-EFCCA1F9C382}"/>
  </hyperlinks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922B-C818-4915-9FA7-3C4473F07830}">
  <dimension ref="A1:O104"/>
  <sheetViews>
    <sheetView topLeftCell="A88" workbookViewId="0">
      <selection activeCell="A92" sqref="A92"/>
    </sheetView>
  </sheetViews>
  <sheetFormatPr defaultColWidth="9.140625" defaultRowHeight="18"/>
  <cols>
    <col min="1" max="1" width="6.140625" style="51" customWidth="1"/>
    <col min="2" max="3" width="15.42578125" style="51" customWidth="1"/>
    <col min="4" max="4" width="15.5703125" style="51" customWidth="1"/>
    <col min="5" max="5" width="27" style="51" customWidth="1"/>
    <col min="6" max="6" width="14.140625" style="51" customWidth="1"/>
    <col min="7" max="7" width="13.42578125" style="51" customWidth="1"/>
    <col min="8" max="8" width="15.140625" style="51" customWidth="1"/>
    <col min="9" max="9" width="14" style="51" customWidth="1"/>
    <col min="10" max="10" width="13.7109375" style="193" customWidth="1"/>
    <col min="11" max="12" width="9.140625" style="51"/>
    <col min="13" max="13" width="39.5703125" style="51" customWidth="1"/>
    <col min="14" max="14" width="15.42578125" style="104" customWidth="1"/>
    <col min="15" max="15" width="17.5703125" style="51" customWidth="1"/>
    <col min="16" max="16384" width="9.140625" style="51"/>
  </cols>
  <sheetData>
    <row r="1" spans="1:15">
      <c r="A1" s="411" t="s">
        <v>648</v>
      </c>
    </row>
    <row r="2" spans="1:15" ht="21.75">
      <c r="A2" s="644" t="s">
        <v>3385</v>
      </c>
      <c r="B2" s="644"/>
      <c r="C2" s="644"/>
      <c r="D2" s="644"/>
      <c r="E2" s="644"/>
      <c r="F2" s="644"/>
      <c r="G2" s="644"/>
      <c r="H2" s="644"/>
      <c r="I2" s="644"/>
      <c r="J2" s="169"/>
      <c r="K2" s="644" t="s">
        <v>973</v>
      </c>
      <c r="L2" s="644"/>
      <c r="M2" s="644"/>
      <c r="N2" s="644"/>
    </row>
    <row r="3" spans="1:15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7" t="s">
        <v>974</v>
      </c>
      <c r="G3" s="645" t="s">
        <v>657</v>
      </c>
      <c r="H3" s="647" t="s">
        <v>658</v>
      </c>
      <c r="I3" s="3" t="s">
        <v>659</v>
      </c>
      <c r="J3" s="169"/>
      <c r="K3" s="654" t="s">
        <v>653</v>
      </c>
      <c r="L3" s="659" t="s">
        <v>974</v>
      </c>
      <c r="M3" s="661" t="s">
        <v>975</v>
      </c>
      <c r="N3" s="662" t="s">
        <v>976</v>
      </c>
      <c r="O3" s="729" t="s">
        <v>977</v>
      </c>
    </row>
    <row r="4" spans="1:15" ht="21.75">
      <c r="A4" s="646"/>
      <c r="B4" s="646"/>
      <c r="C4" s="646"/>
      <c r="D4" s="646"/>
      <c r="E4" s="648"/>
      <c r="F4" s="648"/>
      <c r="G4" s="646"/>
      <c r="H4" s="646"/>
      <c r="I4" s="6" t="s">
        <v>660</v>
      </c>
      <c r="J4" s="169"/>
      <c r="K4" s="655"/>
      <c r="L4" s="710"/>
      <c r="M4" s="660"/>
      <c r="N4" s="663"/>
      <c r="O4" s="730"/>
    </row>
    <row r="5" spans="1:15" ht="21.75">
      <c r="A5" s="7">
        <v>1</v>
      </c>
      <c r="B5" s="7" t="s">
        <v>3386</v>
      </c>
      <c r="C5" s="8" t="s">
        <v>256</v>
      </c>
      <c r="D5" s="7" t="s">
        <v>3387</v>
      </c>
      <c r="E5" s="9" t="s">
        <v>3388</v>
      </c>
      <c r="F5" s="9" t="s">
        <v>3389</v>
      </c>
      <c r="G5" s="10" t="s">
        <v>3390</v>
      </c>
      <c r="H5" s="9">
        <v>1000000</v>
      </c>
      <c r="I5" s="9"/>
      <c r="J5" s="169" t="s">
        <v>3391</v>
      </c>
      <c r="K5" s="122"/>
      <c r="L5" s="123"/>
      <c r="M5" s="123"/>
      <c r="N5" s="125"/>
      <c r="O5" s="126"/>
    </row>
    <row r="6" spans="1:15" ht="21.75">
      <c r="A6" s="7"/>
      <c r="B6" s="7"/>
      <c r="C6" s="7"/>
      <c r="D6" s="7"/>
      <c r="E6" s="9"/>
      <c r="F6" s="9"/>
      <c r="G6" s="10"/>
      <c r="H6" s="9"/>
      <c r="I6" s="9"/>
      <c r="J6" s="169" t="s">
        <v>3392</v>
      </c>
      <c r="K6" s="122"/>
      <c r="L6" s="123"/>
      <c r="M6" s="123"/>
      <c r="N6" s="125"/>
      <c r="O6" s="126"/>
    </row>
    <row r="7" spans="1:15" ht="21.75">
      <c r="A7" s="7"/>
      <c r="B7" s="7"/>
      <c r="C7" s="7"/>
      <c r="D7" s="7"/>
      <c r="E7" s="9"/>
      <c r="F7" s="9"/>
      <c r="G7" s="10"/>
      <c r="H7" s="9"/>
      <c r="I7" s="9"/>
      <c r="J7" s="169"/>
      <c r="K7" s="122"/>
      <c r="L7" s="123"/>
      <c r="M7" s="123"/>
      <c r="N7" s="125"/>
      <c r="O7" s="126"/>
    </row>
    <row r="8" spans="1:15" ht="21.75">
      <c r="A8" s="12"/>
      <c r="B8" s="12"/>
      <c r="C8" s="12"/>
      <c r="D8" s="12"/>
      <c r="E8" s="13"/>
      <c r="F8" s="13"/>
      <c r="G8" s="14"/>
      <c r="H8" s="13">
        <f>SUM(H5:H7)</f>
        <v>1000000</v>
      </c>
      <c r="I8" s="13"/>
      <c r="J8" s="169"/>
      <c r="K8" s="183"/>
      <c r="L8" s="184"/>
      <c r="M8" s="184"/>
      <c r="N8" s="185">
        <f>SUM(N5:N7)</f>
        <v>0</v>
      </c>
      <c r="O8" s="194">
        <f>H8-N8</f>
        <v>1000000</v>
      </c>
    </row>
    <row r="9" spans="1:15" ht="21.75">
      <c r="A9" s="644" t="s">
        <v>3393</v>
      </c>
      <c r="B9" s="644"/>
      <c r="C9" s="644"/>
      <c r="D9" s="644"/>
      <c r="E9" s="644"/>
      <c r="F9" s="644"/>
      <c r="G9" s="644"/>
      <c r="H9" s="644"/>
      <c r="I9" s="644"/>
      <c r="J9" s="169"/>
      <c r="K9" s="122"/>
      <c r="L9" s="123"/>
      <c r="M9" s="123"/>
      <c r="N9" s="125"/>
      <c r="O9" s="126"/>
    </row>
    <row r="10" spans="1:15" ht="21.75">
      <c r="A10" s="7">
        <v>2</v>
      </c>
      <c r="B10" s="7" t="s">
        <v>3386</v>
      </c>
      <c r="C10" s="8" t="s">
        <v>256</v>
      </c>
      <c r="D10" s="7" t="s">
        <v>3387</v>
      </c>
      <c r="E10" s="9" t="s">
        <v>3394</v>
      </c>
      <c r="F10" s="9" t="s">
        <v>3395</v>
      </c>
      <c r="G10" s="10" t="s">
        <v>3396</v>
      </c>
      <c r="H10" s="9">
        <v>500000</v>
      </c>
      <c r="I10" s="9"/>
      <c r="J10" s="169"/>
      <c r="K10" s="122"/>
      <c r="L10" s="123"/>
      <c r="M10" s="123"/>
      <c r="N10" s="125"/>
      <c r="O10" s="126"/>
    </row>
    <row r="11" spans="1:15" ht="21.75">
      <c r="A11" s="7"/>
      <c r="B11" s="7"/>
      <c r="C11" s="7"/>
      <c r="D11" s="7"/>
      <c r="E11" s="9" t="s">
        <v>1006</v>
      </c>
      <c r="F11" s="9" t="s">
        <v>3395</v>
      </c>
      <c r="G11" s="10" t="s">
        <v>3396</v>
      </c>
      <c r="H11" s="9">
        <v>-100000</v>
      </c>
      <c r="I11" s="9"/>
      <c r="J11" s="169"/>
      <c r="K11" s="122"/>
      <c r="L11" s="123"/>
      <c r="M11" s="123"/>
      <c r="N11" s="125"/>
      <c r="O11" s="126"/>
    </row>
    <row r="12" spans="1:15" ht="21.75">
      <c r="A12" s="7"/>
      <c r="B12" s="7"/>
      <c r="C12" s="7"/>
      <c r="D12" s="7"/>
      <c r="E12" s="9"/>
      <c r="F12" s="9"/>
      <c r="G12" s="10"/>
      <c r="H12" s="9"/>
      <c r="I12" s="9"/>
      <c r="J12" s="169"/>
      <c r="K12" s="122"/>
      <c r="L12" s="123"/>
      <c r="M12" s="123"/>
      <c r="N12" s="125"/>
      <c r="O12" s="126"/>
    </row>
    <row r="13" spans="1:15" ht="21.75">
      <c r="A13" s="7"/>
      <c r="B13" s="7"/>
      <c r="C13" s="7"/>
      <c r="D13" s="7"/>
      <c r="E13" s="9"/>
      <c r="F13" s="9"/>
      <c r="G13" s="10"/>
      <c r="H13" s="9"/>
      <c r="I13" s="9"/>
      <c r="J13" s="169"/>
      <c r="K13" s="122"/>
      <c r="L13" s="123"/>
      <c r="M13" s="123"/>
      <c r="N13" s="125"/>
      <c r="O13" s="126"/>
    </row>
    <row r="14" spans="1:15" ht="21.75">
      <c r="A14" s="644" t="s">
        <v>3397</v>
      </c>
      <c r="B14" s="644"/>
      <c r="C14" s="644"/>
      <c r="D14" s="644"/>
      <c r="E14" s="644"/>
      <c r="F14" s="644"/>
      <c r="G14" s="644"/>
      <c r="H14" s="644"/>
      <c r="I14" s="644"/>
      <c r="J14" s="169"/>
      <c r="K14" s="122"/>
      <c r="L14" s="123"/>
      <c r="M14" s="123"/>
      <c r="N14" s="125"/>
      <c r="O14" s="126"/>
    </row>
    <row r="15" spans="1:15" ht="22.5" customHeight="1">
      <c r="A15" s="7">
        <v>2</v>
      </c>
      <c r="B15" s="7" t="s">
        <v>3386</v>
      </c>
      <c r="C15" s="8" t="s">
        <v>256</v>
      </c>
      <c r="D15" s="7" t="s">
        <v>3387</v>
      </c>
      <c r="E15" s="9" t="s">
        <v>703</v>
      </c>
      <c r="F15" s="9" t="s">
        <v>3398</v>
      </c>
      <c r="G15" s="10" t="s">
        <v>3399</v>
      </c>
      <c r="H15" s="9">
        <v>500000</v>
      </c>
      <c r="I15" s="9"/>
      <c r="J15" s="169"/>
      <c r="K15" s="122"/>
      <c r="L15" s="123"/>
      <c r="M15" s="123"/>
      <c r="N15" s="125"/>
      <c r="O15" s="126"/>
    </row>
    <row r="16" spans="1:15" ht="21.75">
      <c r="A16" s="7"/>
      <c r="B16" s="7"/>
      <c r="C16" s="7"/>
      <c r="D16" s="7"/>
      <c r="E16" s="9" t="s">
        <v>3400</v>
      </c>
      <c r="F16" s="9" t="s">
        <v>3398</v>
      </c>
      <c r="G16" s="10" t="s">
        <v>3399</v>
      </c>
      <c r="H16" s="9">
        <v>1000000</v>
      </c>
      <c r="I16" s="9"/>
      <c r="J16" s="169"/>
      <c r="K16" s="122"/>
      <c r="L16" s="123"/>
      <c r="M16" s="123"/>
      <c r="N16" s="125"/>
      <c r="O16" s="126"/>
    </row>
    <row r="17" spans="1:15" ht="21.75">
      <c r="A17" s="7"/>
      <c r="B17" s="7"/>
      <c r="C17" s="7"/>
      <c r="D17" s="7"/>
      <c r="E17" s="9" t="s">
        <v>3401</v>
      </c>
      <c r="F17" s="9" t="s">
        <v>3402</v>
      </c>
      <c r="G17" s="10" t="s">
        <v>3403</v>
      </c>
      <c r="H17" s="9">
        <v>1000000</v>
      </c>
      <c r="I17" s="9"/>
      <c r="J17" s="169"/>
      <c r="K17" s="122"/>
      <c r="L17" s="123"/>
      <c r="M17" s="123"/>
      <c r="N17" s="125"/>
      <c r="O17" s="126"/>
    </row>
    <row r="18" spans="1:15" ht="21.75">
      <c r="A18" s="7"/>
      <c r="B18" s="7"/>
      <c r="C18" s="7"/>
      <c r="D18" s="7"/>
      <c r="E18" s="9" t="s">
        <v>1066</v>
      </c>
      <c r="F18" s="9" t="s">
        <v>3404</v>
      </c>
      <c r="G18" s="10"/>
      <c r="H18" s="9">
        <v>-500000</v>
      </c>
      <c r="I18" s="9"/>
      <c r="J18" s="169"/>
      <c r="K18" s="122"/>
      <c r="L18" s="123"/>
      <c r="M18" s="123"/>
      <c r="N18" s="125"/>
      <c r="O18" s="126"/>
    </row>
    <row r="19" spans="1:15" ht="21.75">
      <c r="A19" s="7"/>
      <c r="B19" s="7"/>
      <c r="C19" s="7"/>
      <c r="D19" s="7"/>
      <c r="E19" s="9"/>
      <c r="F19" s="9"/>
      <c r="G19" s="10"/>
      <c r="H19" s="9"/>
      <c r="I19" s="9"/>
      <c r="J19" s="169"/>
      <c r="K19" s="122"/>
      <c r="L19" s="123"/>
      <c r="M19" s="123"/>
      <c r="N19" s="125"/>
      <c r="O19" s="126"/>
    </row>
    <row r="20" spans="1:15" ht="21.75">
      <c r="A20" s="7"/>
      <c r="B20" s="7"/>
      <c r="C20" s="7"/>
      <c r="D20" s="7"/>
      <c r="E20" s="9"/>
      <c r="F20" s="9"/>
      <c r="G20" s="10"/>
      <c r="H20" s="9"/>
      <c r="I20" s="9"/>
      <c r="J20" s="169"/>
      <c r="K20" s="122"/>
      <c r="L20" s="123"/>
      <c r="M20" s="123"/>
      <c r="N20" s="125"/>
      <c r="O20" s="126"/>
    </row>
    <row r="21" spans="1:15" ht="21.75">
      <c r="A21" s="644" t="s">
        <v>3405</v>
      </c>
      <c r="B21" s="644"/>
      <c r="C21" s="644"/>
      <c r="D21" s="644"/>
      <c r="E21" s="644"/>
      <c r="F21" s="644"/>
      <c r="G21" s="644"/>
      <c r="H21" s="644"/>
      <c r="I21" s="644"/>
      <c r="J21" s="169"/>
      <c r="K21" s="122"/>
      <c r="L21" s="123"/>
      <c r="M21" s="123"/>
      <c r="N21" s="125"/>
      <c r="O21" s="126"/>
    </row>
    <row r="22" spans="1:15" ht="21.75">
      <c r="A22" s="7">
        <v>2</v>
      </c>
      <c r="B22" s="7" t="s">
        <v>3386</v>
      </c>
      <c r="C22" s="8" t="s">
        <v>256</v>
      </c>
      <c r="D22" s="7" t="s">
        <v>3387</v>
      </c>
      <c r="E22" s="9" t="s">
        <v>703</v>
      </c>
      <c r="F22" s="9" t="s">
        <v>3406</v>
      </c>
      <c r="G22" s="10" t="s">
        <v>3407</v>
      </c>
      <c r="H22" s="9">
        <v>500000</v>
      </c>
      <c r="I22" s="9"/>
      <c r="J22" s="169"/>
      <c r="K22" s="122"/>
      <c r="L22" s="123"/>
      <c r="M22" s="123"/>
      <c r="N22" s="125"/>
      <c r="O22" s="126"/>
    </row>
    <row r="23" spans="1:15" ht="21.75">
      <c r="A23" s="7"/>
      <c r="B23" s="7"/>
      <c r="C23" s="7"/>
      <c r="D23" s="7"/>
      <c r="E23" s="9" t="s">
        <v>3408</v>
      </c>
      <c r="F23" s="9" t="s">
        <v>3406</v>
      </c>
      <c r="G23" s="10" t="s">
        <v>3407</v>
      </c>
      <c r="H23" s="9">
        <v>500000</v>
      </c>
      <c r="I23" s="9"/>
      <c r="J23" s="169"/>
      <c r="K23" s="122"/>
      <c r="L23" s="123"/>
      <c r="M23" s="123"/>
      <c r="N23" s="125"/>
      <c r="O23" s="126"/>
    </row>
    <row r="24" spans="1:15" ht="21.75">
      <c r="A24" s="7"/>
      <c r="B24" s="7"/>
      <c r="C24" s="7"/>
      <c r="D24" s="7"/>
      <c r="E24" s="9"/>
      <c r="F24" s="9"/>
      <c r="G24" s="10"/>
      <c r="H24" s="9"/>
      <c r="I24" s="9"/>
      <c r="J24" s="169"/>
      <c r="K24" s="122"/>
      <c r="L24" s="123"/>
      <c r="M24" s="123"/>
      <c r="N24" s="125"/>
      <c r="O24" s="126"/>
    </row>
    <row r="25" spans="1:15" ht="21.75">
      <c r="A25" s="7"/>
      <c r="B25" s="7"/>
      <c r="C25" s="7"/>
      <c r="D25" s="7"/>
      <c r="E25" s="9"/>
      <c r="F25" s="9"/>
      <c r="G25" s="10"/>
      <c r="H25" s="9"/>
      <c r="I25" s="9"/>
      <c r="J25" s="169"/>
      <c r="K25" s="122"/>
      <c r="L25" s="123"/>
      <c r="M25" s="123"/>
      <c r="N25" s="125"/>
      <c r="O25" s="126"/>
    </row>
    <row r="26" spans="1:15" ht="21.75">
      <c r="A26" s="7"/>
      <c r="B26" s="7"/>
      <c r="C26" s="7"/>
      <c r="D26" s="7"/>
      <c r="E26" s="9"/>
      <c r="F26" s="9"/>
      <c r="G26" s="10"/>
      <c r="H26" s="9"/>
      <c r="I26" s="9"/>
      <c r="J26" s="169"/>
      <c r="K26" s="122"/>
      <c r="L26" s="123"/>
      <c r="M26" s="123"/>
      <c r="N26" s="125"/>
      <c r="O26" s="126"/>
    </row>
    <row r="27" spans="1:15" ht="21.75">
      <c r="A27" s="7"/>
      <c r="B27" s="7"/>
      <c r="C27" s="7"/>
      <c r="D27" s="7"/>
      <c r="E27" s="9"/>
      <c r="F27" s="9"/>
      <c r="G27" s="10"/>
      <c r="H27" s="9"/>
      <c r="I27" s="9"/>
      <c r="J27" s="169"/>
      <c r="K27" s="122"/>
      <c r="L27" s="123"/>
      <c r="M27" s="123"/>
      <c r="N27" s="125"/>
      <c r="O27" s="126"/>
    </row>
    <row r="28" spans="1:15" ht="21.75">
      <c r="A28" s="7"/>
      <c r="B28" s="7"/>
      <c r="C28" s="7"/>
      <c r="D28" s="7"/>
      <c r="E28" s="9"/>
      <c r="F28" s="9"/>
      <c r="G28" s="10"/>
      <c r="H28" s="9"/>
      <c r="I28" s="9"/>
      <c r="J28" s="169"/>
      <c r="K28" s="122"/>
      <c r="L28" s="123"/>
      <c r="M28" s="123"/>
      <c r="N28" s="125"/>
      <c r="O28" s="126"/>
    </row>
    <row r="29" spans="1:15" ht="21.75">
      <c r="A29" s="7"/>
      <c r="B29" s="7"/>
      <c r="C29" s="7"/>
      <c r="D29" s="7"/>
      <c r="E29" s="9"/>
      <c r="F29" s="9"/>
      <c r="G29" s="10"/>
      <c r="H29" s="9"/>
      <c r="I29" s="9"/>
      <c r="J29" s="169"/>
      <c r="K29" s="122"/>
      <c r="L29" s="123"/>
      <c r="M29" s="123"/>
      <c r="N29" s="125"/>
      <c r="O29" s="126"/>
    </row>
    <row r="30" spans="1:15" ht="21.75">
      <c r="A30" s="644" t="s">
        <v>272</v>
      </c>
      <c r="B30" s="644"/>
      <c r="C30" s="644"/>
      <c r="D30" s="644"/>
      <c r="E30" s="644"/>
      <c r="F30" s="644"/>
      <c r="G30" s="644"/>
      <c r="H30" s="644"/>
      <c r="I30" s="644"/>
      <c r="J30" s="169"/>
      <c r="K30" s="122"/>
      <c r="L30" s="123"/>
      <c r="M30" s="123"/>
      <c r="N30" s="125"/>
      <c r="O30" s="126"/>
    </row>
    <row r="31" spans="1:15" ht="21.75">
      <c r="A31" s="7">
        <v>2</v>
      </c>
      <c r="B31" s="7" t="s">
        <v>3386</v>
      </c>
      <c r="C31" s="8" t="s">
        <v>256</v>
      </c>
      <c r="D31" s="7" t="s">
        <v>3387</v>
      </c>
      <c r="E31" s="9" t="s">
        <v>3409</v>
      </c>
      <c r="F31" s="147" t="s">
        <v>3410</v>
      </c>
      <c r="G31" s="10" t="s">
        <v>3411</v>
      </c>
      <c r="H31" s="9">
        <v>450000</v>
      </c>
      <c r="I31" s="9"/>
      <c r="K31" s="122"/>
      <c r="L31" s="123"/>
      <c r="M31" s="123"/>
      <c r="N31" s="125"/>
      <c r="O31" s="126"/>
    </row>
    <row r="32" spans="1:15" ht="21.75">
      <c r="A32" s="7"/>
      <c r="B32" s="7"/>
      <c r="C32" s="7"/>
      <c r="D32" s="7"/>
      <c r="E32" s="9" t="s">
        <v>3412</v>
      </c>
      <c r="F32" s="9" t="s">
        <v>3413</v>
      </c>
      <c r="G32" s="10" t="s">
        <v>3414</v>
      </c>
      <c r="H32" s="9">
        <v>450000</v>
      </c>
      <c r="I32" s="9"/>
      <c r="K32" s="122"/>
      <c r="L32" s="123"/>
      <c r="M32" s="123"/>
      <c r="N32" s="125"/>
      <c r="O32" s="126"/>
    </row>
    <row r="33" spans="1:15" ht="21.75">
      <c r="A33" s="7"/>
      <c r="B33" s="7"/>
      <c r="C33" s="7"/>
      <c r="D33" s="7"/>
      <c r="E33" s="9"/>
      <c r="F33" s="9"/>
      <c r="G33" s="10"/>
      <c r="H33" s="9"/>
      <c r="I33" s="9"/>
      <c r="K33" s="122"/>
      <c r="L33" s="123"/>
      <c r="M33" s="123"/>
      <c r="N33" s="125"/>
      <c r="O33" s="126"/>
    </row>
    <row r="34" spans="1:15" ht="21.75">
      <c r="A34" s="7"/>
      <c r="B34" s="7"/>
      <c r="C34" s="7"/>
      <c r="D34" s="7"/>
      <c r="E34" s="9"/>
      <c r="F34" s="9"/>
      <c r="G34" s="10"/>
      <c r="H34" s="9"/>
      <c r="I34" s="9"/>
      <c r="K34" s="122"/>
      <c r="L34" s="123"/>
      <c r="M34" s="123"/>
      <c r="N34" s="125"/>
      <c r="O34" s="126"/>
    </row>
    <row r="35" spans="1:15" ht="21.75">
      <c r="A35" s="7"/>
      <c r="B35" s="7"/>
      <c r="C35" s="7"/>
      <c r="D35" s="7"/>
      <c r="E35" s="9"/>
      <c r="F35" s="9"/>
      <c r="G35" s="10"/>
      <c r="H35" s="9"/>
      <c r="I35" s="9"/>
      <c r="K35" s="122"/>
      <c r="L35" s="123"/>
      <c r="M35" s="123"/>
      <c r="N35" s="125"/>
      <c r="O35" s="126"/>
    </row>
    <row r="36" spans="1:15" ht="21.75">
      <c r="A36" s="7"/>
      <c r="B36" s="7"/>
      <c r="C36" s="7"/>
      <c r="D36" s="7"/>
      <c r="E36" s="9"/>
      <c r="F36" s="9"/>
      <c r="G36" s="10"/>
      <c r="H36" s="9"/>
      <c r="I36" s="9"/>
      <c r="K36" s="122"/>
      <c r="L36" s="123"/>
      <c r="M36" s="123"/>
      <c r="N36" s="125"/>
      <c r="O36" s="126"/>
    </row>
    <row r="37" spans="1:15" ht="21.75">
      <c r="A37" s="7"/>
      <c r="B37" s="7"/>
      <c r="C37" s="7"/>
      <c r="D37" s="7"/>
      <c r="E37" s="9"/>
      <c r="F37" s="9"/>
      <c r="G37" s="10"/>
      <c r="H37" s="9"/>
      <c r="I37" s="9"/>
      <c r="K37" s="122"/>
      <c r="L37" s="123"/>
      <c r="M37" s="123"/>
      <c r="N37" s="125"/>
      <c r="O37" s="126"/>
    </row>
    <row r="38" spans="1:15" ht="21.75">
      <c r="A38" s="7"/>
      <c r="B38" s="7"/>
      <c r="C38" s="7"/>
      <c r="D38" s="7"/>
      <c r="E38" s="9"/>
      <c r="F38" s="9"/>
      <c r="G38" s="10"/>
      <c r="H38" s="9"/>
      <c r="I38" s="9"/>
      <c r="K38" s="122"/>
      <c r="L38" s="123"/>
      <c r="M38" s="123"/>
      <c r="N38" s="125"/>
      <c r="O38" s="126"/>
    </row>
    <row r="39" spans="1:15" ht="21.75">
      <c r="A39" s="644" t="s">
        <v>3415</v>
      </c>
      <c r="B39" s="644"/>
      <c r="C39" s="644"/>
      <c r="D39" s="644"/>
      <c r="E39" s="644"/>
      <c r="F39" s="644"/>
      <c r="G39" s="644"/>
      <c r="H39" s="644"/>
      <c r="I39" s="644"/>
      <c r="K39" s="122"/>
      <c r="L39" s="123"/>
      <c r="M39" s="123"/>
      <c r="N39" s="125"/>
      <c r="O39" s="126"/>
    </row>
    <row r="40" spans="1:15" ht="21.75">
      <c r="A40" s="7">
        <v>2</v>
      </c>
      <c r="B40" s="7" t="s">
        <v>3386</v>
      </c>
      <c r="C40" s="8" t="s">
        <v>256</v>
      </c>
      <c r="D40" s="7" t="s">
        <v>3387</v>
      </c>
      <c r="E40" s="9" t="s">
        <v>703</v>
      </c>
      <c r="F40" s="147" t="s">
        <v>2432</v>
      </c>
      <c r="G40" s="10" t="s">
        <v>3416</v>
      </c>
      <c r="H40" s="9">
        <v>500000</v>
      </c>
      <c r="I40" s="9"/>
      <c r="K40" s="122"/>
      <c r="L40" s="123"/>
      <c r="M40" s="123"/>
      <c r="N40" s="125"/>
      <c r="O40" s="126"/>
    </row>
    <row r="41" spans="1:15" ht="21.75">
      <c r="A41" s="7"/>
      <c r="B41" s="7"/>
      <c r="C41" s="7"/>
      <c r="D41" s="7"/>
      <c r="E41" s="9" t="s">
        <v>3417</v>
      </c>
      <c r="F41" s="147" t="s">
        <v>2432</v>
      </c>
      <c r="G41" s="10" t="s">
        <v>3416</v>
      </c>
      <c r="H41" s="9">
        <v>500000</v>
      </c>
      <c r="I41" s="9"/>
      <c r="K41" s="122"/>
      <c r="L41" s="123"/>
      <c r="M41" s="123"/>
      <c r="N41" s="125"/>
      <c r="O41" s="126"/>
    </row>
    <row r="42" spans="1:15" ht="21.75">
      <c r="A42" s="7"/>
      <c r="B42" s="7"/>
      <c r="C42" s="7"/>
      <c r="D42" s="7"/>
      <c r="E42" s="9" t="s">
        <v>3418</v>
      </c>
      <c r="F42" s="147" t="s">
        <v>3419</v>
      </c>
      <c r="G42" s="10" t="s">
        <v>3420</v>
      </c>
      <c r="H42" s="9">
        <v>1500000</v>
      </c>
      <c r="I42" s="9"/>
      <c r="K42" s="122"/>
      <c r="L42" s="123"/>
      <c r="M42" s="123"/>
      <c r="N42" s="125"/>
      <c r="O42" s="126"/>
    </row>
    <row r="43" spans="1:15" ht="21.75">
      <c r="A43" s="7"/>
      <c r="B43" s="7"/>
      <c r="C43" s="7"/>
      <c r="D43" s="7"/>
      <c r="E43" s="9" t="s">
        <v>1066</v>
      </c>
      <c r="F43" s="9"/>
      <c r="G43" s="10"/>
      <c r="H43" s="9">
        <v>-500000</v>
      </c>
      <c r="I43" s="9"/>
      <c r="K43" s="122"/>
      <c r="L43" s="123"/>
      <c r="M43" s="123"/>
      <c r="N43" s="125"/>
      <c r="O43" s="126"/>
    </row>
    <row r="44" spans="1:15" ht="21.75">
      <c r="A44" s="7"/>
      <c r="B44" s="7"/>
      <c r="C44" s="7"/>
      <c r="D44" s="7"/>
      <c r="E44" s="9"/>
      <c r="F44" s="9"/>
      <c r="G44" s="10"/>
      <c r="H44" s="9"/>
      <c r="I44" s="9"/>
      <c r="K44" s="122"/>
      <c r="L44" s="123"/>
      <c r="M44" s="123"/>
      <c r="N44" s="125"/>
      <c r="O44" s="126"/>
    </row>
    <row r="45" spans="1:15" ht="21.75">
      <c r="A45" s="7"/>
      <c r="B45" s="7"/>
      <c r="C45" s="7"/>
      <c r="D45" s="7"/>
      <c r="E45" s="9"/>
      <c r="F45" s="9"/>
      <c r="G45" s="10"/>
      <c r="H45" s="9"/>
      <c r="I45" s="9"/>
      <c r="K45" s="122"/>
      <c r="L45" s="123"/>
      <c r="M45" s="123"/>
      <c r="N45" s="125"/>
      <c r="O45" s="126"/>
    </row>
    <row r="46" spans="1:15" ht="21.75">
      <c r="A46" s="7"/>
      <c r="B46" s="7"/>
      <c r="C46" s="7"/>
      <c r="D46" s="7"/>
      <c r="E46" s="9"/>
      <c r="F46" s="9"/>
      <c r="G46" s="10"/>
      <c r="H46" s="9"/>
      <c r="I46" s="9"/>
      <c r="K46" s="139"/>
      <c r="L46" s="140"/>
      <c r="M46" s="140"/>
      <c r="N46" s="141"/>
      <c r="O46" s="142"/>
    </row>
    <row r="47" spans="1:15" ht="21.75">
      <c r="A47" s="7"/>
      <c r="B47" s="7"/>
      <c r="C47" s="7"/>
      <c r="D47" s="7"/>
      <c r="E47" s="9"/>
      <c r="F47" s="9"/>
      <c r="G47" s="10"/>
      <c r="H47" s="9">
        <f>SUM(H40:H46)</f>
        <v>2000000</v>
      </c>
      <c r="I47" s="9"/>
    </row>
    <row r="48" spans="1:15" ht="21.75">
      <c r="A48" s="746" t="s">
        <v>3421</v>
      </c>
      <c r="B48" s="746"/>
      <c r="C48" s="746"/>
      <c r="D48" s="746"/>
      <c r="E48" s="746"/>
      <c r="F48" s="746"/>
      <c r="G48" s="746"/>
      <c r="H48" s="746"/>
      <c r="I48" s="746"/>
    </row>
    <row r="49" spans="1:9" ht="21.75">
      <c r="A49" s="7">
        <v>2</v>
      </c>
      <c r="B49" s="7" t="s">
        <v>3386</v>
      </c>
      <c r="C49" s="8" t="s">
        <v>256</v>
      </c>
      <c r="D49" s="7" t="s">
        <v>3387</v>
      </c>
      <c r="E49" s="9" t="s">
        <v>3422</v>
      </c>
      <c r="F49" s="147" t="s">
        <v>1032</v>
      </c>
      <c r="G49" s="10" t="s">
        <v>3423</v>
      </c>
      <c r="H49" s="9">
        <v>500000</v>
      </c>
      <c r="I49" s="9"/>
    </row>
    <row r="50" spans="1:9" ht="21.75">
      <c r="A50" s="7"/>
      <c r="B50" s="7"/>
      <c r="C50" s="7"/>
      <c r="D50" s="7"/>
      <c r="E50" s="9" t="s">
        <v>3424</v>
      </c>
      <c r="F50" s="147" t="s">
        <v>1035</v>
      </c>
      <c r="G50" s="10" t="s">
        <v>3425</v>
      </c>
      <c r="H50" s="9">
        <v>500000</v>
      </c>
      <c r="I50" s="9"/>
    </row>
    <row r="51" spans="1:9" ht="21.75">
      <c r="A51" s="7"/>
      <c r="B51" s="7"/>
      <c r="C51" s="7"/>
      <c r="D51" s="7"/>
      <c r="E51" s="9" t="s">
        <v>3426</v>
      </c>
      <c r="F51" s="147" t="s">
        <v>1119</v>
      </c>
      <c r="G51" s="10" t="s">
        <v>3427</v>
      </c>
      <c r="H51" s="9">
        <v>500000</v>
      </c>
      <c r="I51" s="9"/>
    </row>
    <row r="52" spans="1:9" ht="21.75">
      <c r="A52" s="7"/>
      <c r="B52" s="7"/>
      <c r="C52" s="7"/>
      <c r="D52" s="7"/>
      <c r="E52" s="9"/>
      <c r="F52" s="9"/>
      <c r="G52" s="10"/>
      <c r="H52" s="9"/>
      <c r="I52" s="9">
        <v>150000</v>
      </c>
    </row>
    <row r="53" spans="1:9" ht="21.75">
      <c r="A53" s="7"/>
      <c r="B53" s="7"/>
      <c r="C53" s="7"/>
      <c r="D53" s="7"/>
      <c r="E53" s="9"/>
      <c r="F53" s="9"/>
      <c r="G53" s="10"/>
      <c r="H53" s="9"/>
      <c r="I53" s="9"/>
    </row>
    <row r="54" spans="1:9" ht="21.75">
      <c r="A54" s="7"/>
      <c r="B54" s="7"/>
      <c r="C54" s="7"/>
      <c r="D54" s="7"/>
      <c r="E54" s="9"/>
      <c r="F54" s="9"/>
      <c r="G54" s="10"/>
      <c r="H54" s="9"/>
      <c r="I54" s="9"/>
    </row>
    <row r="55" spans="1:9" ht="21.75">
      <c r="A55" s="7"/>
      <c r="B55" s="7"/>
      <c r="C55" s="7"/>
      <c r="D55" s="7"/>
      <c r="E55" s="9"/>
      <c r="F55" s="9"/>
      <c r="G55" s="10"/>
      <c r="H55" s="9"/>
      <c r="I55" s="9"/>
    </row>
    <row r="56" spans="1:9" ht="21.75">
      <c r="A56" s="7"/>
      <c r="B56" s="7"/>
      <c r="C56" s="7"/>
      <c r="D56" s="7"/>
      <c r="E56" s="9"/>
      <c r="F56" s="9"/>
      <c r="G56" s="10"/>
      <c r="H56" s="9">
        <f>SUM(H49:H55)</f>
        <v>1500000</v>
      </c>
      <c r="I56" s="9">
        <f>SUM(I51:I55)</f>
        <v>150000</v>
      </c>
    </row>
    <row r="58" spans="1:9" ht="21.75">
      <c r="A58" s="746" t="s">
        <v>3428</v>
      </c>
      <c r="B58" s="746"/>
      <c r="C58" s="746"/>
      <c r="D58" s="746"/>
      <c r="E58" s="746"/>
      <c r="F58" s="746"/>
      <c r="G58" s="746"/>
      <c r="H58" s="746"/>
      <c r="I58" s="746"/>
    </row>
    <row r="59" spans="1:9" ht="21.75">
      <c r="A59" s="7">
        <v>2</v>
      </c>
      <c r="B59" s="7" t="s">
        <v>3386</v>
      </c>
      <c r="C59" s="8" t="s">
        <v>256</v>
      </c>
      <c r="D59" s="7" t="s">
        <v>3387</v>
      </c>
      <c r="E59" s="9" t="s">
        <v>703</v>
      </c>
      <c r="F59" s="147" t="s">
        <v>3429</v>
      </c>
      <c r="G59" s="10" t="s">
        <v>3430</v>
      </c>
      <c r="H59" s="9">
        <v>500000</v>
      </c>
      <c r="I59" s="9"/>
    </row>
    <row r="60" spans="1:9" ht="21.75">
      <c r="A60" s="7"/>
      <c r="B60" s="7"/>
      <c r="C60" s="7"/>
      <c r="D60" s="7"/>
      <c r="E60" s="9" t="s">
        <v>3431</v>
      </c>
      <c r="F60" s="147" t="s">
        <v>3429</v>
      </c>
      <c r="G60" s="10" t="s">
        <v>3430</v>
      </c>
      <c r="H60" s="9">
        <v>1000000</v>
      </c>
      <c r="I60" s="9"/>
    </row>
    <row r="61" spans="1:9" ht="21.75">
      <c r="A61" s="7"/>
      <c r="B61" s="7"/>
      <c r="C61" s="7"/>
      <c r="D61" s="7"/>
      <c r="E61" s="9" t="s">
        <v>3432</v>
      </c>
      <c r="F61" s="147" t="s">
        <v>3433</v>
      </c>
      <c r="G61" s="10" t="s">
        <v>3434</v>
      </c>
      <c r="H61" s="9">
        <v>500000</v>
      </c>
      <c r="I61" s="9"/>
    </row>
    <row r="62" spans="1:9" ht="21.75">
      <c r="A62" s="7"/>
      <c r="B62" s="7"/>
      <c r="C62" s="7"/>
      <c r="D62" s="7"/>
      <c r="E62" s="9" t="s">
        <v>3435</v>
      </c>
      <c r="F62" s="9" t="s">
        <v>3436</v>
      </c>
      <c r="G62" s="10" t="s">
        <v>3437</v>
      </c>
      <c r="H62" s="9">
        <v>885000</v>
      </c>
      <c r="I62" s="9"/>
    </row>
    <row r="63" spans="1:9" ht="21.75">
      <c r="A63" s="7"/>
      <c r="B63" s="7"/>
      <c r="C63" s="7"/>
      <c r="D63" s="7"/>
      <c r="E63" s="9" t="s">
        <v>1066</v>
      </c>
      <c r="F63" s="9"/>
      <c r="G63" s="10"/>
      <c r="H63" s="9">
        <v>-500000</v>
      </c>
      <c r="I63" s="9"/>
    </row>
    <row r="64" spans="1:9" ht="21.75">
      <c r="A64" s="7"/>
      <c r="B64" s="7"/>
      <c r="C64" s="7"/>
      <c r="D64" s="7"/>
      <c r="E64" s="9"/>
      <c r="F64" s="9"/>
      <c r="G64" s="10"/>
      <c r="H64" s="9"/>
      <c r="I64" s="9"/>
    </row>
    <row r="65" spans="1:10" ht="21.75">
      <c r="A65" s="7"/>
      <c r="B65" s="7"/>
      <c r="C65" s="7"/>
      <c r="D65" s="7"/>
      <c r="E65" s="9"/>
      <c r="F65" s="9"/>
      <c r="G65" s="10"/>
      <c r="H65" s="9"/>
      <c r="I65" s="9"/>
    </row>
    <row r="66" spans="1:10" ht="21.75">
      <c r="A66" s="7"/>
      <c r="B66" s="7"/>
      <c r="C66" s="7"/>
      <c r="D66" s="7"/>
      <c r="E66" s="9"/>
      <c r="F66" s="9"/>
      <c r="G66" s="10"/>
      <c r="H66" s="9">
        <f>SUM(H59:H65)</f>
        <v>2385000</v>
      </c>
      <c r="I66" s="9">
        <f>SUM(I61:I65)</f>
        <v>0</v>
      </c>
      <c r="J66" s="193" t="s">
        <v>3438</v>
      </c>
    </row>
    <row r="70" spans="1:10" ht="21.75">
      <c r="A70" s="746" t="s">
        <v>3439</v>
      </c>
      <c r="B70" s="746"/>
      <c r="C70" s="746"/>
      <c r="D70" s="746"/>
      <c r="E70" s="746"/>
      <c r="F70" s="746"/>
      <c r="G70" s="746"/>
      <c r="H70" s="746"/>
      <c r="I70" s="746"/>
    </row>
    <row r="71" spans="1:10" ht="21.75">
      <c r="A71" s="7">
        <v>2</v>
      </c>
      <c r="B71" s="7" t="s">
        <v>3386</v>
      </c>
      <c r="C71" s="8" t="s">
        <v>256</v>
      </c>
      <c r="D71" s="7" t="s">
        <v>3387</v>
      </c>
      <c r="E71" s="9" t="s">
        <v>3440</v>
      </c>
      <c r="F71" s="147" t="s">
        <v>3441</v>
      </c>
      <c r="G71" s="10"/>
      <c r="H71" s="9">
        <v>500000</v>
      </c>
      <c r="I71" s="9"/>
    </row>
    <row r="72" spans="1:10" ht="21.75">
      <c r="A72" s="7"/>
      <c r="B72" s="7"/>
      <c r="C72" s="7"/>
      <c r="D72" s="7"/>
      <c r="E72" s="9" t="s">
        <v>3442</v>
      </c>
      <c r="F72" s="147" t="s">
        <v>2653</v>
      </c>
      <c r="G72" s="10" t="s">
        <v>3443</v>
      </c>
      <c r="H72" s="9">
        <v>500000</v>
      </c>
      <c r="I72" s="9"/>
    </row>
    <row r="73" spans="1:10" ht="21.75">
      <c r="A73" s="7"/>
      <c r="B73" s="7"/>
      <c r="C73" s="7"/>
      <c r="D73" s="7"/>
      <c r="E73" s="9"/>
      <c r="F73" s="147"/>
      <c r="G73" s="10"/>
      <c r="H73" s="9"/>
      <c r="I73" s="9"/>
    </row>
    <row r="74" spans="1:10" ht="21.75">
      <c r="A74" s="7"/>
      <c r="B74" s="7"/>
      <c r="C74" s="7"/>
      <c r="D74" s="7"/>
      <c r="E74" s="9"/>
      <c r="F74" s="9"/>
      <c r="G74" s="10"/>
      <c r="H74" s="9"/>
      <c r="I74" s="9"/>
    </row>
    <row r="75" spans="1:10" ht="21.75">
      <c r="A75" s="7"/>
      <c r="B75" s="7"/>
      <c r="C75" s="7"/>
      <c r="D75" s="7"/>
      <c r="E75" s="9"/>
      <c r="F75" s="9"/>
      <c r="G75" s="10"/>
      <c r="H75" s="9"/>
      <c r="I75" s="9"/>
    </row>
    <row r="76" spans="1:10" ht="21.75">
      <c r="A76" s="7"/>
      <c r="B76" s="7"/>
      <c r="C76" s="7"/>
      <c r="D76" s="7"/>
      <c r="E76" s="9"/>
      <c r="F76" s="9"/>
      <c r="G76" s="10"/>
      <c r="H76" s="9"/>
      <c r="I76" s="9"/>
    </row>
    <row r="77" spans="1:10" ht="21.75">
      <c r="A77" s="7"/>
      <c r="B77" s="7"/>
      <c r="C77" s="7"/>
      <c r="D77" s="7"/>
      <c r="E77" s="9"/>
      <c r="F77" s="9"/>
      <c r="G77" s="10"/>
      <c r="H77" s="9"/>
      <c r="I77" s="9"/>
    </row>
    <row r="78" spans="1:10" ht="21.75">
      <c r="A78" s="7"/>
      <c r="B78" s="7"/>
      <c r="C78" s="7"/>
      <c r="D78" s="7"/>
      <c r="E78" s="9"/>
      <c r="F78" s="9"/>
      <c r="G78" s="10"/>
      <c r="H78" s="9">
        <f>SUM(H71:H77)</f>
        <v>1000000</v>
      </c>
      <c r="I78" s="9">
        <f>SUM(I73:I77)</f>
        <v>0</v>
      </c>
    </row>
    <row r="82" spans="1:9" ht="21.75">
      <c r="A82" s="746" t="s">
        <v>3444</v>
      </c>
      <c r="B82" s="746"/>
      <c r="C82" s="746"/>
      <c r="D82" s="746"/>
      <c r="E82" s="746"/>
      <c r="F82" s="746"/>
      <c r="G82" s="746"/>
      <c r="H82" s="746"/>
      <c r="I82" s="746"/>
    </row>
    <row r="83" spans="1:9" ht="21.75">
      <c r="A83" s="7">
        <v>2</v>
      </c>
      <c r="B83" s="7" t="s">
        <v>3386</v>
      </c>
      <c r="C83" s="8" t="s">
        <v>256</v>
      </c>
      <c r="D83" s="7" t="s">
        <v>3387</v>
      </c>
      <c r="E83" s="9" t="s">
        <v>703</v>
      </c>
      <c r="F83" s="147" t="s">
        <v>3445</v>
      </c>
      <c r="G83" s="10" t="s">
        <v>3446</v>
      </c>
      <c r="H83" s="9">
        <v>600000</v>
      </c>
      <c r="I83" s="9"/>
    </row>
    <row r="84" spans="1:9" ht="21.75">
      <c r="A84" s="7"/>
      <c r="B84" s="7"/>
      <c r="C84" s="7"/>
      <c r="D84" s="7"/>
      <c r="E84" s="9" t="s">
        <v>3447</v>
      </c>
      <c r="F84" s="147" t="s">
        <v>3445</v>
      </c>
      <c r="G84" s="10" t="s">
        <v>3446</v>
      </c>
      <c r="H84" s="9">
        <v>600000</v>
      </c>
      <c r="I84" s="9"/>
    </row>
    <row r="85" spans="1:9" ht="21.75">
      <c r="A85" s="7"/>
      <c r="B85" s="7"/>
      <c r="C85" s="7"/>
      <c r="D85" s="7"/>
      <c r="E85" s="9" t="s">
        <v>3448</v>
      </c>
      <c r="F85" s="147" t="s">
        <v>3449</v>
      </c>
      <c r="G85" s="10" t="s">
        <v>3450</v>
      </c>
      <c r="H85" s="9">
        <v>600000</v>
      </c>
      <c r="I85" s="9"/>
    </row>
    <row r="86" spans="1:9" ht="21.75">
      <c r="A86" s="7"/>
      <c r="B86" s="7"/>
      <c r="C86" s="7"/>
      <c r="D86" s="7"/>
      <c r="E86" s="9" t="s">
        <v>3451</v>
      </c>
      <c r="F86" s="9" t="s">
        <v>3452</v>
      </c>
      <c r="G86" s="10" t="s">
        <v>3453</v>
      </c>
      <c r="H86" s="9">
        <v>600000</v>
      </c>
      <c r="I86" s="9"/>
    </row>
    <row r="87" spans="1:9" ht="21.75">
      <c r="A87" s="7"/>
      <c r="B87" s="7"/>
      <c r="C87" s="7"/>
      <c r="D87" s="7"/>
      <c r="E87" s="9" t="s">
        <v>3454</v>
      </c>
      <c r="F87" s="9" t="s">
        <v>3455</v>
      </c>
      <c r="G87" s="10" t="s">
        <v>3456</v>
      </c>
      <c r="H87" s="9">
        <v>600000</v>
      </c>
      <c r="I87" s="9"/>
    </row>
    <row r="88" spans="1:9" ht="21.75">
      <c r="A88" s="7"/>
      <c r="B88" s="7"/>
      <c r="C88" s="7"/>
      <c r="D88" s="7"/>
      <c r="E88" s="9"/>
      <c r="F88" s="9"/>
      <c r="G88" s="10"/>
      <c r="H88" s="9"/>
      <c r="I88" s="9"/>
    </row>
    <row r="89" spans="1:9" ht="21.75">
      <c r="A89" s="7"/>
      <c r="B89" s="7"/>
      <c r="C89" s="7"/>
      <c r="D89" s="7"/>
      <c r="E89" s="9"/>
      <c r="F89" s="9"/>
      <c r="G89" s="10"/>
      <c r="H89" s="9"/>
      <c r="I89" s="9"/>
    </row>
    <row r="90" spans="1:9" ht="21.75">
      <c r="A90" s="7"/>
      <c r="B90" s="7"/>
      <c r="C90" s="7"/>
      <c r="D90" s="7"/>
      <c r="E90" s="9"/>
      <c r="F90" s="9"/>
      <c r="G90" s="10"/>
      <c r="H90" s="9">
        <f>SUM(H83:H89)</f>
        <v>3000000</v>
      </c>
      <c r="I90" s="9">
        <f>SUM(I85:I89)</f>
        <v>0</v>
      </c>
    </row>
    <row r="92" spans="1:9">
      <c r="A92" s="411" t="s">
        <v>648</v>
      </c>
    </row>
    <row r="93" spans="1:9" ht="21.75">
      <c r="A93" s="644" t="s">
        <v>255</v>
      </c>
      <c r="B93" s="644"/>
      <c r="C93" s="644"/>
      <c r="D93" s="644"/>
      <c r="E93" s="644"/>
      <c r="F93" s="644"/>
      <c r="G93" s="644"/>
      <c r="H93" s="644"/>
      <c r="I93" s="644"/>
    </row>
    <row r="94" spans="1:9" ht="21.75">
      <c r="A94" s="645" t="s">
        <v>653</v>
      </c>
      <c r="B94" s="647" t="s">
        <v>654</v>
      </c>
      <c r="C94" s="645" t="s">
        <v>655</v>
      </c>
      <c r="D94" s="645" t="s">
        <v>12</v>
      </c>
      <c r="E94" s="647" t="s">
        <v>656</v>
      </c>
      <c r="F94" s="647" t="s">
        <v>974</v>
      </c>
      <c r="G94" s="645" t="s">
        <v>657</v>
      </c>
      <c r="H94" s="647" t="s">
        <v>658</v>
      </c>
      <c r="I94" s="3" t="s">
        <v>659</v>
      </c>
    </row>
    <row r="95" spans="1:9" ht="21.75">
      <c r="A95" s="646"/>
      <c r="B95" s="646"/>
      <c r="C95" s="646"/>
      <c r="D95" s="646"/>
      <c r="E95" s="648"/>
      <c r="F95" s="648"/>
      <c r="G95" s="646"/>
      <c r="H95" s="646"/>
      <c r="I95" s="6" t="s">
        <v>660</v>
      </c>
    </row>
    <row r="96" spans="1:9" ht="20.45" customHeight="1">
      <c r="A96" s="7">
        <v>1</v>
      </c>
      <c r="B96" s="7" t="s">
        <v>3386</v>
      </c>
      <c r="C96" s="8" t="s">
        <v>256</v>
      </c>
      <c r="D96" s="7" t="s">
        <v>3387</v>
      </c>
      <c r="E96" s="9" t="s">
        <v>661</v>
      </c>
      <c r="F96" s="9" t="s">
        <v>3457</v>
      </c>
      <c r="G96" s="10" t="s">
        <v>3458</v>
      </c>
      <c r="H96" s="9" t="s">
        <v>3457</v>
      </c>
      <c r="I96" s="9">
        <v>700000</v>
      </c>
    </row>
    <row r="97" spans="1:10" ht="20.45" customHeight="1">
      <c r="A97" s="7"/>
      <c r="B97" s="7"/>
      <c r="C97" s="11"/>
      <c r="D97" s="7"/>
      <c r="E97" s="9" t="s">
        <v>3459</v>
      </c>
      <c r="F97" s="9" t="s">
        <v>3457</v>
      </c>
      <c r="G97" s="10" t="s">
        <v>3458</v>
      </c>
      <c r="H97" s="9" t="s">
        <v>3457</v>
      </c>
      <c r="I97" s="9">
        <v>700000</v>
      </c>
      <c r="J97" s="281"/>
    </row>
    <row r="98" spans="1:10" ht="20.45" customHeight="1">
      <c r="A98" s="7"/>
      <c r="B98" s="7"/>
      <c r="C98" s="11"/>
      <c r="D98" s="7"/>
      <c r="E98" s="9" t="s">
        <v>3460</v>
      </c>
      <c r="F98" s="9" t="s">
        <v>3461</v>
      </c>
      <c r="G98" s="10" t="s">
        <v>3462</v>
      </c>
      <c r="H98" s="9" t="s">
        <v>3461</v>
      </c>
      <c r="I98" s="9">
        <v>700000</v>
      </c>
      <c r="J98" s="193" t="s">
        <v>2535</v>
      </c>
    </row>
    <row r="99" spans="1:10" ht="20.45" customHeight="1">
      <c r="A99" s="7"/>
      <c r="B99" s="7"/>
      <c r="C99" s="11"/>
      <c r="D99" s="7"/>
      <c r="E99" s="9" t="s">
        <v>2902</v>
      </c>
      <c r="F99" s="9" t="s">
        <v>1389</v>
      </c>
      <c r="G99" s="10" t="s">
        <v>3463</v>
      </c>
      <c r="H99" s="9" t="s">
        <v>1389</v>
      </c>
      <c r="I99" s="9">
        <v>700000</v>
      </c>
      <c r="J99" s="193" t="s">
        <v>664</v>
      </c>
    </row>
    <row r="100" spans="1:10" ht="20.45" customHeight="1">
      <c r="A100" s="7"/>
      <c r="B100" s="7"/>
      <c r="C100" s="11"/>
      <c r="D100" s="7"/>
      <c r="E100" s="9" t="s">
        <v>3464</v>
      </c>
      <c r="F100" s="9" t="s">
        <v>867</v>
      </c>
      <c r="G100" s="10" t="s">
        <v>3465</v>
      </c>
      <c r="H100" s="9" t="s">
        <v>867</v>
      </c>
      <c r="I100" s="9">
        <v>1400000</v>
      </c>
      <c r="J100" s="193" t="s">
        <v>3466</v>
      </c>
    </row>
    <row r="101" spans="1:10" ht="20.45" customHeight="1">
      <c r="A101" s="7"/>
      <c r="B101" s="7"/>
      <c r="C101" s="11"/>
      <c r="D101" s="7"/>
      <c r="E101" s="9" t="s">
        <v>258</v>
      </c>
      <c r="F101" s="9" t="s">
        <v>753</v>
      </c>
      <c r="G101" s="10" t="s">
        <v>3467</v>
      </c>
      <c r="H101" s="9" t="s">
        <v>753</v>
      </c>
      <c r="I101" s="9">
        <v>700000</v>
      </c>
      <c r="J101" s="193" t="s">
        <v>664</v>
      </c>
    </row>
    <row r="102" spans="1:10" ht="20.45" customHeight="1">
      <c r="A102" s="7"/>
      <c r="B102" s="7"/>
      <c r="C102" s="11"/>
      <c r="D102" s="7"/>
      <c r="E102" s="9"/>
      <c r="F102" s="9"/>
      <c r="G102" s="10"/>
      <c r="H102" s="9"/>
      <c r="I102" s="9"/>
    </row>
    <row r="103" spans="1:10" ht="20.45" customHeight="1">
      <c r="A103" s="7"/>
      <c r="B103" s="7"/>
      <c r="C103" s="7"/>
      <c r="D103" s="7"/>
      <c r="E103" s="9"/>
      <c r="F103" s="9"/>
      <c r="G103" s="10"/>
      <c r="H103" s="9"/>
      <c r="I103" s="9"/>
    </row>
    <row r="104" spans="1:10" ht="20.45" customHeight="1">
      <c r="A104" s="12"/>
      <c r="B104" s="12"/>
      <c r="C104" s="12"/>
      <c r="D104" s="12"/>
      <c r="E104" s="13"/>
      <c r="F104" s="13"/>
      <c r="G104" s="14"/>
      <c r="H104" s="13"/>
      <c r="I104" s="13">
        <f>SUM(I96:I102)</f>
        <v>4900000</v>
      </c>
    </row>
  </sheetData>
  <mergeCells count="33">
    <mergeCell ref="O3:O4"/>
    <mergeCell ref="A9:I9"/>
    <mergeCell ref="A2:I2"/>
    <mergeCell ref="K2:N2"/>
    <mergeCell ref="A3:A4"/>
    <mergeCell ref="B3:B4"/>
    <mergeCell ref="C3:C4"/>
    <mergeCell ref="D3:D4"/>
    <mergeCell ref="E3:E4"/>
    <mergeCell ref="F3:F4"/>
    <mergeCell ref="G3:G4"/>
    <mergeCell ref="H3:H4"/>
    <mergeCell ref="A58:I58"/>
    <mergeCell ref="K3:K4"/>
    <mergeCell ref="L3:L4"/>
    <mergeCell ref="M3:M4"/>
    <mergeCell ref="N3:N4"/>
    <mergeCell ref="A14:I14"/>
    <mergeCell ref="A21:I21"/>
    <mergeCell ref="A30:I30"/>
    <mergeCell ref="A39:I39"/>
    <mergeCell ref="A48:I48"/>
    <mergeCell ref="H94:H95"/>
    <mergeCell ref="A70:I70"/>
    <mergeCell ref="A82:I82"/>
    <mergeCell ref="A93:I93"/>
    <mergeCell ref="A94:A95"/>
    <mergeCell ref="B94:B95"/>
    <mergeCell ref="C94:C95"/>
    <mergeCell ref="D94:D95"/>
    <mergeCell ref="E94:E95"/>
    <mergeCell ref="F94:F95"/>
    <mergeCell ref="G94:G95"/>
  </mergeCells>
  <hyperlinks>
    <hyperlink ref="A1" location="Name!A1" display="Name!A1" xr:uid="{5BF3A3C2-48ED-4A79-AF9B-5590B5E55AF3}"/>
    <hyperlink ref="A92" location="Name!A1" display="Name!A1" xr:uid="{BB2864A1-8D6B-4681-95A6-36306E06A369}"/>
  </hyperlinks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B3DB-1954-47E4-8466-594E084A1C30}">
  <dimension ref="A1:O46"/>
  <sheetViews>
    <sheetView workbookViewId="0"/>
  </sheetViews>
  <sheetFormatPr defaultColWidth="9.140625" defaultRowHeight="18"/>
  <cols>
    <col min="1" max="1" width="6.140625" style="51" customWidth="1"/>
    <col min="2" max="3" width="15.42578125" style="51" customWidth="1"/>
    <col min="4" max="4" width="27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42.85546875" style="51" customWidth="1"/>
    <col min="10" max="10" width="2.5703125" style="51" customWidth="1"/>
    <col min="11" max="12" width="9.140625" style="51"/>
    <col min="13" max="13" width="40.5703125" style="51" customWidth="1"/>
    <col min="14" max="15" width="18.140625" style="51" customWidth="1"/>
    <col min="16" max="16384" width="9.140625" style="51"/>
  </cols>
  <sheetData>
    <row r="1" spans="1:15">
      <c r="A1" s="411" t="s">
        <v>648</v>
      </c>
    </row>
    <row r="2" spans="1:15" ht="21.75">
      <c r="A2" s="651" t="s">
        <v>3468</v>
      </c>
      <c r="B2" s="651"/>
      <c r="C2" s="651"/>
      <c r="D2" s="651"/>
      <c r="E2" s="651"/>
      <c r="F2" s="651"/>
      <c r="G2" s="651"/>
      <c r="H2" s="651"/>
      <c r="I2" s="651"/>
      <c r="J2" s="121"/>
      <c r="K2" s="644" t="s">
        <v>973</v>
      </c>
      <c r="L2" s="644"/>
      <c r="M2" s="644"/>
      <c r="N2" s="644"/>
    </row>
    <row r="3" spans="1:15" s="56" customFormat="1" ht="28.5">
      <c r="A3" s="52" t="s">
        <v>818</v>
      </c>
      <c r="B3" s="53" t="s">
        <v>697</v>
      </c>
      <c r="C3" s="53" t="s">
        <v>12</v>
      </c>
      <c r="D3" s="53" t="s">
        <v>819</v>
      </c>
      <c r="E3" s="54" t="s">
        <v>699</v>
      </c>
      <c r="F3" s="54" t="s">
        <v>657</v>
      </c>
      <c r="G3" s="53" t="s">
        <v>700</v>
      </c>
      <c r="H3" s="54" t="s">
        <v>660</v>
      </c>
      <c r="I3" s="201" t="s">
        <v>27</v>
      </c>
      <c r="J3" s="121"/>
      <c r="K3" s="654" t="s">
        <v>653</v>
      </c>
      <c r="L3" s="659" t="s">
        <v>974</v>
      </c>
      <c r="M3" s="661" t="s">
        <v>975</v>
      </c>
      <c r="N3" s="662" t="s">
        <v>976</v>
      </c>
      <c r="O3" s="664" t="s">
        <v>977</v>
      </c>
    </row>
    <row r="4" spans="1:15" ht="21.75">
      <c r="A4" s="61">
        <v>1</v>
      </c>
      <c r="B4" s="62" t="s">
        <v>152</v>
      </c>
      <c r="C4" s="62" t="s">
        <v>3469</v>
      </c>
      <c r="D4" s="62" t="s">
        <v>251</v>
      </c>
      <c r="E4" s="62" t="s">
        <v>3470</v>
      </c>
      <c r="F4" s="63" t="s">
        <v>3471</v>
      </c>
      <c r="G4" s="62" t="s">
        <v>3472</v>
      </c>
      <c r="H4" s="64">
        <v>1500000</v>
      </c>
      <c r="I4" s="209" t="s">
        <v>3473</v>
      </c>
      <c r="J4" s="121"/>
      <c r="K4" s="655"/>
      <c r="L4" s="660"/>
      <c r="M4" s="660"/>
      <c r="N4" s="663"/>
      <c r="O4" s="665"/>
    </row>
    <row r="5" spans="1:15" ht="21.75">
      <c r="A5" s="61"/>
      <c r="B5" s="62"/>
      <c r="C5" s="62"/>
      <c r="D5" s="62"/>
      <c r="E5" s="70"/>
      <c r="F5" s="63"/>
      <c r="G5" s="62"/>
      <c r="H5" s="64"/>
      <c r="I5" s="209"/>
      <c r="J5" s="121"/>
      <c r="K5" s="122"/>
      <c r="L5" s="123"/>
      <c r="M5" s="127"/>
      <c r="N5" s="125"/>
      <c r="O5" s="126"/>
    </row>
    <row r="6" spans="1:15" ht="21.75">
      <c r="A6" s="61"/>
      <c r="B6" s="62"/>
      <c r="C6" s="62"/>
      <c r="D6" s="62"/>
      <c r="E6" s="70"/>
      <c r="F6" s="63"/>
      <c r="G6" s="62"/>
      <c r="H6" s="64"/>
      <c r="I6" s="209"/>
      <c r="J6" s="121"/>
      <c r="K6" s="122"/>
      <c r="L6" s="123"/>
      <c r="M6" s="127"/>
      <c r="N6" s="125"/>
      <c r="O6" s="126"/>
    </row>
    <row r="7" spans="1:15" ht="21.75">
      <c r="A7" s="71"/>
      <c r="B7" s="72"/>
      <c r="C7" s="72"/>
      <c r="D7" s="72"/>
      <c r="E7" s="73"/>
      <c r="F7" s="74"/>
      <c r="G7" s="72"/>
      <c r="H7" s="75"/>
      <c r="I7" s="258"/>
      <c r="J7" s="121"/>
      <c r="K7" s="122"/>
      <c r="L7" s="123"/>
      <c r="M7" s="127"/>
      <c r="N7" s="125"/>
      <c r="O7" s="126"/>
    </row>
    <row r="8" spans="1:15" ht="21.75">
      <c r="A8" s="71"/>
      <c r="B8" s="72"/>
      <c r="C8" s="72"/>
      <c r="D8" s="72"/>
      <c r="E8" s="73"/>
      <c r="F8" s="74"/>
      <c r="G8" s="72"/>
      <c r="H8" s="75"/>
      <c r="I8" s="258"/>
      <c r="J8" s="121"/>
      <c r="K8" s="122"/>
      <c r="L8" s="123"/>
      <c r="M8" s="127"/>
      <c r="N8" s="125"/>
      <c r="O8" s="126"/>
    </row>
    <row r="9" spans="1:15" ht="21.75">
      <c r="A9" s="71"/>
      <c r="B9" s="72"/>
      <c r="C9" s="72"/>
      <c r="D9" s="72"/>
      <c r="E9" s="73"/>
      <c r="F9" s="74"/>
      <c r="G9" s="72"/>
      <c r="H9" s="75"/>
      <c r="I9" s="258"/>
      <c r="J9" s="121"/>
      <c r="K9" s="122"/>
      <c r="L9" s="123"/>
      <c r="M9" s="127"/>
      <c r="N9" s="125"/>
      <c r="O9" s="126"/>
    </row>
    <row r="10" spans="1:15" ht="21.75">
      <c r="A10" s="270"/>
      <c r="B10" s="271"/>
      <c r="C10" s="271"/>
      <c r="D10" s="271"/>
      <c r="E10" s="271"/>
      <c r="F10" s="272"/>
      <c r="G10" s="271"/>
      <c r="H10" s="273">
        <f>SUM(H4:H9)</f>
        <v>1500000</v>
      </c>
      <c r="I10" s="274"/>
      <c r="J10" s="275"/>
      <c r="K10" s="276"/>
      <c r="L10" s="277"/>
      <c r="M10" s="278"/>
      <c r="N10" s="279">
        <f>SUM(N5:N9)</f>
        <v>0</v>
      </c>
      <c r="O10" s="280">
        <f>H10-N10</f>
        <v>1500000</v>
      </c>
    </row>
    <row r="11" spans="1:15" ht="21.75">
      <c r="A11" s="651" t="s">
        <v>2441</v>
      </c>
      <c r="B11" s="651"/>
      <c r="C11" s="651"/>
      <c r="D11" s="651"/>
      <c r="E11" s="651"/>
      <c r="F11" s="651"/>
      <c r="G11" s="651"/>
      <c r="H11" s="651"/>
      <c r="I11" s="651"/>
      <c r="J11" s="121"/>
      <c r="K11" s="122"/>
      <c r="L11" s="123"/>
      <c r="M11" s="127"/>
      <c r="N11" s="125"/>
      <c r="O11" s="126"/>
    </row>
    <row r="12" spans="1:15" ht="28.5">
      <c r="A12" s="52" t="s">
        <v>818</v>
      </c>
      <c r="B12" s="53" t="s">
        <v>697</v>
      </c>
      <c r="C12" s="53" t="s">
        <v>12</v>
      </c>
      <c r="D12" s="53" t="s">
        <v>819</v>
      </c>
      <c r="E12" s="54" t="s">
        <v>699</v>
      </c>
      <c r="F12" s="54" t="s">
        <v>657</v>
      </c>
      <c r="G12" s="53" t="s">
        <v>700</v>
      </c>
      <c r="H12" s="54" t="s">
        <v>660</v>
      </c>
      <c r="I12" s="201" t="s">
        <v>27</v>
      </c>
      <c r="J12" s="121"/>
      <c r="K12" s="122"/>
      <c r="L12" s="123"/>
      <c r="M12" s="127"/>
      <c r="N12" s="125"/>
      <c r="O12" s="126"/>
    </row>
    <row r="13" spans="1:15" ht="21.75">
      <c r="A13" s="61">
        <v>1</v>
      </c>
      <c r="B13" s="62" t="s">
        <v>152</v>
      </c>
      <c r="C13" s="62" t="s">
        <v>3469</v>
      </c>
      <c r="D13" s="62" t="s">
        <v>251</v>
      </c>
      <c r="E13" s="62" t="s">
        <v>703</v>
      </c>
      <c r="F13" s="63" t="s">
        <v>3474</v>
      </c>
      <c r="G13" s="62" t="s">
        <v>1925</v>
      </c>
      <c r="H13" s="64">
        <v>600000</v>
      </c>
      <c r="I13" s="209"/>
      <c r="J13" s="121"/>
      <c r="K13" s="122"/>
      <c r="L13" s="123"/>
      <c r="M13" s="123"/>
      <c r="N13" s="125"/>
      <c r="O13" s="126"/>
    </row>
    <row r="14" spans="1:15" ht="21.75">
      <c r="A14" s="61"/>
      <c r="B14" s="62"/>
      <c r="C14" s="62"/>
      <c r="D14" s="62"/>
      <c r="E14" s="70" t="s">
        <v>2465</v>
      </c>
      <c r="F14" s="63" t="s">
        <v>3474</v>
      </c>
      <c r="G14" s="62" t="s">
        <v>1925</v>
      </c>
      <c r="H14" s="64">
        <v>600000</v>
      </c>
      <c r="I14" s="209"/>
      <c r="J14" s="121"/>
      <c r="K14" s="136"/>
      <c r="L14" s="127"/>
      <c r="M14" s="127"/>
      <c r="N14" s="137"/>
      <c r="O14" s="138"/>
    </row>
    <row r="15" spans="1:15" ht="21.75">
      <c r="A15" s="61"/>
      <c r="B15" s="62"/>
      <c r="C15" s="62"/>
      <c r="D15" s="62"/>
      <c r="E15" s="70" t="s">
        <v>3475</v>
      </c>
      <c r="F15" s="63" t="s">
        <v>3476</v>
      </c>
      <c r="G15" s="62" t="s">
        <v>2830</v>
      </c>
      <c r="H15" s="64">
        <v>600000</v>
      </c>
      <c r="I15" s="209"/>
      <c r="J15" s="121"/>
      <c r="K15" s="122"/>
      <c r="L15" s="123"/>
      <c r="M15" s="123"/>
      <c r="N15" s="125"/>
      <c r="O15" s="126"/>
    </row>
    <row r="16" spans="1:15" ht="21.75">
      <c r="A16" s="71"/>
      <c r="B16" s="72"/>
      <c r="C16" s="72"/>
      <c r="D16" s="72"/>
      <c r="E16" s="73" t="s">
        <v>3477</v>
      </c>
      <c r="F16" s="74" t="s">
        <v>3478</v>
      </c>
      <c r="G16" s="72" t="s">
        <v>3479</v>
      </c>
      <c r="H16" s="64">
        <v>600000</v>
      </c>
      <c r="I16" s="258" t="s">
        <v>732</v>
      </c>
      <c r="J16" s="121"/>
      <c r="K16" s="122"/>
      <c r="L16" s="123"/>
      <c r="M16" s="123"/>
      <c r="N16" s="125"/>
      <c r="O16" s="126"/>
    </row>
    <row r="17" spans="1:15" ht="21.75">
      <c r="A17" s="71"/>
      <c r="B17" s="72"/>
      <c r="C17" s="72"/>
      <c r="D17" s="72"/>
      <c r="E17" s="73" t="s">
        <v>1066</v>
      </c>
      <c r="F17" s="74"/>
      <c r="G17" s="747" t="s">
        <v>2601</v>
      </c>
      <c r="H17" s="75">
        <v>-600000</v>
      </c>
      <c r="I17" s="258"/>
      <c r="J17" s="121"/>
      <c r="K17" s="122"/>
      <c r="L17" s="123"/>
      <c r="M17" s="123"/>
      <c r="N17" s="125"/>
      <c r="O17" s="126"/>
    </row>
    <row r="18" spans="1:15" ht="21.75">
      <c r="A18" s="71"/>
      <c r="B18" s="72"/>
      <c r="C18" s="72"/>
      <c r="D18" s="72"/>
      <c r="E18" s="73" t="s">
        <v>3480</v>
      </c>
      <c r="F18" s="74"/>
      <c r="G18" s="748"/>
      <c r="H18" s="75">
        <v>-300000</v>
      </c>
      <c r="I18" s="258" t="s">
        <v>3481</v>
      </c>
      <c r="J18" s="121"/>
      <c r="K18" s="122"/>
      <c r="L18" s="123"/>
      <c r="M18" s="123"/>
      <c r="N18" s="125"/>
      <c r="O18" s="126"/>
    </row>
    <row r="19" spans="1:15" ht="21.75">
      <c r="A19" s="71"/>
      <c r="B19" s="72"/>
      <c r="C19" s="72"/>
      <c r="D19" s="72"/>
      <c r="E19" s="73" t="s">
        <v>1076</v>
      </c>
      <c r="F19" s="74"/>
      <c r="G19" s="749"/>
      <c r="H19" s="75">
        <v>50000</v>
      </c>
      <c r="I19" s="258"/>
      <c r="J19" s="121"/>
      <c r="K19" s="136"/>
      <c r="L19" s="127"/>
      <c r="M19" s="127"/>
      <c r="N19" s="137"/>
      <c r="O19" s="138"/>
    </row>
    <row r="20" spans="1:15" ht="21.75">
      <c r="A20" s="71"/>
      <c r="B20" s="72"/>
      <c r="C20" s="72"/>
      <c r="D20" s="72"/>
      <c r="E20" s="73"/>
      <c r="F20" s="74"/>
      <c r="G20" s="72"/>
      <c r="H20" s="75"/>
      <c r="I20" s="258"/>
      <c r="J20" s="121"/>
      <c r="K20" s="122"/>
      <c r="L20" s="123"/>
      <c r="M20" s="123"/>
      <c r="N20" s="125"/>
      <c r="O20" s="126"/>
    </row>
    <row r="21" spans="1:15" ht="21.75">
      <c r="A21" s="270"/>
      <c r="B21" s="271"/>
      <c r="C21" s="271"/>
      <c r="D21" s="271"/>
      <c r="E21" s="271"/>
      <c r="F21" s="272"/>
      <c r="G21" s="271"/>
      <c r="H21" s="273">
        <f>SUM(H13:H20)</f>
        <v>1550000</v>
      </c>
      <c r="I21" s="274"/>
      <c r="J21" s="121"/>
      <c r="K21" s="122"/>
      <c r="L21" s="123"/>
      <c r="M21" s="123"/>
      <c r="N21" s="125"/>
      <c r="O21" s="126"/>
    </row>
    <row r="22" spans="1:15" ht="21.75">
      <c r="J22" s="121"/>
      <c r="K22" s="122"/>
      <c r="L22" s="123"/>
      <c r="M22" s="123"/>
      <c r="N22" s="125"/>
      <c r="O22" s="126"/>
    </row>
    <row r="23" spans="1:15" ht="21.75">
      <c r="A23" s="651" t="s">
        <v>3482</v>
      </c>
      <c r="B23" s="651"/>
      <c r="C23" s="651"/>
      <c r="D23" s="651"/>
      <c r="E23" s="651"/>
      <c r="F23" s="651"/>
      <c r="G23" s="651"/>
      <c r="H23" s="651"/>
      <c r="I23" s="651"/>
      <c r="J23" s="121"/>
      <c r="K23" s="122"/>
      <c r="L23" s="123"/>
      <c r="M23" s="123"/>
      <c r="N23" s="125"/>
      <c r="O23" s="126"/>
    </row>
    <row r="24" spans="1:15" ht="28.5">
      <c r="A24" s="52" t="s">
        <v>818</v>
      </c>
      <c r="B24" s="53" t="s">
        <v>697</v>
      </c>
      <c r="C24" s="53" t="s">
        <v>12</v>
      </c>
      <c r="D24" s="53" t="s">
        <v>819</v>
      </c>
      <c r="E24" s="54" t="s">
        <v>699</v>
      </c>
      <c r="F24" s="54" t="s">
        <v>657</v>
      </c>
      <c r="G24" s="53" t="s">
        <v>700</v>
      </c>
      <c r="H24" s="54" t="s">
        <v>660</v>
      </c>
      <c r="I24" s="201" t="s">
        <v>27</v>
      </c>
      <c r="J24" s="121"/>
      <c r="K24" s="122"/>
      <c r="L24" s="123"/>
      <c r="M24" s="123"/>
      <c r="N24" s="125"/>
      <c r="O24" s="126"/>
    </row>
    <row r="25" spans="1:15" ht="21.75">
      <c r="A25" s="61">
        <v>1</v>
      </c>
      <c r="B25" s="62" t="s">
        <v>152</v>
      </c>
      <c r="C25" s="62" t="s">
        <v>3469</v>
      </c>
      <c r="D25" s="62" t="s">
        <v>251</v>
      </c>
      <c r="E25" s="62" t="s">
        <v>703</v>
      </c>
      <c r="F25" s="63" t="s">
        <v>3483</v>
      </c>
      <c r="G25" s="62" t="s">
        <v>2661</v>
      </c>
      <c r="H25" s="64">
        <v>600000</v>
      </c>
      <c r="I25" s="209"/>
      <c r="J25" s="121"/>
      <c r="K25" s="122"/>
      <c r="L25" s="123"/>
      <c r="M25" s="123"/>
      <c r="N25" s="125"/>
      <c r="O25" s="126"/>
    </row>
    <row r="26" spans="1:15" ht="21.75">
      <c r="A26" s="61"/>
      <c r="B26" s="62"/>
      <c r="C26" s="62"/>
      <c r="D26" s="62"/>
      <c r="E26" s="70" t="s">
        <v>3484</v>
      </c>
      <c r="F26" s="63" t="s">
        <v>3483</v>
      </c>
      <c r="G26" s="62" t="s">
        <v>2661</v>
      </c>
      <c r="H26" s="64">
        <v>3600000</v>
      </c>
      <c r="I26" s="209"/>
      <c r="J26" s="121"/>
      <c r="K26" s="122"/>
      <c r="L26" s="123"/>
      <c r="M26" s="123"/>
      <c r="N26" s="125"/>
      <c r="O26" s="126"/>
    </row>
    <row r="27" spans="1:15" ht="21.75">
      <c r="A27" s="61"/>
      <c r="B27" s="62"/>
      <c r="C27" s="62"/>
      <c r="D27" s="62"/>
      <c r="E27" s="70" t="s">
        <v>3485</v>
      </c>
      <c r="F27" s="63" t="s">
        <v>3486</v>
      </c>
      <c r="G27" s="62" t="s">
        <v>1389</v>
      </c>
      <c r="H27" s="64">
        <v>2400000</v>
      </c>
      <c r="I27" s="209" t="s">
        <v>3487</v>
      </c>
      <c r="J27" s="121"/>
      <c r="K27" s="122"/>
      <c r="L27" s="123"/>
      <c r="M27" s="123"/>
      <c r="N27" s="125"/>
      <c r="O27" s="126"/>
    </row>
    <row r="28" spans="1:15" ht="21.75">
      <c r="A28" s="71"/>
      <c r="B28" s="72"/>
      <c r="C28" s="72"/>
      <c r="D28" s="72"/>
      <c r="E28" s="73" t="s">
        <v>3488</v>
      </c>
      <c r="F28" s="74" t="s">
        <v>3489</v>
      </c>
      <c r="G28" s="72" t="s">
        <v>971</v>
      </c>
      <c r="H28" s="64">
        <v>2400000</v>
      </c>
      <c r="I28" s="631" t="s">
        <v>3490</v>
      </c>
      <c r="J28" s="121"/>
      <c r="K28" s="122"/>
      <c r="L28" s="123"/>
      <c r="M28" s="123"/>
      <c r="N28" s="125"/>
      <c r="O28" s="126"/>
    </row>
    <row r="29" spans="1:15" ht="21.75">
      <c r="A29" s="71"/>
      <c r="B29" s="72"/>
      <c r="C29" s="72"/>
      <c r="D29" s="72"/>
      <c r="E29" s="73"/>
      <c r="F29" s="74"/>
      <c r="G29" s="747"/>
      <c r="H29" s="75"/>
      <c r="I29" s="632" t="s">
        <v>3491</v>
      </c>
      <c r="J29" s="121"/>
      <c r="K29" s="122"/>
      <c r="L29" s="123"/>
      <c r="M29" s="123"/>
      <c r="N29" s="125"/>
      <c r="O29" s="126"/>
    </row>
    <row r="30" spans="1:15" ht="21.75">
      <c r="A30" s="71"/>
      <c r="B30" s="72"/>
      <c r="C30" s="72"/>
      <c r="D30" s="72"/>
      <c r="E30" s="73"/>
      <c r="F30" s="74"/>
      <c r="G30" s="748"/>
      <c r="H30" s="75"/>
      <c r="I30" s="258"/>
      <c r="J30" s="121"/>
      <c r="K30" s="122"/>
      <c r="L30" s="123"/>
      <c r="M30" s="123"/>
      <c r="N30" s="125"/>
      <c r="O30" s="126"/>
    </row>
    <row r="31" spans="1:15" ht="21.75">
      <c r="A31" s="71"/>
      <c r="B31" s="72"/>
      <c r="C31" s="72"/>
      <c r="D31" s="72"/>
      <c r="E31" s="73"/>
      <c r="F31" s="74"/>
      <c r="G31" s="749"/>
      <c r="H31" s="75"/>
      <c r="I31" s="258"/>
      <c r="J31" s="121"/>
      <c r="K31" s="122"/>
      <c r="L31" s="123"/>
      <c r="M31" s="123"/>
      <c r="N31" s="125"/>
      <c r="O31" s="126"/>
    </row>
    <row r="32" spans="1:15" ht="21.75">
      <c r="A32" s="71"/>
      <c r="B32" s="72"/>
      <c r="C32" s="72"/>
      <c r="D32" s="72"/>
      <c r="E32" s="73"/>
      <c r="F32" s="74"/>
      <c r="G32" s="72"/>
      <c r="H32" s="75"/>
      <c r="I32" s="258"/>
      <c r="J32" s="121"/>
      <c r="K32" s="122"/>
      <c r="L32" s="123"/>
      <c r="M32" s="123"/>
      <c r="N32" s="125"/>
      <c r="O32" s="126"/>
    </row>
    <row r="33" spans="1:15" ht="21.75">
      <c r="A33" s="270"/>
      <c r="B33" s="271"/>
      <c r="C33" s="271"/>
      <c r="D33" s="271"/>
      <c r="E33" s="271"/>
      <c r="F33" s="272"/>
      <c r="G33" s="271"/>
      <c r="H33" s="273">
        <f>SUM(H25:H32)</f>
        <v>9000000</v>
      </c>
      <c r="I33" s="274"/>
      <c r="J33" s="121"/>
      <c r="K33" s="122"/>
      <c r="L33" s="123"/>
      <c r="M33" s="123"/>
      <c r="N33" s="125"/>
      <c r="O33" s="126"/>
    </row>
    <row r="34" spans="1:15" ht="21.75">
      <c r="J34" s="121"/>
      <c r="K34" s="139"/>
      <c r="L34" s="140"/>
      <c r="M34" s="140"/>
      <c r="N34" s="141"/>
      <c r="O34" s="142"/>
    </row>
    <row r="36" spans="1:15" ht="18.75">
      <c r="A36" s="651" t="s">
        <v>250</v>
      </c>
      <c r="B36" s="651"/>
      <c r="C36" s="651"/>
      <c r="D36" s="651"/>
      <c r="E36" s="651"/>
      <c r="F36" s="651"/>
      <c r="G36" s="651"/>
      <c r="H36" s="651"/>
      <c r="I36" s="651"/>
    </row>
    <row r="37" spans="1:15" ht="28.5">
      <c r="A37" s="52" t="s">
        <v>818</v>
      </c>
      <c r="B37" s="53" t="s">
        <v>697</v>
      </c>
      <c r="C37" s="53" t="s">
        <v>12</v>
      </c>
      <c r="D37" s="53" t="s">
        <v>819</v>
      </c>
      <c r="E37" s="54" t="s">
        <v>699</v>
      </c>
      <c r="F37" s="54" t="s">
        <v>657</v>
      </c>
      <c r="G37" s="53" t="s">
        <v>700</v>
      </c>
      <c r="H37" s="54" t="s">
        <v>660</v>
      </c>
      <c r="I37" s="201" t="s">
        <v>27</v>
      </c>
    </row>
    <row r="38" spans="1:15" ht="21.75">
      <c r="A38" s="61">
        <v>1</v>
      </c>
      <c r="B38" s="62" t="s">
        <v>152</v>
      </c>
      <c r="C38" s="62" t="s">
        <v>3469</v>
      </c>
      <c r="D38" s="62" t="s">
        <v>251</v>
      </c>
      <c r="E38" s="62" t="s">
        <v>661</v>
      </c>
      <c r="F38" s="63" t="s">
        <v>3492</v>
      </c>
      <c r="G38" s="62" t="s">
        <v>3493</v>
      </c>
      <c r="H38" s="64">
        <v>800000</v>
      </c>
      <c r="I38" s="637" t="s">
        <v>3494</v>
      </c>
    </row>
    <row r="39" spans="1:15" ht="21.75">
      <c r="A39" s="61"/>
      <c r="B39" s="62"/>
      <c r="C39" s="62"/>
      <c r="D39" s="62"/>
      <c r="E39" s="636" t="s">
        <v>170</v>
      </c>
      <c r="F39" s="63" t="s">
        <v>3492</v>
      </c>
      <c r="G39" s="62" t="s">
        <v>3493</v>
      </c>
      <c r="H39" s="64">
        <v>2400000</v>
      </c>
      <c r="I39" s="637" t="s">
        <v>3494</v>
      </c>
    </row>
    <row r="40" spans="1:15" ht="21.75">
      <c r="A40" s="61"/>
      <c r="B40" s="62"/>
      <c r="C40" s="62"/>
      <c r="D40" s="62"/>
      <c r="E40" s="636"/>
      <c r="F40" s="63"/>
      <c r="G40" s="62"/>
      <c r="H40" s="64"/>
      <c r="I40" s="209"/>
    </row>
    <row r="41" spans="1:15" ht="21.75">
      <c r="A41" s="71"/>
      <c r="B41" s="72"/>
      <c r="C41" s="72"/>
      <c r="D41" s="72"/>
      <c r="E41" s="635"/>
      <c r="F41" s="74"/>
      <c r="G41" s="72"/>
      <c r="H41" s="64"/>
      <c r="I41" s="631"/>
    </row>
    <row r="42" spans="1:15" ht="21.75">
      <c r="A42" s="71"/>
      <c r="B42" s="72"/>
      <c r="C42" s="72"/>
      <c r="D42" s="72"/>
      <c r="E42" s="635"/>
      <c r="F42" s="74"/>
      <c r="G42" s="747"/>
      <c r="H42" s="75"/>
      <c r="I42" s="632"/>
    </row>
    <row r="43" spans="1:15" ht="21.75">
      <c r="A43" s="71"/>
      <c r="B43" s="72"/>
      <c r="C43" s="72"/>
      <c r="D43" s="72"/>
      <c r="E43" s="635"/>
      <c r="F43" s="74"/>
      <c r="G43" s="748"/>
      <c r="H43" s="75"/>
      <c r="I43" s="258"/>
    </row>
    <row r="44" spans="1:15" ht="21.75">
      <c r="A44" s="71"/>
      <c r="B44" s="72"/>
      <c r="C44" s="72"/>
      <c r="D44" s="72"/>
      <c r="E44" s="635"/>
      <c r="F44" s="74"/>
      <c r="G44" s="749"/>
      <c r="H44" s="75"/>
      <c r="I44" s="258"/>
    </row>
    <row r="45" spans="1:15" ht="21.75">
      <c r="A45" s="71"/>
      <c r="B45" s="72"/>
      <c r="C45" s="72"/>
      <c r="D45" s="72"/>
      <c r="E45" s="635"/>
      <c r="F45" s="74"/>
      <c r="G45" s="72"/>
      <c r="H45" s="75"/>
      <c r="I45" s="258"/>
    </row>
    <row r="46" spans="1:15" ht="21.75">
      <c r="A46" s="270"/>
      <c r="B46" s="271"/>
      <c r="C46" s="271"/>
      <c r="D46" s="271"/>
      <c r="E46" s="271"/>
      <c r="F46" s="272"/>
      <c r="G46" s="271"/>
      <c r="H46" s="273">
        <f>SUM(H38:H45)</f>
        <v>3200000</v>
      </c>
      <c r="I46" s="274"/>
    </row>
  </sheetData>
  <mergeCells count="13">
    <mergeCell ref="A36:I36"/>
    <mergeCell ref="G42:G44"/>
    <mergeCell ref="A2:I2"/>
    <mergeCell ref="K2:N2"/>
    <mergeCell ref="K3:K4"/>
    <mergeCell ref="L3:L4"/>
    <mergeCell ref="M3:M4"/>
    <mergeCell ref="N3:N4"/>
    <mergeCell ref="O3:O4"/>
    <mergeCell ref="A11:I11"/>
    <mergeCell ref="G17:G19"/>
    <mergeCell ref="A23:I23"/>
    <mergeCell ref="G29:G31"/>
  </mergeCells>
  <hyperlinks>
    <hyperlink ref="A1" location="Name!A1" display="Name!A1" xr:uid="{AE52367D-7FAD-49FF-B43F-8DE558C3607C}"/>
  </hyperlinks>
  <pageMargins left="0.7" right="0.7" top="0.75" bottom="0.75" header="0.3" footer="0.3"/>
  <pageSetup paperSize="9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2618-8DF4-4A65-833B-CC423EAC13B9}">
  <dimension ref="A1:L48"/>
  <sheetViews>
    <sheetView topLeftCell="A13" workbookViewId="0">
      <selection activeCell="A23" sqref="A23"/>
    </sheetView>
  </sheetViews>
  <sheetFormatPr defaultColWidth="9.140625" defaultRowHeight="15.75"/>
  <cols>
    <col min="1" max="1" width="9.140625" style="15"/>
    <col min="2" max="2" width="14" style="15" customWidth="1"/>
    <col min="3" max="3" width="16.5703125" style="15" customWidth="1"/>
    <col min="4" max="4" width="14.42578125" style="15" customWidth="1"/>
    <col min="5" max="5" width="29.85546875" style="15" customWidth="1"/>
    <col min="6" max="7" width="9.140625" style="15"/>
    <col min="8" max="8" width="16.42578125" style="15" customWidth="1"/>
    <col min="9" max="9" width="27.7109375" style="15" customWidth="1"/>
    <col min="10" max="10" width="14.5703125" style="585" customWidth="1"/>
    <col min="11" max="11" width="45.140625" style="585" customWidth="1"/>
    <col min="12" max="12" width="14.5703125" style="586" customWidth="1"/>
    <col min="13" max="16384" width="9.140625" style="15"/>
  </cols>
  <sheetData>
    <row r="1" spans="1:9">
      <c r="A1" s="411" t="s">
        <v>648</v>
      </c>
    </row>
    <row r="2" spans="1:9">
      <c r="A2" s="670" t="s">
        <v>2233</v>
      </c>
      <c r="B2" s="670"/>
      <c r="C2" s="670"/>
      <c r="D2" s="670"/>
      <c r="E2" s="670"/>
      <c r="F2" s="670"/>
      <c r="G2" s="670"/>
      <c r="H2" s="670"/>
    </row>
    <row r="3" spans="1:9">
      <c r="A3" s="653"/>
      <c r="B3" s="653"/>
      <c r="C3" s="653"/>
      <c r="D3" s="653"/>
      <c r="E3" s="653"/>
      <c r="F3" s="653"/>
      <c r="G3" s="653"/>
      <c r="H3" s="653"/>
    </row>
    <row r="4" spans="1:9" ht="18">
      <c r="A4" s="671" t="s">
        <v>653</v>
      </c>
      <c r="B4" s="673" t="s">
        <v>654</v>
      </c>
      <c r="C4" s="671" t="s">
        <v>655</v>
      </c>
      <c r="D4" s="671" t="s">
        <v>12</v>
      </c>
      <c r="E4" s="673" t="s">
        <v>656</v>
      </c>
      <c r="F4" s="671" t="s">
        <v>657</v>
      </c>
      <c r="G4" s="673" t="s">
        <v>658</v>
      </c>
      <c r="H4" s="240" t="s">
        <v>659</v>
      </c>
    </row>
    <row r="5" spans="1:9" ht="18">
      <c r="A5" s="672"/>
      <c r="B5" s="672"/>
      <c r="C5" s="672"/>
      <c r="D5" s="672"/>
      <c r="E5" s="674"/>
      <c r="F5" s="672"/>
      <c r="G5" s="672"/>
      <c r="H5" s="241" t="s">
        <v>660</v>
      </c>
    </row>
    <row r="6" spans="1:9" ht="18.75">
      <c r="A6" s="242">
        <v>1</v>
      </c>
      <c r="B6" s="242" t="s">
        <v>3495</v>
      </c>
      <c r="C6" s="15" t="s">
        <v>3496</v>
      </c>
      <c r="D6" s="242" t="s">
        <v>2200</v>
      </c>
      <c r="E6" s="243" t="s">
        <v>703</v>
      </c>
      <c r="F6" s="244" t="s">
        <v>2234</v>
      </c>
      <c r="G6" s="243" t="s">
        <v>3497</v>
      </c>
      <c r="H6" s="243">
        <v>500000</v>
      </c>
    </row>
    <row r="7" spans="1:9" ht="18.75">
      <c r="A7" s="242"/>
      <c r="B7" s="242"/>
      <c r="C7" s="242"/>
      <c r="D7" s="242" t="s">
        <v>876</v>
      </c>
      <c r="E7" s="243" t="s">
        <v>2237</v>
      </c>
      <c r="F7" s="244" t="s">
        <v>2234</v>
      </c>
      <c r="G7" s="243" t="s">
        <v>3497</v>
      </c>
      <c r="H7" s="243">
        <v>500000</v>
      </c>
      <c r="I7" s="15" t="s">
        <v>3498</v>
      </c>
    </row>
    <row r="8" spans="1:9" ht="18.75">
      <c r="A8" s="242"/>
      <c r="B8" s="242"/>
      <c r="C8" s="242"/>
      <c r="D8" s="242" t="s">
        <v>3499</v>
      </c>
      <c r="E8" s="243" t="s">
        <v>3500</v>
      </c>
      <c r="F8" s="244" t="s">
        <v>3501</v>
      </c>
      <c r="G8" s="243" t="s">
        <v>3502</v>
      </c>
      <c r="H8" s="243">
        <v>1000000</v>
      </c>
    </row>
    <row r="9" spans="1:9" ht="18.75">
      <c r="A9" s="242"/>
      <c r="B9" s="242"/>
      <c r="C9" s="242"/>
      <c r="D9" s="242"/>
      <c r="E9" s="243" t="s">
        <v>3503</v>
      </c>
      <c r="F9" s="244" t="s">
        <v>3504</v>
      </c>
      <c r="G9" s="243" t="s">
        <v>3505</v>
      </c>
      <c r="H9" s="243">
        <v>6000000</v>
      </c>
    </row>
    <row r="10" spans="1:9" ht="18.75">
      <c r="A10" s="242"/>
      <c r="B10" s="242"/>
      <c r="C10" s="242"/>
      <c r="D10" s="242"/>
      <c r="E10" s="269" t="s">
        <v>3506</v>
      </c>
      <c r="F10" s="751" t="s">
        <v>3507</v>
      </c>
      <c r="G10" s="754" t="s">
        <v>3508</v>
      </c>
      <c r="H10" s="754">
        <v>5000000</v>
      </c>
      <c r="I10" s="750" t="s">
        <v>3509</v>
      </c>
    </row>
    <row r="11" spans="1:9" ht="18.75">
      <c r="A11" s="242"/>
      <c r="B11" s="242"/>
      <c r="C11" s="242"/>
      <c r="D11" s="242"/>
      <c r="E11" s="269" t="s">
        <v>3510</v>
      </c>
      <c r="F11" s="752"/>
      <c r="G11" s="755"/>
      <c r="H11" s="755"/>
      <c r="I11" s="750"/>
    </row>
    <row r="12" spans="1:9" ht="18.75">
      <c r="A12" s="242"/>
      <c r="B12" s="242"/>
      <c r="C12" s="242"/>
      <c r="D12" s="242"/>
      <c r="E12" s="269" t="s">
        <v>3511</v>
      </c>
      <c r="F12" s="752"/>
      <c r="G12" s="755"/>
      <c r="H12" s="755"/>
      <c r="I12" s="750"/>
    </row>
    <row r="13" spans="1:9" ht="18.75">
      <c r="A13" s="242"/>
      <c r="B13" s="242"/>
      <c r="C13" s="242"/>
      <c r="D13" s="242"/>
      <c r="E13" s="269" t="s">
        <v>3512</v>
      </c>
      <c r="F13" s="752"/>
      <c r="G13" s="755"/>
      <c r="H13" s="755"/>
      <c r="I13" s="750"/>
    </row>
    <row r="14" spans="1:9" ht="18.75">
      <c r="A14" s="242"/>
      <c r="B14" s="242"/>
      <c r="C14" s="242"/>
      <c r="D14" s="242"/>
      <c r="E14" s="269" t="s">
        <v>3513</v>
      </c>
      <c r="F14" s="752"/>
      <c r="G14" s="755"/>
      <c r="H14" s="755"/>
      <c r="I14" s="750"/>
    </row>
    <row r="15" spans="1:9" ht="18.75">
      <c r="A15" s="242"/>
      <c r="B15" s="242"/>
      <c r="C15" s="242"/>
      <c r="D15" s="242"/>
      <c r="E15" s="269" t="s">
        <v>3514</v>
      </c>
      <c r="F15" s="752"/>
      <c r="G15" s="755"/>
      <c r="H15" s="755"/>
      <c r="I15" s="750"/>
    </row>
    <row r="16" spans="1:9" ht="18.75">
      <c r="A16" s="242"/>
      <c r="B16" s="242"/>
      <c r="C16" s="242"/>
      <c r="D16" s="242"/>
      <c r="E16" s="269" t="s">
        <v>3515</v>
      </c>
      <c r="F16" s="752"/>
      <c r="G16" s="755"/>
      <c r="H16" s="755"/>
      <c r="I16" s="750"/>
    </row>
    <row r="17" spans="1:12" ht="18.75">
      <c r="A17" s="242"/>
      <c r="B17" s="242"/>
      <c r="C17" s="242"/>
      <c r="D17" s="242"/>
      <c r="E17" s="269" t="s">
        <v>3516</v>
      </c>
      <c r="F17" s="752"/>
      <c r="G17" s="755"/>
      <c r="H17" s="755"/>
      <c r="I17" s="750"/>
    </row>
    <row r="18" spans="1:12" ht="18.75">
      <c r="A18" s="242"/>
      <c r="B18" s="242"/>
      <c r="C18" s="242"/>
      <c r="D18" s="242"/>
      <c r="E18" s="269" t="s">
        <v>3517</v>
      </c>
      <c r="F18" s="752"/>
      <c r="G18" s="755"/>
      <c r="H18" s="755"/>
      <c r="I18" s="750"/>
    </row>
    <row r="19" spans="1:12" ht="18.75">
      <c r="A19" s="242"/>
      <c r="B19" s="242"/>
      <c r="C19" s="242"/>
      <c r="D19" s="242"/>
      <c r="E19" s="269" t="s">
        <v>3518</v>
      </c>
      <c r="F19" s="753"/>
      <c r="G19" s="756"/>
      <c r="H19" s="756"/>
      <c r="I19" s="750"/>
    </row>
    <row r="20" spans="1:12" ht="18.75">
      <c r="A20" s="242"/>
      <c r="B20" s="242"/>
      <c r="C20" s="242"/>
      <c r="D20" s="242"/>
      <c r="E20" s="243" t="s">
        <v>1066</v>
      </c>
      <c r="F20" s="244" t="s">
        <v>3507</v>
      </c>
      <c r="G20" s="243" t="s">
        <v>3226</v>
      </c>
      <c r="H20" s="243">
        <v>-500000</v>
      </c>
      <c r="I20" s="15" t="s">
        <v>3519</v>
      </c>
    </row>
    <row r="21" spans="1:12" ht="18.75">
      <c r="A21" s="242"/>
      <c r="B21" s="242"/>
      <c r="C21" s="242"/>
      <c r="D21" s="242"/>
      <c r="E21" s="243"/>
      <c r="F21" s="244"/>
      <c r="G21" s="243"/>
      <c r="H21" s="243"/>
    </row>
    <row r="22" spans="1:12" ht="18.75">
      <c r="A22" s="242"/>
      <c r="B22" s="242"/>
      <c r="C22" s="242"/>
      <c r="D22" s="242"/>
      <c r="E22" s="243"/>
      <c r="F22" s="242"/>
      <c r="G22" s="243"/>
      <c r="H22" s="243">
        <f>SUM(H6:H21)</f>
        <v>12500000</v>
      </c>
      <c r="I22" s="15" t="s">
        <v>3520</v>
      </c>
    </row>
    <row r="23" spans="1:12">
      <c r="A23" s="411" t="s">
        <v>648</v>
      </c>
    </row>
    <row r="24" spans="1:12">
      <c r="A24" s="675" t="s">
        <v>166</v>
      </c>
      <c r="B24" s="675"/>
      <c r="C24" s="675"/>
      <c r="D24" s="675"/>
      <c r="E24" s="675"/>
      <c r="F24" s="675"/>
      <c r="G24" s="675"/>
      <c r="H24" s="675"/>
    </row>
    <row r="25" spans="1:12">
      <c r="A25" s="651"/>
      <c r="B25" s="651"/>
      <c r="C25" s="651"/>
      <c r="D25" s="651"/>
      <c r="E25" s="651"/>
      <c r="F25" s="651"/>
      <c r="G25" s="651"/>
      <c r="H25" s="651"/>
    </row>
    <row r="26" spans="1:12" ht="18.75">
      <c r="A26" s="676" t="s">
        <v>653</v>
      </c>
      <c r="B26" s="678" t="s">
        <v>654</v>
      </c>
      <c r="C26" s="676" t="s">
        <v>655</v>
      </c>
      <c r="D26" s="676" t="s">
        <v>12</v>
      </c>
      <c r="E26" s="678" t="s">
        <v>656</v>
      </c>
      <c r="F26" s="676" t="s">
        <v>657</v>
      </c>
      <c r="G26" s="678" t="s">
        <v>658</v>
      </c>
      <c r="H26" s="161" t="s">
        <v>659</v>
      </c>
      <c r="J26" s="587" t="s">
        <v>807</v>
      </c>
      <c r="K26" s="587" t="s">
        <v>651</v>
      </c>
      <c r="L26" s="588" t="s">
        <v>652</v>
      </c>
    </row>
    <row r="27" spans="1:12">
      <c r="A27" s="677"/>
      <c r="B27" s="677"/>
      <c r="C27" s="677"/>
      <c r="D27" s="677"/>
      <c r="E27" s="679"/>
      <c r="F27" s="677"/>
      <c r="G27" s="677"/>
      <c r="H27" s="163" t="s">
        <v>660</v>
      </c>
    </row>
    <row r="28" spans="1:12" ht="18.75">
      <c r="A28" s="18">
        <v>1</v>
      </c>
      <c r="B28" s="18" t="s">
        <v>152</v>
      </c>
      <c r="C28" s="242" t="s">
        <v>246</v>
      </c>
      <c r="D28" s="18" t="s">
        <v>3521</v>
      </c>
      <c r="E28" s="21" t="s">
        <v>703</v>
      </c>
      <c r="F28" s="164" t="s">
        <v>3522</v>
      </c>
      <c r="G28" s="21" t="s">
        <v>1890</v>
      </c>
      <c r="H28" s="21">
        <v>500000</v>
      </c>
      <c r="J28" s="585" t="s">
        <v>3523</v>
      </c>
      <c r="K28" s="585" t="s">
        <v>3524</v>
      </c>
      <c r="L28" s="586">
        <v>65000</v>
      </c>
    </row>
    <row r="29" spans="1:12">
      <c r="A29" s="18"/>
      <c r="B29" s="18"/>
      <c r="C29" s="18"/>
      <c r="D29" s="18"/>
      <c r="E29" s="21" t="s">
        <v>3525</v>
      </c>
      <c r="F29" s="164" t="s">
        <v>3522</v>
      </c>
      <c r="G29" s="21" t="s">
        <v>1890</v>
      </c>
      <c r="H29" s="21">
        <v>500000</v>
      </c>
    </row>
    <row r="30" spans="1:12" ht="18.75" customHeight="1">
      <c r="A30" s="18"/>
      <c r="B30" s="18"/>
      <c r="C30" s="18"/>
      <c r="D30" s="18"/>
      <c r="E30" s="21" t="s">
        <v>3023</v>
      </c>
      <c r="F30" s="164" t="s">
        <v>3526</v>
      </c>
      <c r="G30" s="21" t="s">
        <v>3527</v>
      </c>
      <c r="H30" s="21">
        <v>500000</v>
      </c>
    </row>
    <row r="31" spans="1:12" ht="18.75" customHeight="1">
      <c r="A31" s="18"/>
      <c r="B31" s="18"/>
      <c r="C31" s="18"/>
      <c r="D31" s="18"/>
      <c r="E31" s="21" t="s">
        <v>3528</v>
      </c>
      <c r="F31" s="164" t="s">
        <v>3529</v>
      </c>
      <c r="G31" s="21" t="s">
        <v>3530</v>
      </c>
      <c r="H31" s="21">
        <v>500000</v>
      </c>
    </row>
    <row r="32" spans="1:12" ht="18.75" customHeight="1">
      <c r="A32" s="18"/>
      <c r="B32" s="18"/>
      <c r="C32" s="18"/>
      <c r="D32" s="18"/>
      <c r="E32" s="21" t="s">
        <v>3531</v>
      </c>
      <c r="F32" s="164" t="s">
        <v>3532</v>
      </c>
      <c r="G32" s="21" t="s">
        <v>1907</v>
      </c>
      <c r="H32" s="21">
        <v>1000000</v>
      </c>
      <c r="I32" s="15" t="s">
        <v>710</v>
      </c>
    </row>
    <row r="33" spans="1:12" ht="18.75" customHeight="1">
      <c r="A33" s="18"/>
      <c r="B33" s="18"/>
      <c r="C33" s="18"/>
      <c r="D33" s="18"/>
      <c r="E33" s="21" t="s">
        <v>3533</v>
      </c>
      <c r="F33" s="164" t="s">
        <v>3534</v>
      </c>
      <c r="G33" s="21" t="s">
        <v>3535</v>
      </c>
      <c r="H33" s="21">
        <v>1500000</v>
      </c>
    </row>
    <row r="34" spans="1:12" ht="18.75" customHeight="1">
      <c r="A34" s="18"/>
      <c r="B34" s="18"/>
      <c r="C34" s="18"/>
      <c r="D34" s="18"/>
      <c r="E34" s="21" t="s">
        <v>3536</v>
      </c>
      <c r="F34" s="164" t="s">
        <v>3537</v>
      </c>
      <c r="G34" s="21" t="s">
        <v>3538</v>
      </c>
      <c r="H34" s="21">
        <v>500000</v>
      </c>
    </row>
    <row r="35" spans="1:12" ht="18.75" customHeight="1">
      <c r="A35" s="18"/>
      <c r="B35" s="18"/>
      <c r="C35" s="18"/>
      <c r="D35" s="18"/>
      <c r="E35" s="21" t="s">
        <v>3539</v>
      </c>
      <c r="F35" s="164" t="s">
        <v>3540</v>
      </c>
      <c r="G35" s="21" t="s">
        <v>2563</v>
      </c>
      <c r="H35" s="21">
        <v>1800000</v>
      </c>
    </row>
    <row r="36" spans="1:12" ht="18.75" customHeight="1">
      <c r="A36" s="18"/>
      <c r="B36" s="18"/>
      <c r="C36" s="18"/>
      <c r="D36" s="18"/>
      <c r="E36" s="21" t="s">
        <v>3541</v>
      </c>
      <c r="F36" s="164" t="s">
        <v>2380</v>
      </c>
      <c r="G36" s="21" t="s">
        <v>3542</v>
      </c>
      <c r="H36" s="21">
        <v>600000</v>
      </c>
      <c r="I36" s="15" t="s">
        <v>3543</v>
      </c>
    </row>
    <row r="37" spans="1:12" ht="18.75" customHeight="1">
      <c r="A37" s="18"/>
      <c r="B37" s="18"/>
      <c r="C37" s="18"/>
      <c r="D37" s="18"/>
      <c r="E37" s="21" t="s">
        <v>3544</v>
      </c>
      <c r="F37" s="164" t="s">
        <v>3545</v>
      </c>
      <c r="G37" s="21" t="s">
        <v>1125</v>
      </c>
      <c r="H37" s="21">
        <v>2400000</v>
      </c>
    </row>
    <row r="38" spans="1:12" ht="18.75" customHeight="1">
      <c r="A38" s="18"/>
      <c r="B38" s="18"/>
      <c r="C38" s="18"/>
      <c r="D38" s="18"/>
      <c r="E38" s="21" t="s">
        <v>3546</v>
      </c>
      <c r="F38" s="164" t="s">
        <v>3547</v>
      </c>
      <c r="G38" s="21" t="s">
        <v>2532</v>
      </c>
      <c r="H38" s="21">
        <v>3000000</v>
      </c>
      <c r="I38" s="15" t="s">
        <v>664</v>
      </c>
    </row>
    <row r="39" spans="1:12" ht="18.75" customHeight="1">
      <c r="A39" s="18"/>
      <c r="B39" s="18"/>
      <c r="C39" s="18"/>
      <c r="D39" s="18"/>
      <c r="E39" s="21" t="s">
        <v>3548</v>
      </c>
      <c r="F39" s="164" t="s">
        <v>3549</v>
      </c>
      <c r="G39" s="21" t="s">
        <v>793</v>
      </c>
      <c r="H39" s="21">
        <v>2400000</v>
      </c>
      <c r="I39" s="15" t="s">
        <v>664</v>
      </c>
    </row>
    <row r="40" spans="1:12" ht="18.75" customHeight="1">
      <c r="A40" s="18"/>
      <c r="B40" s="18"/>
      <c r="C40" s="18"/>
      <c r="D40" s="18"/>
      <c r="E40" s="21" t="s">
        <v>247</v>
      </c>
      <c r="F40" s="164" t="s">
        <v>3550</v>
      </c>
      <c r="G40" s="21" t="s">
        <v>3384</v>
      </c>
      <c r="H40" s="21">
        <v>2400000</v>
      </c>
      <c r="I40" s="15" t="s">
        <v>664</v>
      </c>
    </row>
    <row r="41" spans="1:12" ht="18.75" customHeight="1">
      <c r="A41" s="18"/>
      <c r="B41" s="18"/>
      <c r="C41" s="18"/>
      <c r="D41" s="18"/>
      <c r="E41" s="21"/>
      <c r="F41" s="164"/>
      <c r="G41" s="21"/>
      <c r="H41" s="21"/>
    </row>
    <row r="42" spans="1:12" ht="18.75" customHeight="1">
      <c r="A42" s="18"/>
      <c r="B42" s="18"/>
      <c r="C42" s="18"/>
      <c r="D42" s="18"/>
      <c r="E42" s="21"/>
      <c r="F42" s="164"/>
      <c r="G42" s="21"/>
      <c r="H42" s="21"/>
    </row>
    <row r="43" spans="1:12" ht="18.75" customHeight="1">
      <c r="A43" s="18"/>
      <c r="B43" s="18"/>
      <c r="C43" s="18"/>
      <c r="D43" s="18"/>
      <c r="E43" s="21"/>
      <c r="F43" s="164"/>
      <c r="G43" s="21"/>
      <c r="H43" s="21"/>
    </row>
    <row r="44" spans="1:12" ht="18.75" customHeight="1">
      <c r="A44" s="18"/>
      <c r="B44" s="18"/>
      <c r="C44" s="18"/>
      <c r="D44" s="18"/>
      <c r="E44" s="21"/>
      <c r="F44" s="164"/>
      <c r="G44" s="21"/>
      <c r="H44" s="21"/>
    </row>
    <row r="45" spans="1:12" ht="18.75" customHeight="1">
      <c r="A45" s="18"/>
      <c r="B45" s="18"/>
      <c r="C45" s="18"/>
      <c r="D45" s="18"/>
      <c r="E45" s="21"/>
      <c r="F45" s="18"/>
      <c r="G45" s="21"/>
      <c r="H45" s="21">
        <f>SUM(H28:H40)</f>
        <v>17600000</v>
      </c>
      <c r="K45" s="549" t="s">
        <v>665</v>
      </c>
      <c r="L45" s="550">
        <f>SUM(L27:L43)</f>
        <v>65000</v>
      </c>
    </row>
    <row r="46" spans="1:12">
      <c r="K46" s="549"/>
      <c r="L46" s="550"/>
    </row>
    <row r="47" spans="1:12" ht="21.75">
      <c r="C47" s="143"/>
    </row>
    <row r="48" spans="1:12" ht="21.75">
      <c r="C48" s="143"/>
    </row>
  </sheetData>
  <mergeCells count="20">
    <mergeCell ref="A2:H3"/>
    <mergeCell ref="A4:A5"/>
    <mergeCell ref="B4:B5"/>
    <mergeCell ref="C4:C5"/>
    <mergeCell ref="D4:D5"/>
    <mergeCell ref="E4:E5"/>
    <mergeCell ref="F4:F5"/>
    <mergeCell ref="G4:G5"/>
    <mergeCell ref="I10:I19"/>
    <mergeCell ref="A24:H25"/>
    <mergeCell ref="A26:A27"/>
    <mergeCell ref="B26:B27"/>
    <mergeCell ref="C26:C27"/>
    <mergeCell ref="D26:D27"/>
    <mergeCell ref="E26:E27"/>
    <mergeCell ref="F26:F27"/>
    <mergeCell ref="G26:G27"/>
    <mergeCell ref="F10:F19"/>
    <mergeCell ref="G10:G19"/>
    <mergeCell ref="H10:H19"/>
  </mergeCells>
  <hyperlinks>
    <hyperlink ref="A1" location="Name!A1" display="Name!A1" xr:uid="{F47134F3-0075-462E-8716-A75A4F40BADA}"/>
    <hyperlink ref="A23" location="Name!A1" display="Name!A1" xr:uid="{DFF60ED2-3BEA-4C3B-95DE-F69272CFDB8D}"/>
  </hyperlinks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A9D6-3E94-45F5-A40B-B8830996DED5}">
  <dimension ref="A1:O60"/>
  <sheetViews>
    <sheetView workbookViewId="0"/>
  </sheetViews>
  <sheetFormatPr defaultColWidth="9.140625" defaultRowHeight="18"/>
  <cols>
    <col min="1" max="1" width="6.140625" style="51" customWidth="1"/>
    <col min="2" max="2" width="15.42578125" style="51" customWidth="1"/>
    <col min="3" max="3" width="30.7109375" style="51" customWidth="1"/>
    <col min="4" max="4" width="12.28515625" style="51" customWidth="1"/>
    <col min="5" max="5" width="27" style="51" customWidth="1"/>
    <col min="6" max="6" width="9.85546875" style="51" customWidth="1"/>
    <col min="7" max="7" width="14.7109375" style="51" customWidth="1"/>
    <col min="8" max="9" width="14" style="51" customWidth="1"/>
    <col min="10" max="10" width="5" style="193" customWidth="1"/>
    <col min="11" max="12" width="9.140625" style="51"/>
    <col min="13" max="13" width="39.5703125" style="51" customWidth="1"/>
    <col min="14" max="14" width="15.42578125" style="104" customWidth="1"/>
    <col min="15" max="15" width="17.5703125" style="51" customWidth="1"/>
    <col min="16" max="16384" width="9.140625" style="51"/>
  </cols>
  <sheetData>
    <row r="1" spans="1:15">
      <c r="A1" s="411" t="s">
        <v>648</v>
      </c>
    </row>
    <row r="2" spans="1:15" ht="21.75">
      <c r="A2" s="644" t="s">
        <v>3551</v>
      </c>
      <c r="B2" s="644"/>
      <c r="C2" s="644"/>
      <c r="D2" s="644"/>
      <c r="E2" s="644"/>
      <c r="F2" s="644"/>
      <c r="G2" s="644"/>
      <c r="H2" s="644"/>
      <c r="I2" s="174"/>
      <c r="J2" s="169"/>
      <c r="K2" s="644" t="s">
        <v>973</v>
      </c>
      <c r="L2" s="644"/>
      <c r="M2" s="644"/>
      <c r="N2" s="644"/>
    </row>
    <row r="3" spans="1:15" s="56" customFormat="1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  <c r="I3" s="175"/>
      <c r="J3" s="169"/>
      <c r="K3" s="654" t="s">
        <v>653</v>
      </c>
      <c r="L3" s="659" t="s">
        <v>974</v>
      </c>
      <c r="M3" s="661" t="s">
        <v>975</v>
      </c>
      <c r="N3" s="662" t="s">
        <v>976</v>
      </c>
      <c r="O3" s="729" t="s">
        <v>977</v>
      </c>
    </row>
    <row r="4" spans="1:15" ht="21.75">
      <c r="A4" s="655"/>
      <c r="B4" s="660"/>
      <c r="C4" s="660"/>
      <c r="D4" s="660"/>
      <c r="E4" s="710"/>
      <c r="F4" s="660"/>
      <c r="G4" s="660"/>
      <c r="H4" s="202" t="s">
        <v>660</v>
      </c>
      <c r="I4" s="175"/>
      <c r="J4" s="169"/>
      <c r="K4" s="655"/>
      <c r="L4" s="710"/>
      <c r="M4" s="660"/>
      <c r="N4" s="663"/>
      <c r="O4" s="730"/>
    </row>
    <row r="5" spans="1:15" ht="21.75">
      <c r="A5" s="203">
        <v>1</v>
      </c>
      <c r="B5" s="204" t="s">
        <v>152</v>
      </c>
      <c r="C5" s="205" t="s">
        <v>3552</v>
      </c>
      <c r="D5" s="204" t="s">
        <v>3553</v>
      </c>
      <c r="E5" s="206" t="s">
        <v>703</v>
      </c>
      <c r="F5" s="207" t="s">
        <v>3554</v>
      </c>
      <c r="G5" s="208" t="s">
        <v>2006</v>
      </c>
      <c r="H5" s="209">
        <v>500000</v>
      </c>
      <c r="I5" s="176"/>
      <c r="J5" s="169"/>
      <c r="K5" s="122"/>
      <c r="L5" s="123"/>
      <c r="M5" s="127"/>
      <c r="N5" s="125"/>
      <c r="O5" s="126"/>
    </row>
    <row r="6" spans="1:15" ht="21.75">
      <c r="A6" s="203"/>
      <c r="B6" s="204"/>
      <c r="C6" s="204"/>
      <c r="D6" s="204"/>
      <c r="E6" s="208" t="s">
        <v>3555</v>
      </c>
      <c r="F6" s="207" t="s">
        <v>3554</v>
      </c>
      <c r="G6" s="208" t="s">
        <v>2006</v>
      </c>
      <c r="H6" s="209">
        <v>500000</v>
      </c>
      <c r="I6" s="176"/>
      <c r="J6" s="169"/>
      <c r="K6" s="122"/>
      <c r="L6" s="123"/>
      <c r="M6" s="123"/>
      <c r="N6" s="125"/>
      <c r="O6" s="126"/>
    </row>
    <row r="7" spans="1:15" ht="21.75">
      <c r="A7" s="203"/>
      <c r="B7" s="204"/>
      <c r="C7" s="204"/>
      <c r="D7" s="204"/>
      <c r="E7" s="208" t="s">
        <v>3556</v>
      </c>
      <c r="F7" s="207" t="s">
        <v>3557</v>
      </c>
      <c r="G7" s="208" t="s">
        <v>3558</v>
      </c>
      <c r="H7" s="209">
        <v>500000</v>
      </c>
      <c r="I7" s="200" t="s">
        <v>3559</v>
      </c>
      <c r="J7" s="169"/>
      <c r="K7" s="122"/>
      <c r="L7" s="123"/>
      <c r="M7" s="123"/>
      <c r="N7" s="125"/>
      <c r="O7" s="126"/>
    </row>
    <row r="8" spans="1:15" ht="21.75">
      <c r="A8" s="203"/>
      <c r="B8" s="204"/>
      <c r="C8" s="204"/>
      <c r="D8" s="204"/>
      <c r="E8" s="208" t="s">
        <v>1006</v>
      </c>
      <c r="F8" s="207" t="s">
        <v>3557</v>
      </c>
      <c r="G8" s="208" t="s">
        <v>3558</v>
      </c>
      <c r="H8" s="209">
        <v>-250000</v>
      </c>
      <c r="I8" s="253" t="s">
        <v>3560</v>
      </c>
      <c r="J8" s="169"/>
      <c r="K8" s="122"/>
      <c r="L8" s="123"/>
      <c r="M8" s="127"/>
      <c r="N8" s="125"/>
      <c r="O8" s="126"/>
    </row>
    <row r="9" spans="1:15" ht="21.75">
      <c r="A9" s="203"/>
      <c r="B9" s="204"/>
      <c r="C9" s="204"/>
      <c r="D9" s="204"/>
      <c r="E9" s="208" t="s">
        <v>3561</v>
      </c>
      <c r="F9" s="207"/>
      <c r="G9" s="208"/>
      <c r="H9" s="209"/>
      <c r="I9" s="176"/>
      <c r="J9" s="169"/>
      <c r="K9" s="122"/>
      <c r="L9" s="123"/>
      <c r="M9" s="123"/>
      <c r="N9" s="125"/>
      <c r="O9" s="126"/>
    </row>
    <row r="10" spans="1:15" ht="21.75">
      <c r="A10" s="203"/>
      <c r="B10" s="204"/>
      <c r="C10" s="204"/>
      <c r="D10" s="204"/>
      <c r="E10" s="208"/>
      <c r="F10" s="207"/>
      <c r="G10" s="208"/>
      <c r="H10" s="209"/>
      <c r="I10" s="176"/>
      <c r="J10" s="169"/>
      <c r="K10" s="122"/>
      <c r="L10" s="123"/>
      <c r="M10" s="123"/>
      <c r="N10" s="125"/>
      <c r="O10" s="126"/>
    </row>
    <row r="11" spans="1:15" ht="21.75">
      <c r="A11" s="122"/>
      <c r="B11" s="123"/>
      <c r="C11" s="123"/>
      <c r="D11" s="123"/>
      <c r="E11" s="123"/>
      <c r="F11" s="123"/>
      <c r="G11" s="123"/>
      <c r="H11" s="210"/>
      <c r="I11" s="143"/>
      <c r="J11" s="169"/>
      <c r="K11" s="122"/>
      <c r="L11" s="123"/>
      <c r="M11" s="123"/>
      <c r="N11" s="125"/>
      <c r="O11" s="126"/>
    </row>
    <row r="12" spans="1:15" ht="21.75">
      <c r="A12" s="66"/>
      <c r="B12" s="68"/>
      <c r="C12" s="68"/>
      <c r="D12" s="68"/>
      <c r="E12" s="68"/>
      <c r="F12" s="68"/>
      <c r="G12" s="68"/>
      <c r="H12" s="126"/>
      <c r="J12" s="169"/>
      <c r="K12" s="122"/>
      <c r="L12" s="123"/>
      <c r="M12" s="123"/>
      <c r="N12" s="125"/>
      <c r="O12" s="126"/>
    </row>
    <row r="13" spans="1:15" ht="21.75">
      <c r="A13" s="66"/>
      <c r="B13" s="68"/>
      <c r="C13" s="68"/>
      <c r="D13" s="68"/>
      <c r="E13" s="68"/>
      <c r="F13" s="68"/>
      <c r="G13" s="68"/>
      <c r="H13" s="126"/>
      <c r="J13" s="169"/>
      <c r="K13" s="122"/>
      <c r="L13" s="123"/>
      <c r="M13" s="123"/>
      <c r="N13" s="125"/>
      <c r="O13" s="126"/>
    </row>
    <row r="14" spans="1:15" ht="21.75">
      <c r="A14" s="211"/>
      <c r="B14" s="212"/>
      <c r="C14" s="212"/>
      <c r="D14" s="212"/>
      <c r="E14" s="212"/>
      <c r="F14" s="212"/>
      <c r="G14" s="212"/>
      <c r="H14" s="213"/>
      <c r="I14" s="114"/>
      <c r="J14" s="121"/>
      <c r="K14" s="183"/>
      <c r="L14" s="184"/>
      <c r="M14" s="184"/>
      <c r="N14" s="185"/>
      <c r="O14" s="194"/>
    </row>
    <row r="15" spans="1:15" ht="21.75">
      <c r="A15" s="644" t="s">
        <v>3562</v>
      </c>
      <c r="B15" s="644"/>
      <c r="C15" s="644"/>
      <c r="D15" s="644"/>
      <c r="E15" s="644"/>
      <c r="F15" s="644"/>
      <c r="G15" s="644"/>
      <c r="H15" s="644"/>
      <c r="J15" s="169"/>
      <c r="K15" s="122"/>
      <c r="L15" s="123"/>
      <c r="M15" s="123"/>
      <c r="N15" s="125"/>
      <c r="O15" s="126"/>
    </row>
    <row r="16" spans="1:15" ht="21.75">
      <c r="A16" s="654" t="s">
        <v>653</v>
      </c>
      <c r="B16" s="659" t="s">
        <v>654</v>
      </c>
      <c r="C16" s="661" t="s">
        <v>655</v>
      </c>
      <c r="D16" s="661" t="s">
        <v>12</v>
      </c>
      <c r="E16" s="659" t="s">
        <v>656</v>
      </c>
      <c r="F16" s="661" t="s">
        <v>657</v>
      </c>
      <c r="G16" s="659" t="s">
        <v>658</v>
      </c>
      <c r="H16" s="201" t="s">
        <v>659</v>
      </c>
      <c r="J16" s="169"/>
      <c r="K16" s="122"/>
      <c r="L16" s="123"/>
      <c r="M16" s="123"/>
      <c r="N16" s="125"/>
      <c r="O16" s="126"/>
    </row>
    <row r="17" spans="1:15" ht="21.75">
      <c r="A17" s="655"/>
      <c r="B17" s="660"/>
      <c r="C17" s="660"/>
      <c r="D17" s="660"/>
      <c r="E17" s="710"/>
      <c r="F17" s="660"/>
      <c r="G17" s="660"/>
      <c r="H17" s="202" t="s">
        <v>660</v>
      </c>
      <c r="J17" s="169"/>
      <c r="K17" s="122"/>
      <c r="L17" s="123"/>
      <c r="M17" s="123"/>
      <c r="N17" s="125"/>
      <c r="O17" s="126"/>
    </row>
    <row r="18" spans="1:15" ht="21.75">
      <c r="A18" s="203">
        <v>1</v>
      </c>
      <c r="B18" s="204" t="s">
        <v>152</v>
      </c>
      <c r="C18" s="205" t="s">
        <v>3552</v>
      </c>
      <c r="D18" s="204" t="s">
        <v>3553</v>
      </c>
      <c r="E18" s="206" t="s">
        <v>3563</v>
      </c>
      <c r="F18" s="207" t="s">
        <v>3564</v>
      </c>
      <c r="G18" s="208" t="s">
        <v>3565</v>
      </c>
      <c r="H18" s="209">
        <v>500000</v>
      </c>
      <c r="J18" s="169"/>
      <c r="K18" s="122"/>
      <c r="L18" s="123"/>
      <c r="M18" s="123"/>
      <c r="N18" s="125"/>
      <c r="O18" s="126"/>
    </row>
    <row r="19" spans="1:15" ht="21.75">
      <c r="A19" s="203"/>
      <c r="B19" s="204"/>
      <c r="C19" s="204"/>
      <c r="D19" s="204"/>
      <c r="E19" s="208" t="s">
        <v>3566</v>
      </c>
      <c r="F19" s="207" t="s">
        <v>3567</v>
      </c>
      <c r="G19" s="208" t="s">
        <v>3568</v>
      </c>
      <c r="H19" s="209">
        <v>2500000</v>
      </c>
      <c r="I19" s="51" t="s">
        <v>3569</v>
      </c>
      <c r="J19" s="169"/>
      <c r="K19" s="122"/>
      <c r="L19" s="123"/>
      <c r="M19" s="123"/>
      <c r="N19" s="125"/>
      <c r="O19" s="126"/>
    </row>
    <row r="20" spans="1:15" ht="21.75">
      <c r="A20" s="203"/>
      <c r="B20" s="204"/>
      <c r="C20" s="204"/>
      <c r="D20" s="204"/>
      <c r="E20" s="208"/>
      <c r="F20" s="207"/>
      <c r="G20" s="208"/>
      <c r="H20" s="209"/>
      <c r="J20" s="169"/>
      <c r="K20" s="122"/>
      <c r="L20" s="123"/>
      <c r="M20" s="123"/>
      <c r="N20" s="125"/>
      <c r="O20" s="126"/>
    </row>
    <row r="21" spans="1:15" ht="21.75">
      <c r="A21" s="203"/>
      <c r="B21" s="204"/>
      <c r="C21" s="204"/>
      <c r="D21" s="204"/>
      <c r="E21" s="208"/>
      <c r="F21" s="207"/>
      <c r="G21" s="208"/>
      <c r="H21" s="209"/>
      <c r="J21" s="169"/>
      <c r="K21" s="122"/>
      <c r="L21" s="123"/>
      <c r="M21" s="123"/>
      <c r="N21" s="125"/>
      <c r="O21" s="126"/>
    </row>
    <row r="22" spans="1:15" ht="21.75">
      <c r="A22" s="211"/>
      <c r="B22" s="212"/>
      <c r="C22" s="212"/>
      <c r="D22" s="212"/>
      <c r="E22" s="212"/>
      <c r="F22" s="212"/>
      <c r="G22" s="212"/>
      <c r="H22" s="213"/>
      <c r="I22" s="114"/>
      <c r="J22" s="121"/>
      <c r="K22" s="183"/>
      <c r="L22" s="184"/>
      <c r="M22" s="184"/>
      <c r="N22" s="185"/>
      <c r="O22" s="194"/>
    </row>
    <row r="23" spans="1:15" ht="21.75">
      <c r="A23" s="203">
        <v>1</v>
      </c>
      <c r="B23" s="204" t="s">
        <v>152</v>
      </c>
      <c r="C23" s="205" t="s">
        <v>3552</v>
      </c>
      <c r="D23" s="204" t="s">
        <v>3553</v>
      </c>
      <c r="E23" s="208" t="s">
        <v>703</v>
      </c>
      <c r="F23" s="207" t="s">
        <v>3570</v>
      </c>
      <c r="G23" s="208" t="s">
        <v>3571</v>
      </c>
      <c r="H23" s="209">
        <v>500000</v>
      </c>
      <c r="J23" s="169"/>
      <c r="K23" s="122"/>
      <c r="L23" s="123"/>
      <c r="M23" s="123"/>
      <c r="N23" s="125"/>
      <c r="O23" s="126"/>
    </row>
    <row r="24" spans="1:15" ht="21.75">
      <c r="A24" s="122"/>
      <c r="B24" s="123"/>
      <c r="C24" s="123"/>
      <c r="D24" s="123"/>
      <c r="E24" s="123" t="s">
        <v>3572</v>
      </c>
      <c r="F24" s="207" t="s">
        <v>3570</v>
      </c>
      <c r="G24" s="208" t="s">
        <v>3571</v>
      </c>
      <c r="H24" s="209">
        <v>500000</v>
      </c>
      <c r="J24" s="169"/>
      <c r="K24" s="122"/>
      <c r="L24" s="123"/>
      <c r="M24" s="123"/>
      <c r="N24" s="125"/>
      <c r="O24" s="126"/>
    </row>
    <row r="25" spans="1:15" ht="21.75">
      <c r="A25" s="66"/>
      <c r="B25" s="68"/>
      <c r="C25" s="68"/>
      <c r="D25" s="68"/>
      <c r="E25" s="68" t="s">
        <v>1006</v>
      </c>
      <c r="F25" s="68"/>
      <c r="G25" s="68"/>
      <c r="H25" s="126">
        <v>-50000</v>
      </c>
      <c r="J25" s="169"/>
      <c r="K25" s="122"/>
      <c r="L25" s="123"/>
      <c r="M25" s="123"/>
      <c r="N25" s="125"/>
      <c r="O25" s="126"/>
    </row>
    <row r="26" spans="1:15" ht="21.75">
      <c r="A26" s="66"/>
      <c r="B26" s="68"/>
      <c r="C26" s="68"/>
      <c r="D26" s="68"/>
      <c r="E26" s="68"/>
      <c r="F26" s="68"/>
      <c r="G26" s="68"/>
      <c r="H26" s="126"/>
      <c r="J26" s="169"/>
      <c r="K26" s="122"/>
      <c r="L26" s="123"/>
      <c r="M26" s="123"/>
      <c r="N26" s="125"/>
      <c r="O26" s="126"/>
    </row>
    <row r="27" spans="1:15" ht="21.75">
      <c r="A27" s="211"/>
      <c r="B27" s="212"/>
      <c r="C27" s="212"/>
      <c r="D27" s="212"/>
      <c r="E27" s="212"/>
      <c r="F27" s="212"/>
      <c r="G27" s="212"/>
      <c r="H27" s="214">
        <f>SUM(H23:H26)</f>
        <v>950000</v>
      </c>
      <c r="J27" s="169"/>
      <c r="K27" s="122"/>
      <c r="L27" s="123"/>
      <c r="M27" s="123"/>
      <c r="N27" s="125"/>
      <c r="O27" s="126"/>
    </row>
    <row r="28" spans="1:15" s="143" customFormat="1" ht="27.75" customHeight="1">
      <c r="A28" s="718" t="s">
        <v>3573</v>
      </c>
      <c r="B28" s="719"/>
      <c r="C28" s="719"/>
      <c r="D28" s="719"/>
      <c r="E28" s="719"/>
      <c r="F28" s="719"/>
      <c r="G28" s="719"/>
      <c r="H28" s="720"/>
      <c r="J28" s="169"/>
      <c r="K28" s="122"/>
      <c r="L28" s="123"/>
      <c r="M28" s="123"/>
      <c r="N28" s="125"/>
      <c r="O28" s="210"/>
    </row>
    <row r="29" spans="1:15" s="143" customFormat="1" ht="21.75">
      <c r="A29" s="203">
        <v>1</v>
      </c>
      <c r="B29" s="204" t="s">
        <v>152</v>
      </c>
      <c r="C29" s="254" t="s">
        <v>3552</v>
      </c>
      <c r="D29" s="204" t="s">
        <v>3553</v>
      </c>
      <c r="E29" s="208" t="s">
        <v>703</v>
      </c>
      <c r="F29" s="207" t="s">
        <v>3574</v>
      </c>
      <c r="G29" s="208" t="s">
        <v>3575</v>
      </c>
      <c r="H29" s="209">
        <v>500000</v>
      </c>
      <c r="J29" s="169"/>
      <c r="K29" s="122"/>
      <c r="L29" s="123"/>
      <c r="M29" s="123"/>
      <c r="N29" s="125"/>
      <c r="O29" s="210"/>
    </row>
    <row r="30" spans="1:15" s="143" customFormat="1" ht="21.75">
      <c r="A30" s="122"/>
      <c r="B30" s="123"/>
      <c r="C30" s="123"/>
      <c r="D30" s="123"/>
      <c r="E30" s="123" t="s">
        <v>3576</v>
      </c>
      <c r="F30" s="207" t="s">
        <v>3574</v>
      </c>
      <c r="G30" s="208" t="s">
        <v>3575</v>
      </c>
      <c r="H30" s="209">
        <v>500000</v>
      </c>
      <c r="J30" s="169"/>
      <c r="K30" s="122"/>
      <c r="L30" s="123"/>
      <c r="M30" s="123"/>
      <c r="N30" s="125"/>
      <c r="O30" s="210"/>
    </row>
    <row r="31" spans="1:15" s="143" customFormat="1" ht="21.75">
      <c r="A31" s="122"/>
      <c r="B31" s="123"/>
      <c r="C31" s="123"/>
      <c r="D31" s="123"/>
      <c r="E31" s="123" t="s">
        <v>3577</v>
      </c>
      <c r="F31" s="123"/>
      <c r="G31" s="123" t="s">
        <v>3369</v>
      </c>
      <c r="H31" s="209">
        <v>500000</v>
      </c>
      <c r="J31" s="169"/>
      <c r="K31" s="122"/>
      <c r="L31" s="123"/>
      <c r="M31" s="123"/>
      <c r="N31" s="125"/>
      <c r="O31" s="210"/>
    </row>
    <row r="32" spans="1:15" s="143" customFormat="1" ht="21.75">
      <c r="A32" s="122"/>
      <c r="B32" s="123"/>
      <c r="C32" s="123"/>
      <c r="D32" s="123"/>
      <c r="E32" s="123" t="s">
        <v>3026</v>
      </c>
      <c r="F32" s="252" t="s">
        <v>3578</v>
      </c>
      <c r="G32" s="123" t="s">
        <v>3058</v>
      </c>
      <c r="H32" s="209">
        <v>500000</v>
      </c>
      <c r="I32" s="143" t="s">
        <v>1042</v>
      </c>
      <c r="J32" s="169"/>
      <c r="K32" s="122"/>
      <c r="L32" s="123"/>
      <c r="M32" s="123"/>
      <c r="N32" s="125"/>
      <c r="O32" s="210"/>
    </row>
    <row r="33" spans="1:15" s="143" customFormat="1" ht="21.75">
      <c r="A33" s="255"/>
      <c r="B33" s="256"/>
      <c r="C33" s="256"/>
      <c r="D33" s="256"/>
      <c r="E33" s="256" t="s">
        <v>3029</v>
      </c>
      <c r="F33" s="257" t="s">
        <v>3579</v>
      </c>
      <c r="G33" s="256" t="s">
        <v>3580</v>
      </c>
      <c r="H33" s="209">
        <v>500000</v>
      </c>
      <c r="I33" s="143" t="s">
        <v>1042</v>
      </c>
      <c r="J33" s="169"/>
      <c r="K33" s="122"/>
      <c r="L33" s="123"/>
      <c r="M33" s="123"/>
      <c r="N33" s="125"/>
      <c r="O33" s="210"/>
    </row>
    <row r="34" spans="1:15" s="143" customFormat="1" ht="21.75">
      <c r="A34" s="255"/>
      <c r="B34" s="256"/>
      <c r="C34" s="256"/>
      <c r="D34" s="256"/>
      <c r="E34" s="256" t="s">
        <v>3581</v>
      </c>
      <c r="F34" s="257" t="s">
        <v>3582</v>
      </c>
      <c r="G34" s="256" t="s">
        <v>3583</v>
      </c>
      <c r="H34" s="209">
        <v>500000</v>
      </c>
      <c r="I34" s="143" t="s">
        <v>1042</v>
      </c>
      <c r="J34" s="169"/>
      <c r="K34" s="122"/>
      <c r="L34" s="123"/>
      <c r="M34" s="123"/>
      <c r="N34" s="125"/>
      <c r="O34" s="210"/>
    </row>
    <row r="35" spans="1:15" s="143" customFormat="1" ht="21.75">
      <c r="A35" s="255"/>
      <c r="B35" s="256"/>
      <c r="C35" s="256"/>
      <c r="D35" s="256"/>
      <c r="E35" s="256" t="s">
        <v>3035</v>
      </c>
      <c r="F35" s="257" t="s">
        <v>3584</v>
      </c>
      <c r="G35" s="256" t="s">
        <v>3585</v>
      </c>
      <c r="H35" s="209">
        <v>500000</v>
      </c>
      <c r="I35" s="143" t="s">
        <v>1042</v>
      </c>
      <c r="J35" s="169"/>
      <c r="K35" s="122"/>
      <c r="L35" s="123"/>
      <c r="M35" s="123"/>
      <c r="N35" s="125"/>
      <c r="O35" s="210"/>
    </row>
    <row r="36" spans="1:15" s="143" customFormat="1" ht="21.75">
      <c r="A36" s="255"/>
      <c r="B36" s="256"/>
      <c r="C36" s="256"/>
      <c r="D36" s="256"/>
      <c r="E36" s="256" t="s">
        <v>3586</v>
      </c>
      <c r="F36" s="257" t="s">
        <v>3587</v>
      </c>
      <c r="G36" s="256" t="s">
        <v>3588</v>
      </c>
      <c r="H36" s="258">
        <v>1000000</v>
      </c>
      <c r="I36" s="143" t="s">
        <v>1042</v>
      </c>
      <c r="J36" s="169"/>
      <c r="K36" s="122"/>
      <c r="L36" s="123"/>
      <c r="M36" s="123"/>
      <c r="N36" s="125"/>
      <c r="O36" s="210"/>
    </row>
    <row r="37" spans="1:15" s="143" customFormat="1" ht="21.75">
      <c r="A37" s="255"/>
      <c r="B37" s="256"/>
      <c r="C37" s="256"/>
      <c r="D37" s="256"/>
      <c r="E37" s="256" t="s">
        <v>3589</v>
      </c>
      <c r="F37" s="257"/>
      <c r="G37" s="256"/>
      <c r="H37" s="258">
        <v>250000</v>
      </c>
      <c r="J37" s="169"/>
      <c r="K37" s="122"/>
      <c r="L37" s="123"/>
      <c r="M37" s="123"/>
      <c r="N37" s="125"/>
      <c r="O37" s="210"/>
    </row>
    <row r="38" spans="1:15" s="143" customFormat="1" ht="21.75">
      <c r="A38" s="255"/>
      <c r="B38" s="256"/>
      <c r="C38" s="256"/>
      <c r="D38" s="256"/>
      <c r="E38" s="256" t="s">
        <v>3045</v>
      </c>
      <c r="F38" s="257"/>
      <c r="G38" s="256"/>
      <c r="H38" s="258">
        <v>100000</v>
      </c>
      <c r="J38" s="169"/>
      <c r="K38" s="122"/>
      <c r="L38" s="123"/>
      <c r="M38" s="123"/>
      <c r="N38" s="125"/>
      <c r="O38" s="210"/>
    </row>
    <row r="39" spans="1:15" s="143" customFormat="1" ht="21.75">
      <c r="A39" s="255"/>
      <c r="B39" s="256"/>
      <c r="C39" s="256"/>
      <c r="D39" s="256"/>
      <c r="E39" s="256" t="s">
        <v>1066</v>
      </c>
      <c r="F39" s="257"/>
      <c r="G39" s="256"/>
      <c r="H39" s="258">
        <v>-500000</v>
      </c>
      <c r="J39" s="169"/>
      <c r="K39" s="122"/>
      <c r="L39" s="123"/>
      <c r="M39" s="123"/>
      <c r="N39" s="125"/>
      <c r="O39" s="210"/>
    </row>
    <row r="40" spans="1:15" s="143" customFormat="1" ht="21.75">
      <c r="A40" s="248"/>
      <c r="B40" s="249"/>
      <c r="C40" s="249"/>
      <c r="D40" s="249"/>
      <c r="E40" s="249"/>
      <c r="F40" s="249"/>
      <c r="G40" s="249"/>
      <c r="H40" s="250">
        <f>SUM(H29:H39)</f>
        <v>4350000</v>
      </c>
      <c r="J40" s="169"/>
      <c r="K40" s="122"/>
      <c r="L40" s="123"/>
      <c r="M40" s="123"/>
      <c r="N40" s="125"/>
      <c r="O40" s="210"/>
    </row>
    <row r="41" spans="1:15" s="143" customFormat="1" ht="21.75">
      <c r="J41" s="169"/>
      <c r="K41" s="122"/>
      <c r="L41" s="123"/>
      <c r="M41" s="123"/>
      <c r="N41" s="125"/>
      <c r="O41" s="210"/>
    </row>
    <row r="42" spans="1:15" s="143" customFormat="1" ht="21.75">
      <c r="A42" s="718" t="s">
        <v>240</v>
      </c>
      <c r="B42" s="719"/>
      <c r="C42" s="719"/>
      <c r="D42" s="719"/>
      <c r="E42" s="719"/>
      <c r="F42" s="719"/>
      <c r="G42" s="719"/>
      <c r="H42" s="720"/>
      <c r="J42" s="169"/>
      <c r="K42" s="122"/>
      <c r="L42" s="123"/>
      <c r="M42" s="123"/>
      <c r="N42" s="125"/>
      <c r="O42" s="210"/>
    </row>
    <row r="43" spans="1:15" ht="21.75">
      <c r="A43" s="203">
        <v>1</v>
      </c>
      <c r="B43" s="204" t="s">
        <v>152</v>
      </c>
      <c r="C43" s="254" t="s">
        <v>3552</v>
      </c>
      <c r="D43" s="204" t="s">
        <v>3553</v>
      </c>
      <c r="E43" s="208" t="s">
        <v>3590</v>
      </c>
      <c r="F43" s="207" t="s">
        <v>3591</v>
      </c>
      <c r="G43" s="208">
        <v>2100000</v>
      </c>
      <c r="H43" s="209"/>
      <c r="J43" s="169"/>
      <c r="K43" s="122"/>
      <c r="L43" s="123"/>
      <c r="M43" s="123"/>
      <c r="N43" s="125"/>
      <c r="O43" s="126"/>
    </row>
    <row r="44" spans="1:15" ht="21.75">
      <c r="A44" s="122"/>
      <c r="B44" s="123"/>
      <c r="C44" s="123"/>
      <c r="D44" s="123"/>
      <c r="E44" s="204" t="s">
        <v>243</v>
      </c>
      <c r="F44" s="207" t="s">
        <v>3592</v>
      </c>
      <c r="G44" s="208">
        <v>1200000</v>
      </c>
      <c r="H44" s="209"/>
      <c r="J44" s="169"/>
      <c r="K44" s="122"/>
      <c r="L44" s="123"/>
      <c r="M44" s="123"/>
      <c r="N44" s="125"/>
      <c r="O44" s="126"/>
    </row>
    <row r="45" spans="1:15" ht="21.75">
      <c r="A45" s="122"/>
      <c r="B45" s="123"/>
      <c r="C45" s="123"/>
      <c r="D45" s="123"/>
      <c r="E45" s="123"/>
      <c r="F45" s="123"/>
      <c r="G45" s="123"/>
      <c r="H45" s="209"/>
      <c r="K45" s="122"/>
      <c r="L45" s="123"/>
      <c r="M45" s="123"/>
      <c r="N45" s="125"/>
      <c r="O45" s="126"/>
    </row>
    <row r="46" spans="1:15" ht="21.75">
      <c r="A46" s="122"/>
      <c r="B46" s="123"/>
      <c r="C46" s="123"/>
      <c r="D46" s="123"/>
      <c r="E46" s="123"/>
      <c r="F46" s="252"/>
      <c r="G46" s="123"/>
      <c r="H46" s="209"/>
      <c r="K46" s="122"/>
      <c r="L46" s="123"/>
      <c r="M46" s="123"/>
      <c r="N46" s="125"/>
      <c r="O46" s="126"/>
    </row>
    <row r="47" spans="1:15" ht="21.75">
      <c r="A47" s="255"/>
      <c r="B47" s="256"/>
      <c r="C47" s="256"/>
      <c r="D47" s="256"/>
      <c r="E47" s="256"/>
      <c r="F47" s="257"/>
      <c r="G47" s="256"/>
      <c r="H47" s="209"/>
      <c r="K47" s="122"/>
      <c r="L47" s="123"/>
      <c r="M47" s="123"/>
      <c r="N47" s="125"/>
      <c r="O47" s="126"/>
    </row>
    <row r="48" spans="1:15" ht="21.75">
      <c r="A48" s="255"/>
      <c r="B48" s="256"/>
      <c r="C48" s="256"/>
      <c r="D48" s="256"/>
      <c r="E48" s="256"/>
      <c r="F48" s="257"/>
      <c r="G48" s="256"/>
      <c r="H48" s="209"/>
      <c r="K48" s="122"/>
      <c r="L48" s="123"/>
      <c r="M48" s="123"/>
      <c r="N48" s="125"/>
      <c r="O48" s="126"/>
    </row>
    <row r="49" spans="1:15" ht="21.75">
      <c r="A49" s="255"/>
      <c r="B49" s="256"/>
      <c r="C49" s="256"/>
      <c r="D49" s="256"/>
      <c r="E49" s="256"/>
      <c r="F49" s="257"/>
      <c r="G49" s="256"/>
      <c r="H49" s="209"/>
      <c r="K49" s="122"/>
      <c r="L49" s="123"/>
      <c r="M49" s="123"/>
      <c r="N49" s="125"/>
      <c r="O49" s="126"/>
    </row>
    <row r="50" spans="1:15" ht="21.75">
      <c r="A50" s="255"/>
      <c r="B50" s="256"/>
      <c r="C50" s="256"/>
      <c r="D50" s="256"/>
      <c r="E50" s="256"/>
      <c r="F50" s="257"/>
      <c r="G50" s="256"/>
      <c r="H50" s="258"/>
      <c r="K50" s="122"/>
      <c r="L50" s="123"/>
      <c r="M50" s="123"/>
      <c r="N50" s="125"/>
      <c r="O50" s="126"/>
    </row>
    <row r="51" spans="1:15" ht="21.75">
      <c r="A51" s="255"/>
      <c r="B51" s="256"/>
      <c r="C51" s="256"/>
      <c r="D51" s="256"/>
      <c r="E51" s="256"/>
      <c r="F51" s="257"/>
      <c r="G51" s="256"/>
      <c r="H51" s="258"/>
      <c r="K51" s="122"/>
      <c r="L51" s="123"/>
      <c r="M51" s="123"/>
      <c r="N51" s="125"/>
      <c r="O51" s="126"/>
    </row>
    <row r="52" spans="1:15" ht="21.75">
      <c r="A52" s="255"/>
      <c r="B52" s="256"/>
      <c r="C52" s="256"/>
      <c r="D52" s="256"/>
      <c r="E52" s="256"/>
      <c r="F52" s="257"/>
      <c r="G52" s="256"/>
      <c r="H52" s="258"/>
      <c r="K52" s="122"/>
      <c r="L52" s="123"/>
      <c r="M52" s="123"/>
      <c r="N52" s="125"/>
      <c r="O52" s="126"/>
    </row>
    <row r="53" spans="1:15" ht="21.75">
      <c r="A53" s="255"/>
      <c r="B53" s="256"/>
      <c r="C53" s="256"/>
      <c r="D53" s="256"/>
      <c r="E53" s="256"/>
      <c r="F53" s="257"/>
      <c r="G53" s="256"/>
      <c r="H53" s="258"/>
      <c r="K53" s="122"/>
      <c r="L53" s="123"/>
      <c r="M53" s="123"/>
      <c r="N53" s="125"/>
      <c r="O53" s="126"/>
    </row>
    <row r="54" spans="1:15" s="263" customFormat="1" ht="21.75">
      <c r="A54" s="259"/>
      <c r="B54" s="260"/>
      <c r="C54" s="260"/>
      <c r="D54" s="260"/>
      <c r="E54" s="260"/>
      <c r="F54" s="260"/>
      <c r="G54" s="261">
        <f>SUM(G43:G53)</f>
        <v>3300000</v>
      </c>
      <c r="H54" s="262">
        <f>SUM(H43:H53)</f>
        <v>0</v>
      </c>
      <c r="J54" s="264"/>
      <c r="K54" s="265"/>
      <c r="L54" s="266"/>
      <c r="M54" s="266"/>
      <c r="N54" s="267"/>
      <c r="O54" s="268"/>
    </row>
    <row r="55" spans="1:15" ht="21.75">
      <c r="K55" s="122"/>
      <c r="L55" s="123"/>
      <c r="M55" s="123"/>
      <c r="N55" s="125"/>
      <c r="O55" s="126"/>
    </row>
    <row r="56" spans="1:15" ht="21.75">
      <c r="K56" s="122"/>
      <c r="L56" s="123"/>
      <c r="M56" s="123"/>
      <c r="N56" s="125"/>
      <c r="O56" s="126"/>
    </row>
    <row r="57" spans="1:15" ht="21.75">
      <c r="K57" s="122"/>
      <c r="L57" s="123"/>
      <c r="M57" s="123"/>
      <c r="N57" s="125"/>
      <c r="O57" s="126"/>
    </row>
    <row r="58" spans="1:15" ht="21.75">
      <c r="K58" s="122"/>
      <c r="L58" s="123"/>
      <c r="M58" s="123"/>
      <c r="N58" s="125"/>
      <c r="O58" s="126"/>
    </row>
    <row r="59" spans="1:15" ht="21.75">
      <c r="K59" s="122"/>
      <c r="L59" s="123"/>
      <c r="M59" s="123"/>
      <c r="N59" s="125"/>
      <c r="O59" s="126"/>
    </row>
    <row r="60" spans="1:15" ht="21.75">
      <c r="K60" s="139"/>
      <c r="L60" s="140"/>
      <c r="M60" s="140"/>
      <c r="N60" s="141"/>
      <c r="O60" s="142"/>
    </row>
  </sheetData>
  <mergeCells count="24">
    <mergeCell ref="A2:H2"/>
    <mergeCell ref="K2:N2"/>
    <mergeCell ref="A3:A4"/>
    <mergeCell ref="B3:B4"/>
    <mergeCell ref="C3:C4"/>
    <mergeCell ref="D3:D4"/>
    <mergeCell ref="E3:E4"/>
    <mergeCell ref="F3:F4"/>
    <mergeCell ref="G3:G4"/>
    <mergeCell ref="K3:K4"/>
    <mergeCell ref="M3:M4"/>
    <mergeCell ref="N3:N4"/>
    <mergeCell ref="A28:H28"/>
    <mergeCell ref="A42:H42"/>
    <mergeCell ref="L3:L4"/>
    <mergeCell ref="O3:O4"/>
    <mergeCell ref="A15:H15"/>
    <mergeCell ref="A16:A17"/>
    <mergeCell ref="B16:B17"/>
    <mergeCell ref="C16:C17"/>
    <mergeCell ref="D16:D17"/>
    <mergeCell ref="E16:E17"/>
    <mergeCell ref="F16:F17"/>
    <mergeCell ref="G16:G17"/>
  </mergeCells>
  <hyperlinks>
    <hyperlink ref="A1" location="Name!A1" display="Name!A1" xr:uid="{27516843-B473-41F9-AD6A-A016B7F3F10E}"/>
  </hyperlinks>
  <pageMargins left="0.7" right="0.7" top="0.75" bottom="0.75" header="0.3" footer="0.3"/>
  <pageSetup paperSize="9"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FC22-1DBA-41EB-848B-D3130721BF5C}">
  <dimension ref="A1:O99"/>
  <sheetViews>
    <sheetView workbookViewId="0"/>
  </sheetViews>
  <sheetFormatPr defaultColWidth="9.140625" defaultRowHeight="18"/>
  <cols>
    <col min="1" max="1" width="6.140625" style="51" customWidth="1"/>
    <col min="2" max="2" width="15.42578125" style="51" customWidth="1"/>
    <col min="3" max="3" width="30.7109375" style="51" customWidth="1"/>
    <col min="4" max="4" width="12.28515625" style="51" customWidth="1"/>
    <col min="5" max="5" width="28.7109375" style="51" customWidth="1"/>
    <col min="6" max="6" width="15.140625" style="51" customWidth="1"/>
    <col min="7" max="7" width="16.140625" style="51" customWidth="1"/>
    <col min="8" max="8" width="18.42578125" style="51" customWidth="1"/>
    <col min="9" max="9" width="15" style="51" customWidth="1"/>
    <col min="10" max="10" width="5" style="193" customWidth="1"/>
    <col min="11" max="12" width="9.140625" style="51"/>
    <col min="13" max="13" width="39.5703125" style="51" customWidth="1"/>
    <col min="14" max="14" width="15.42578125" style="104" customWidth="1"/>
    <col min="15" max="15" width="17.5703125" style="51" customWidth="1"/>
    <col min="16" max="16384" width="9.140625" style="51"/>
  </cols>
  <sheetData>
    <row r="1" spans="1:15">
      <c r="A1" s="411" t="s">
        <v>648</v>
      </c>
    </row>
    <row r="2" spans="1:15" ht="21.75">
      <c r="A2" s="644" t="s">
        <v>3593</v>
      </c>
      <c r="B2" s="644"/>
      <c r="C2" s="644"/>
      <c r="D2" s="644"/>
      <c r="E2" s="644"/>
      <c r="F2" s="644"/>
      <c r="G2" s="644"/>
      <c r="H2" s="644"/>
      <c r="K2" s="122"/>
      <c r="L2" s="123"/>
      <c r="M2" s="123"/>
      <c r="N2" s="125"/>
      <c r="O2" s="126"/>
    </row>
    <row r="3" spans="1:15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  <c r="K3" s="122"/>
      <c r="L3" s="123"/>
      <c r="M3" s="123"/>
      <c r="N3" s="125"/>
      <c r="O3" s="126"/>
    </row>
    <row r="4" spans="1:15" ht="21.75">
      <c r="A4" s="655"/>
      <c r="B4" s="660"/>
      <c r="C4" s="660"/>
      <c r="D4" s="660"/>
      <c r="E4" s="710"/>
      <c r="F4" s="660"/>
      <c r="G4" s="660"/>
      <c r="H4" s="202" t="s">
        <v>660</v>
      </c>
      <c r="K4" s="122"/>
      <c r="L4" s="123"/>
      <c r="M4" s="123"/>
      <c r="N4" s="125"/>
      <c r="O4" s="126"/>
    </row>
    <row r="5" spans="1:15" ht="21.75">
      <c r="A5" s="203">
        <v>1</v>
      </c>
      <c r="B5" s="204" t="s">
        <v>152</v>
      </c>
      <c r="C5" s="205" t="s">
        <v>234</v>
      </c>
      <c r="D5" s="204" t="s">
        <v>3594</v>
      </c>
      <c r="E5" s="206" t="s">
        <v>703</v>
      </c>
      <c r="F5" s="207" t="s">
        <v>3595</v>
      </c>
      <c r="G5" s="208" t="s">
        <v>3596</v>
      </c>
      <c r="H5" s="209">
        <v>500000</v>
      </c>
      <c r="K5" s="122"/>
      <c r="L5" s="123"/>
      <c r="M5" s="123"/>
      <c r="N5" s="125"/>
      <c r="O5" s="126"/>
    </row>
    <row r="6" spans="1:15" ht="21.75">
      <c r="A6" s="203"/>
      <c r="B6" s="204"/>
      <c r="C6" s="204"/>
      <c r="D6" s="204"/>
      <c r="E6" s="208" t="s">
        <v>3597</v>
      </c>
      <c r="F6" s="207" t="s">
        <v>3595</v>
      </c>
      <c r="G6" s="208" t="s">
        <v>3596</v>
      </c>
      <c r="H6" s="209">
        <v>1000000</v>
      </c>
      <c r="K6" s="122"/>
      <c r="L6" s="123"/>
      <c r="M6" s="123"/>
      <c r="N6" s="125"/>
      <c r="O6" s="126"/>
    </row>
    <row r="7" spans="1:15" ht="21.75">
      <c r="A7" s="203"/>
      <c r="B7" s="204"/>
      <c r="C7" s="204"/>
      <c r="D7" s="204"/>
      <c r="E7" s="208" t="s">
        <v>3598</v>
      </c>
      <c r="F7" s="207" t="s">
        <v>3599</v>
      </c>
      <c r="G7" s="208" t="s">
        <v>3600</v>
      </c>
      <c r="H7" s="209">
        <v>1000000</v>
      </c>
      <c r="K7" s="122"/>
      <c r="L7" s="123"/>
      <c r="M7" s="123"/>
      <c r="N7" s="125"/>
      <c r="O7" s="126"/>
    </row>
    <row r="8" spans="1:15" ht="21.75">
      <c r="A8" s="203"/>
      <c r="B8" s="204"/>
      <c r="C8" s="204"/>
      <c r="D8" s="204"/>
      <c r="E8" s="208" t="s">
        <v>1006</v>
      </c>
      <c r="F8" s="207" t="s">
        <v>3599</v>
      </c>
      <c r="G8" s="208" t="s">
        <v>3600</v>
      </c>
      <c r="H8" s="209">
        <v>-250000</v>
      </c>
      <c r="K8" s="122"/>
      <c r="L8" s="123"/>
      <c r="M8" s="123"/>
      <c r="N8" s="125"/>
      <c r="O8" s="126"/>
    </row>
    <row r="9" spans="1:15" ht="21.75">
      <c r="A9" s="203"/>
      <c r="B9" s="204"/>
      <c r="C9" s="204"/>
      <c r="D9" s="204"/>
      <c r="E9" s="208" t="s">
        <v>3601</v>
      </c>
      <c r="F9" s="207" t="s">
        <v>3602</v>
      </c>
      <c r="G9" s="208" t="s">
        <v>3603</v>
      </c>
      <c r="H9" s="209">
        <v>1000000</v>
      </c>
      <c r="K9" s="122"/>
      <c r="L9" s="123"/>
      <c r="M9" s="123"/>
      <c r="N9" s="125"/>
      <c r="O9" s="126"/>
    </row>
    <row r="10" spans="1:15" ht="21.75">
      <c r="A10" s="203"/>
      <c r="B10" s="204"/>
      <c r="C10" s="204"/>
      <c r="D10" s="204"/>
      <c r="E10" s="208" t="s">
        <v>3604</v>
      </c>
      <c r="F10" s="207" t="s">
        <v>3605</v>
      </c>
      <c r="G10" s="208" t="s">
        <v>3606</v>
      </c>
      <c r="H10" s="209">
        <v>1500000</v>
      </c>
      <c r="K10" s="122"/>
      <c r="L10" s="123"/>
      <c r="M10" s="123"/>
      <c r="N10" s="125"/>
      <c r="O10" s="126"/>
    </row>
    <row r="11" spans="1:15" ht="21.75">
      <c r="A11" s="122"/>
      <c r="B11" s="123"/>
      <c r="C11" s="123"/>
      <c r="D11" s="123"/>
      <c r="E11" s="123" t="s">
        <v>3607</v>
      </c>
      <c r="F11" s="207" t="s">
        <v>3608</v>
      </c>
      <c r="G11" s="204" t="s">
        <v>3609</v>
      </c>
      <c r="H11" s="209">
        <v>1500000</v>
      </c>
      <c r="K11" s="122"/>
      <c r="L11" s="123"/>
      <c r="M11" s="123"/>
      <c r="N11" s="125"/>
      <c r="O11" s="126"/>
    </row>
    <row r="12" spans="1:15" ht="21.75">
      <c r="A12" s="66"/>
      <c r="B12" s="68"/>
      <c r="C12" s="68"/>
      <c r="D12" s="68"/>
      <c r="E12" s="68"/>
      <c r="F12" s="68"/>
      <c r="G12" s="68"/>
      <c r="H12" s="126"/>
      <c r="K12" s="122"/>
      <c r="L12" s="123"/>
      <c r="M12" s="123"/>
      <c r="N12" s="125"/>
      <c r="O12" s="126"/>
    </row>
    <row r="13" spans="1:15" ht="21.75">
      <c r="A13" s="66"/>
      <c r="B13" s="68"/>
      <c r="C13" s="68"/>
      <c r="D13" s="68"/>
      <c r="E13" s="68"/>
      <c r="F13" s="68"/>
      <c r="G13" s="68"/>
      <c r="H13" s="126"/>
      <c r="K13" s="139"/>
      <c r="L13" s="140"/>
      <c r="M13" s="140"/>
      <c r="N13" s="141"/>
      <c r="O13" s="142"/>
    </row>
    <row r="14" spans="1:15" s="143" customFormat="1" ht="21.75">
      <c r="A14" s="248"/>
      <c r="B14" s="249"/>
      <c r="C14" s="249"/>
      <c r="D14" s="249"/>
      <c r="E14" s="249"/>
      <c r="F14" s="249"/>
      <c r="G14" s="249"/>
      <c r="H14" s="250">
        <f>SUM(H5:H13)</f>
        <v>6250000</v>
      </c>
      <c r="J14" s="169"/>
      <c r="N14" s="251"/>
    </row>
    <row r="15" spans="1:15" ht="21.75">
      <c r="A15" s="644" t="s">
        <v>2494</v>
      </c>
      <c r="B15" s="644"/>
      <c r="C15" s="644"/>
      <c r="D15" s="644"/>
      <c r="E15" s="644"/>
      <c r="F15" s="644"/>
      <c r="G15" s="644"/>
      <c r="H15" s="644"/>
    </row>
    <row r="16" spans="1:15" ht="21.75">
      <c r="A16" s="654" t="s">
        <v>653</v>
      </c>
      <c r="B16" s="659" t="s">
        <v>654</v>
      </c>
      <c r="C16" s="661" t="s">
        <v>655</v>
      </c>
      <c r="D16" s="661" t="s">
        <v>12</v>
      </c>
      <c r="E16" s="659" t="s">
        <v>656</v>
      </c>
      <c r="F16" s="661" t="s">
        <v>657</v>
      </c>
      <c r="G16" s="659" t="s">
        <v>658</v>
      </c>
      <c r="H16" s="201" t="s">
        <v>659</v>
      </c>
    </row>
    <row r="17" spans="1:9" ht="21.75">
      <c r="A17" s="655"/>
      <c r="B17" s="660"/>
      <c r="C17" s="660"/>
      <c r="D17" s="660"/>
      <c r="E17" s="710"/>
      <c r="F17" s="660"/>
      <c r="G17" s="660"/>
      <c r="H17" s="202" t="s">
        <v>660</v>
      </c>
    </row>
    <row r="18" spans="1:9" ht="21.75">
      <c r="A18" s="203">
        <v>1</v>
      </c>
      <c r="B18" s="204" t="s">
        <v>152</v>
      </c>
      <c r="C18" s="205" t="s">
        <v>234</v>
      </c>
      <c r="D18" s="204" t="s">
        <v>3594</v>
      </c>
      <c r="E18" s="206" t="s">
        <v>703</v>
      </c>
      <c r="F18" s="207" t="s">
        <v>3610</v>
      </c>
      <c r="G18" s="208" t="s">
        <v>1879</v>
      </c>
      <c r="H18" s="209">
        <v>500000</v>
      </c>
      <c r="I18" s="51" t="s">
        <v>3611</v>
      </c>
    </row>
    <row r="19" spans="1:9" ht="21.75">
      <c r="A19" s="203"/>
      <c r="B19" s="204"/>
      <c r="C19" s="204"/>
      <c r="D19" s="204"/>
      <c r="E19" s="208" t="s">
        <v>3612</v>
      </c>
      <c r="F19" s="207" t="s">
        <v>3610</v>
      </c>
      <c r="G19" s="208" t="s">
        <v>1879</v>
      </c>
      <c r="H19" s="209">
        <v>500000</v>
      </c>
      <c r="I19" s="51" t="s">
        <v>3613</v>
      </c>
    </row>
    <row r="20" spans="1:9" ht="21.75">
      <c r="A20" s="203"/>
      <c r="B20" s="204"/>
      <c r="C20" s="204"/>
      <c r="D20" s="204"/>
      <c r="E20" s="208" t="s">
        <v>3614</v>
      </c>
      <c r="F20" s="207" t="s">
        <v>3615</v>
      </c>
      <c r="G20" s="208" t="s">
        <v>3616</v>
      </c>
      <c r="H20" s="209">
        <v>500000</v>
      </c>
      <c r="I20" s="51" t="s">
        <v>2337</v>
      </c>
    </row>
    <row r="21" spans="1:9" ht="21.75">
      <c r="A21" s="203"/>
      <c r="B21" s="204"/>
      <c r="C21" s="204"/>
      <c r="D21" s="204"/>
      <c r="E21" s="208"/>
      <c r="F21" s="207"/>
      <c r="G21" s="208"/>
      <c r="H21" s="209"/>
    </row>
    <row r="22" spans="1:9" ht="21.75">
      <c r="A22" s="203"/>
      <c r="B22" s="204"/>
      <c r="C22" s="204"/>
      <c r="D22" s="204"/>
      <c r="E22" s="208"/>
      <c r="F22" s="207"/>
      <c r="G22" s="208"/>
      <c r="H22" s="209"/>
    </row>
    <row r="23" spans="1:9" ht="21.75">
      <c r="A23" s="203"/>
      <c r="B23" s="204"/>
      <c r="C23" s="204"/>
      <c r="D23" s="204"/>
      <c r="E23" s="208"/>
      <c r="F23" s="207"/>
      <c r="G23" s="208"/>
      <c r="H23" s="209"/>
    </row>
    <row r="24" spans="1:9" ht="21.75">
      <c r="A24" s="122"/>
      <c r="B24" s="123"/>
      <c r="C24" s="123"/>
      <c r="D24" s="123"/>
      <c r="E24" s="123"/>
      <c r="F24" s="252"/>
      <c r="G24" s="123"/>
      <c r="H24" s="209"/>
    </row>
    <row r="25" spans="1:9">
      <c r="A25" s="66"/>
      <c r="B25" s="68"/>
      <c r="C25" s="68"/>
      <c r="D25" s="68"/>
      <c r="E25" s="68"/>
      <c r="F25" s="68"/>
      <c r="G25" s="68"/>
      <c r="H25" s="126"/>
    </row>
    <row r="26" spans="1:9">
      <c r="A26" s="66"/>
      <c r="B26" s="68"/>
      <c r="C26" s="68"/>
      <c r="D26" s="68"/>
      <c r="E26" s="68"/>
      <c r="F26" s="68"/>
      <c r="G26" s="68"/>
      <c r="H26" s="126"/>
    </row>
    <row r="27" spans="1:9" ht="21.75">
      <c r="A27" s="248"/>
      <c r="B27" s="249"/>
      <c r="C27" s="249"/>
      <c r="D27" s="249"/>
      <c r="E27" s="249"/>
      <c r="F27" s="249"/>
      <c r="G27" s="249"/>
      <c r="H27" s="250">
        <f>SUM(H18:H26)</f>
        <v>1500000</v>
      </c>
    </row>
    <row r="28" spans="1:9" ht="21.75">
      <c r="A28" s="644" t="s">
        <v>2833</v>
      </c>
      <c r="B28" s="644"/>
      <c r="C28" s="644"/>
      <c r="D28" s="644"/>
      <c r="E28" s="644"/>
      <c r="F28" s="644"/>
      <c r="G28" s="644"/>
      <c r="H28" s="644"/>
    </row>
    <row r="29" spans="1:9" ht="21.75">
      <c r="A29" s="654" t="s">
        <v>653</v>
      </c>
      <c r="B29" s="659" t="s">
        <v>654</v>
      </c>
      <c r="C29" s="661" t="s">
        <v>655</v>
      </c>
      <c r="D29" s="661" t="s">
        <v>12</v>
      </c>
      <c r="E29" s="659" t="s">
        <v>656</v>
      </c>
      <c r="F29" s="661" t="s">
        <v>657</v>
      </c>
      <c r="G29" s="659" t="s">
        <v>658</v>
      </c>
      <c r="H29" s="201" t="s">
        <v>659</v>
      </c>
    </row>
    <row r="30" spans="1:9" ht="21.75">
      <c r="A30" s="655"/>
      <c r="B30" s="660"/>
      <c r="C30" s="660"/>
      <c r="D30" s="660"/>
      <c r="E30" s="710"/>
      <c r="F30" s="660"/>
      <c r="G30" s="660"/>
      <c r="H30" s="202" t="s">
        <v>660</v>
      </c>
    </row>
    <row r="31" spans="1:9" ht="21.75">
      <c r="A31" s="203">
        <v>1</v>
      </c>
      <c r="B31" s="204" t="s">
        <v>152</v>
      </c>
      <c r="C31" s="205" t="s">
        <v>234</v>
      </c>
      <c r="D31" s="204" t="s">
        <v>3594</v>
      </c>
      <c r="E31" s="206" t="s">
        <v>703</v>
      </c>
      <c r="F31" s="207"/>
      <c r="G31" s="208" t="s">
        <v>3617</v>
      </c>
      <c r="H31" s="209">
        <v>500000</v>
      </c>
    </row>
    <row r="32" spans="1:9" ht="21.75">
      <c r="A32" s="203"/>
      <c r="B32" s="204"/>
      <c r="C32" s="204"/>
      <c r="D32" s="204"/>
      <c r="E32" s="208" t="s">
        <v>3618</v>
      </c>
      <c r="F32" s="207"/>
      <c r="G32" s="208" t="s">
        <v>3617</v>
      </c>
      <c r="H32" s="209">
        <v>500000</v>
      </c>
    </row>
    <row r="33" spans="1:9" ht="21.75">
      <c r="A33" s="203"/>
      <c r="B33" s="204"/>
      <c r="C33" s="204"/>
      <c r="D33" s="204"/>
      <c r="E33" s="208"/>
      <c r="F33" s="207"/>
      <c r="G33" s="208"/>
      <c r="H33" s="209"/>
    </row>
    <row r="34" spans="1:9" ht="21.75">
      <c r="A34" s="203"/>
      <c r="B34" s="204"/>
      <c r="C34" s="204"/>
      <c r="D34" s="204"/>
      <c r="E34" s="208"/>
      <c r="F34" s="207"/>
      <c r="G34" s="208"/>
      <c r="H34" s="209"/>
    </row>
    <row r="35" spans="1:9" ht="21.75">
      <c r="A35" s="203"/>
      <c r="B35" s="204"/>
      <c r="C35" s="204"/>
      <c r="D35" s="204"/>
      <c r="E35" s="208"/>
      <c r="F35" s="207"/>
      <c r="G35" s="208"/>
      <c r="H35" s="209"/>
    </row>
    <row r="36" spans="1:9" ht="21.75">
      <c r="A36" s="203"/>
      <c r="B36" s="204"/>
      <c r="C36" s="204"/>
      <c r="D36" s="204"/>
      <c r="E36" s="208"/>
      <c r="F36" s="207"/>
      <c r="G36" s="208"/>
      <c r="H36" s="209"/>
    </row>
    <row r="37" spans="1:9" ht="21.75">
      <c r="A37" s="122"/>
      <c r="B37" s="123"/>
      <c r="C37" s="123"/>
      <c r="D37" s="123"/>
      <c r="E37" s="123"/>
      <c r="F37" s="252"/>
      <c r="G37" s="123"/>
      <c r="H37" s="209"/>
    </row>
    <row r="38" spans="1:9">
      <c r="A38" s="66"/>
      <c r="B38" s="68"/>
      <c r="C38" s="68"/>
      <c r="D38" s="68"/>
      <c r="E38" s="68"/>
      <c r="F38" s="68"/>
      <c r="G38" s="68"/>
      <c r="H38" s="126"/>
    </row>
    <row r="39" spans="1:9">
      <c r="A39" s="66"/>
      <c r="B39" s="68"/>
      <c r="C39" s="68"/>
      <c r="D39" s="68"/>
      <c r="E39" s="68"/>
      <c r="F39" s="68"/>
      <c r="G39" s="68"/>
      <c r="H39" s="126"/>
    </row>
    <row r="40" spans="1:9" ht="21.75">
      <c r="A40" s="248"/>
      <c r="B40" s="249"/>
      <c r="C40" s="249"/>
      <c r="D40" s="249"/>
      <c r="E40" s="249"/>
      <c r="F40" s="249"/>
      <c r="G40" s="249"/>
      <c r="H40" s="250">
        <f>SUM(H31:H39)</f>
        <v>1000000</v>
      </c>
    </row>
    <row r="42" spans="1:9" ht="21.75">
      <c r="A42" s="644" t="s">
        <v>3619</v>
      </c>
      <c r="B42" s="644"/>
      <c r="C42" s="644"/>
      <c r="D42" s="644"/>
      <c r="E42" s="644"/>
      <c r="F42" s="644"/>
      <c r="G42" s="644"/>
      <c r="H42" s="644"/>
    </row>
    <row r="43" spans="1:9" ht="21.75">
      <c r="A43" s="654" t="s">
        <v>653</v>
      </c>
      <c r="B43" s="659" t="s">
        <v>654</v>
      </c>
      <c r="C43" s="661" t="s">
        <v>655</v>
      </c>
      <c r="D43" s="661" t="s">
        <v>12</v>
      </c>
      <c r="E43" s="659" t="s">
        <v>656</v>
      </c>
      <c r="F43" s="661" t="s">
        <v>657</v>
      </c>
      <c r="G43" s="659" t="s">
        <v>658</v>
      </c>
      <c r="H43" s="201" t="s">
        <v>659</v>
      </c>
    </row>
    <row r="44" spans="1:9" ht="21.75">
      <c r="A44" s="655"/>
      <c r="B44" s="660"/>
      <c r="C44" s="660"/>
      <c r="D44" s="660"/>
      <c r="E44" s="710"/>
      <c r="F44" s="660"/>
      <c r="G44" s="660"/>
      <c r="H44" s="202" t="s">
        <v>660</v>
      </c>
    </row>
    <row r="45" spans="1:9" ht="21.75">
      <c r="A45" s="203">
        <v>1</v>
      </c>
      <c r="B45" s="204" t="s">
        <v>152</v>
      </c>
      <c r="C45" s="205" t="s">
        <v>234</v>
      </c>
      <c r="D45" s="204" t="s">
        <v>3594</v>
      </c>
      <c r="E45" s="206" t="s">
        <v>3620</v>
      </c>
      <c r="F45" s="207" t="s">
        <v>3621</v>
      </c>
      <c r="G45" s="208" t="s">
        <v>3622</v>
      </c>
      <c r="H45" s="209">
        <v>500000</v>
      </c>
    </row>
    <row r="46" spans="1:9" ht="21.75">
      <c r="A46" s="203"/>
      <c r="B46" s="204"/>
      <c r="C46" s="204"/>
      <c r="D46" s="204"/>
      <c r="E46" s="208" t="s">
        <v>3623</v>
      </c>
      <c r="F46" s="207"/>
      <c r="G46" s="208" t="s">
        <v>3624</v>
      </c>
      <c r="H46" s="209">
        <v>30000</v>
      </c>
      <c r="I46" s="51" t="s">
        <v>3625</v>
      </c>
    </row>
    <row r="47" spans="1:9" ht="21.75">
      <c r="A47" s="203"/>
      <c r="B47" s="204"/>
      <c r="C47" s="204"/>
      <c r="D47" s="204"/>
      <c r="E47" s="208"/>
      <c r="F47" s="207"/>
      <c r="G47" s="208"/>
      <c r="H47" s="209"/>
    </row>
    <row r="48" spans="1:9" ht="21.75">
      <c r="A48" s="203"/>
      <c r="B48" s="204"/>
      <c r="C48" s="204"/>
      <c r="D48" s="204"/>
      <c r="E48" s="208"/>
      <c r="F48" s="207"/>
      <c r="G48" s="208"/>
      <c r="H48" s="209"/>
    </row>
    <row r="49" spans="1:8" ht="21.75">
      <c r="A49" s="203"/>
      <c r="B49" s="204"/>
      <c r="C49" s="204"/>
      <c r="D49" s="204"/>
      <c r="E49" s="208"/>
      <c r="F49" s="207"/>
      <c r="G49" s="208"/>
      <c r="H49" s="209"/>
    </row>
    <row r="50" spans="1:8" ht="21.75">
      <c r="A50" s="203"/>
      <c r="B50" s="204"/>
      <c r="C50" s="204"/>
      <c r="D50" s="204"/>
      <c r="E50" s="208"/>
      <c r="F50" s="207"/>
      <c r="G50" s="208"/>
      <c r="H50" s="209"/>
    </row>
    <row r="51" spans="1:8" ht="21.75">
      <c r="A51" s="122"/>
      <c r="B51" s="123"/>
      <c r="C51" s="123"/>
      <c r="D51" s="123"/>
      <c r="E51" s="123"/>
      <c r="F51" s="252"/>
      <c r="G51" s="123"/>
      <c r="H51" s="209"/>
    </row>
    <row r="52" spans="1:8">
      <c r="A52" s="66"/>
      <c r="B52" s="68"/>
      <c r="C52" s="68"/>
      <c r="D52" s="68"/>
      <c r="E52" s="68"/>
      <c r="F52" s="68"/>
      <c r="G52" s="68"/>
      <c r="H52" s="126"/>
    </row>
    <row r="53" spans="1:8">
      <c r="A53" s="66"/>
      <c r="B53" s="68"/>
      <c r="C53" s="68"/>
      <c r="D53" s="68"/>
      <c r="E53" s="68"/>
      <c r="F53" s="68"/>
      <c r="G53" s="68"/>
      <c r="H53" s="126"/>
    </row>
    <row r="54" spans="1:8" ht="21.75">
      <c r="A54" s="248"/>
      <c r="B54" s="249"/>
      <c r="C54" s="249"/>
      <c r="D54" s="249"/>
      <c r="E54" s="249"/>
      <c r="F54" s="249"/>
      <c r="G54" s="249"/>
      <c r="H54" s="250">
        <f>SUM(H45:H53)</f>
        <v>530000</v>
      </c>
    </row>
    <row r="55" spans="1:8" ht="21.75">
      <c r="A55" s="644" t="s">
        <v>2833</v>
      </c>
      <c r="B55" s="644"/>
      <c r="C55" s="644"/>
      <c r="D55" s="644"/>
      <c r="E55" s="644"/>
      <c r="F55" s="644"/>
      <c r="G55" s="644"/>
      <c r="H55" s="644"/>
    </row>
    <row r="56" spans="1:8" ht="21.75">
      <c r="A56" s="654" t="s">
        <v>653</v>
      </c>
      <c r="B56" s="659" t="s">
        <v>654</v>
      </c>
      <c r="C56" s="661" t="s">
        <v>655</v>
      </c>
      <c r="D56" s="661" t="s">
        <v>12</v>
      </c>
      <c r="E56" s="659" t="s">
        <v>656</v>
      </c>
      <c r="F56" s="661" t="s">
        <v>657</v>
      </c>
      <c r="G56" s="659" t="s">
        <v>658</v>
      </c>
      <c r="H56" s="201" t="s">
        <v>659</v>
      </c>
    </row>
    <row r="57" spans="1:8" ht="21.75">
      <c r="A57" s="655"/>
      <c r="B57" s="660"/>
      <c r="C57" s="660"/>
      <c r="D57" s="660"/>
      <c r="E57" s="710"/>
      <c r="F57" s="660"/>
      <c r="G57" s="660"/>
      <c r="H57" s="202" t="s">
        <v>660</v>
      </c>
    </row>
    <row r="58" spans="1:8" ht="21.75">
      <c r="A58" s="203">
        <v>1</v>
      </c>
      <c r="B58" s="204" t="s">
        <v>152</v>
      </c>
      <c r="C58" s="205" t="s">
        <v>234</v>
      </c>
      <c r="D58" s="204" t="s">
        <v>3594</v>
      </c>
      <c r="E58" s="206" t="s">
        <v>3626</v>
      </c>
      <c r="F58" s="207" t="s">
        <v>3627</v>
      </c>
      <c r="G58" s="208" t="s">
        <v>3628</v>
      </c>
      <c r="H58" s="209">
        <v>500000</v>
      </c>
    </row>
    <row r="59" spans="1:8" ht="21.75">
      <c r="A59" s="203"/>
      <c r="B59" s="204"/>
      <c r="C59" s="204"/>
      <c r="D59" s="204"/>
      <c r="E59" s="208"/>
      <c r="F59" s="207"/>
      <c r="G59" s="208"/>
      <c r="H59" s="209"/>
    </row>
    <row r="60" spans="1:8" ht="21.75">
      <c r="A60" s="203"/>
      <c r="B60" s="204"/>
      <c r="C60" s="204"/>
      <c r="D60" s="204"/>
      <c r="E60" s="208"/>
      <c r="F60" s="207"/>
      <c r="G60" s="208"/>
      <c r="H60" s="209"/>
    </row>
    <row r="61" spans="1:8" ht="21.75">
      <c r="A61" s="203"/>
      <c r="B61" s="204"/>
      <c r="C61" s="204"/>
      <c r="D61" s="204"/>
      <c r="E61" s="208"/>
      <c r="F61" s="207"/>
      <c r="G61" s="208"/>
      <c r="H61" s="209"/>
    </row>
    <row r="62" spans="1:8" ht="21.75">
      <c r="A62" s="203"/>
      <c r="B62" s="204"/>
      <c r="C62" s="204"/>
      <c r="D62" s="204"/>
      <c r="E62" s="208"/>
      <c r="F62" s="207"/>
      <c r="G62" s="208"/>
      <c r="H62" s="209"/>
    </row>
    <row r="63" spans="1:8" ht="21.75">
      <c r="A63" s="203"/>
      <c r="B63" s="204"/>
      <c r="C63" s="204"/>
      <c r="D63" s="204"/>
      <c r="E63" s="208"/>
      <c r="F63" s="207"/>
      <c r="G63" s="208"/>
      <c r="H63" s="209"/>
    </row>
    <row r="64" spans="1:8" ht="21.75">
      <c r="A64" s="122"/>
      <c r="B64" s="123"/>
      <c r="C64" s="123"/>
      <c r="D64" s="123"/>
      <c r="E64" s="123"/>
      <c r="F64" s="252"/>
      <c r="G64" s="123"/>
      <c r="H64" s="209"/>
    </row>
    <row r="65" spans="1:9">
      <c r="A65" s="66"/>
      <c r="B65" s="68"/>
      <c r="C65" s="68"/>
      <c r="D65" s="68"/>
      <c r="E65" s="68"/>
      <c r="F65" s="68"/>
      <c r="G65" s="68"/>
      <c r="H65" s="126"/>
    </row>
    <row r="66" spans="1:9">
      <c r="A66" s="66"/>
      <c r="B66" s="68"/>
      <c r="C66" s="68"/>
      <c r="D66" s="68"/>
      <c r="E66" s="68"/>
      <c r="F66" s="68"/>
      <c r="G66" s="68"/>
      <c r="H66" s="126"/>
    </row>
    <row r="67" spans="1:9" ht="21.75">
      <c r="A67" s="248"/>
      <c r="B67" s="249"/>
      <c r="C67" s="249"/>
      <c r="D67" s="249"/>
      <c r="E67" s="249"/>
      <c r="F67" s="249"/>
      <c r="G67" s="249"/>
      <c r="H67" s="250">
        <f>SUM(H58:H66)</f>
        <v>500000</v>
      </c>
    </row>
    <row r="69" spans="1:9" ht="21.75">
      <c r="A69" s="644" t="s">
        <v>3629</v>
      </c>
      <c r="B69" s="644"/>
      <c r="C69" s="644"/>
      <c r="D69" s="644"/>
      <c r="E69" s="644"/>
      <c r="F69" s="644"/>
      <c r="G69" s="644"/>
      <c r="H69" s="644"/>
    </row>
    <row r="70" spans="1:9" ht="21.75">
      <c r="A70" s="654" t="s">
        <v>653</v>
      </c>
      <c r="B70" s="659" t="s">
        <v>654</v>
      </c>
      <c r="C70" s="661" t="s">
        <v>655</v>
      </c>
      <c r="D70" s="661" t="s">
        <v>12</v>
      </c>
      <c r="E70" s="659" t="s">
        <v>656</v>
      </c>
      <c r="F70" s="661" t="s">
        <v>657</v>
      </c>
      <c r="G70" s="659" t="s">
        <v>658</v>
      </c>
      <c r="H70" s="201" t="s">
        <v>659</v>
      </c>
    </row>
    <row r="71" spans="1:9" ht="21.75">
      <c r="A71" s="655"/>
      <c r="B71" s="660"/>
      <c r="C71" s="660"/>
      <c r="D71" s="660"/>
      <c r="E71" s="710"/>
      <c r="F71" s="660"/>
      <c r="G71" s="660"/>
      <c r="H71" s="202" t="s">
        <v>660</v>
      </c>
    </row>
    <row r="72" spans="1:9" ht="21.75">
      <c r="A72" s="203">
        <v>1</v>
      </c>
      <c r="B72" s="204" t="s">
        <v>152</v>
      </c>
      <c r="C72" s="205" t="s">
        <v>234</v>
      </c>
      <c r="D72" s="204" t="s">
        <v>3594</v>
      </c>
      <c r="E72" s="206" t="s">
        <v>703</v>
      </c>
      <c r="F72" s="207"/>
      <c r="G72" s="208"/>
      <c r="H72" s="209">
        <v>500000</v>
      </c>
    </row>
    <row r="73" spans="1:9" ht="21.75">
      <c r="A73" s="203"/>
      <c r="B73" s="204"/>
      <c r="C73" s="204"/>
      <c r="D73" s="204"/>
      <c r="E73" s="208" t="s">
        <v>3618</v>
      </c>
      <c r="F73" s="207"/>
      <c r="G73" s="208"/>
      <c r="H73" s="209">
        <v>500000</v>
      </c>
    </row>
    <row r="74" spans="1:9" ht="21.75">
      <c r="A74" s="203"/>
      <c r="B74" s="204"/>
      <c r="C74" s="204"/>
      <c r="D74" s="204"/>
      <c r="E74" s="208" t="s">
        <v>3630</v>
      </c>
      <c r="F74" s="207"/>
      <c r="G74" s="208"/>
      <c r="H74" s="209">
        <v>1883300</v>
      </c>
    </row>
    <row r="75" spans="1:9" ht="21.75">
      <c r="A75" s="203"/>
      <c r="B75" s="204"/>
      <c r="C75" s="204"/>
      <c r="D75" s="204"/>
      <c r="E75" s="208" t="s">
        <v>1066</v>
      </c>
      <c r="F75" s="207"/>
      <c r="G75" s="208"/>
      <c r="H75" s="209">
        <v>-500000</v>
      </c>
    </row>
    <row r="76" spans="1:9" ht="21.75">
      <c r="A76" s="203"/>
      <c r="B76" s="204"/>
      <c r="C76" s="204"/>
      <c r="D76" s="204"/>
      <c r="E76" s="208"/>
      <c r="F76" s="207"/>
      <c r="G76" s="208"/>
      <c r="H76" s="209"/>
      <c r="I76" s="51" t="s">
        <v>3625</v>
      </c>
    </row>
    <row r="77" spans="1:9" ht="21.75">
      <c r="A77" s="203"/>
      <c r="B77" s="204"/>
      <c r="C77" s="204"/>
      <c r="D77" s="204"/>
      <c r="E77" s="208"/>
      <c r="F77" s="207"/>
      <c r="G77" s="208"/>
      <c r="H77" s="209"/>
    </row>
    <row r="78" spans="1:9" ht="21.75">
      <c r="A78" s="122"/>
      <c r="B78" s="123"/>
      <c r="C78" s="123"/>
      <c r="D78" s="123"/>
      <c r="E78" s="123"/>
      <c r="F78" s="252"/>
      <c r="G78" s="123"/>
      <c r="H78" s="209"/>
    </row>
    <row r="79" spans="1:9">
      <c r="A79" s="66"/>
      <c r="B79" s="68"/>
      <c r="C79" s="68"/>
      <c r="D79" s="68"/>
      <c r="E79" s="68"/>
      <c r="F79" s="68"/>
      <c r="G79" s="68"/>
      <c r="H79" s="126"/>
    </row>
    <row r="80" spans="1:9">
      <c r="A80" s="66"/>
      <c r="B80" s="68"/>
      <c r="C80" s="68"/>
      <c r="D80" s="68"/>
      <c r="E80" s="68"/>
      <c r="F80" s="68"/>
      <c r="G80" s="68"/>
      <c r="H80" s="126"/>
    </row>
    <row r="81" spans="1:9" ht="21.75">
      <c r="A81" s="248"/>
      <c r="B81" s="249"/>
      <c r="C81" s="249"/>
      <c r="D81" s="249"/>
      <c r="E81" s="249"/>
      <c r="F81" s="249"/>
      <c r="G81" s="249"/>
      <c r="H81" s="250">
        <f>SUM(H72:H80)</f>
        <v>2383300</v>
      </c>
    </row>
    <row r="82" spans="1:9" ht="21.6" customHeight="1">
      <c r="A82" s="644" t="s">
        <v>3631</v>
      </c>
      <c r="B82" s="644"/>
      <c r="C82" s="644"/>
      <c r="D82" s="644"/>
      <c r="E82" s="644"/>
      <c r="F82" s="644"/>
      <c r="G82" s="644"/>
      <c r="H82" s="644"/>
    </row>
    <row r="83" spans="1:9" ht="21.6" customHeight="1">
      <c r="A83" s="654" t="s">
        <v>653</v>
      </c>
      <c r="B83" s="659" t="s">
        <v>654</v>
      </c>
      <c r="C83" s="661" t="s">
        <v>655</v>
      </c>
      <c r="D83" s="661" t="s">
        <v>12</v>
      </c>
      <c r="E83" s="659" t="s">
        <v>656</v>
      </c>
      <c r="F83" s="661" t="s">
        <v>657</v>
      </c>
      <c r="G83" s="659" t="s">
        <v>658</v>
      </c>
      <c r="H83" s="201" t="s">
        <v>659</v>
      </c>
    </row>
    <row r="84" spans="1:9" ht="21.6" customHeight="1">
      <c r="A84" s="655"/>
      <c r="B84" s="660"/>
      <c r="C84" s="660"/>
      <c r="D84" s="660"/>
      <c r="E84" s="710"/>
      <c r="F84" s="660"/>
      <c r="G84" s="660"/>
      <c r="H84" s="202" t="s">
        <v>660</v>
      </c>
    </row>
    <row r="85" spans="1:9" ht="21.6" customHeight="1">
      <c r="A85" s="203">
        <v>1</v>
      </c>
      <c r="B85" s="204" t="s">
        <v>152</v>
      </c>
      <c r="C85" s="205" t="s">
        <v>234</v>
      </c>
      <c r="D85" s="204" t="s">
        <v>3594</v>
      </c>
      <c r="E85" s="206" t="s">
        <v>703</v>
      </c>
      <c r="F85" s="207" t="s">
        <v>3632</v>
      </c>
      <c r="G85" s="208" t="s">
        <v>3061</v>
      </c>
      <c r="H85" s="209">
        <v>500000</v>
      </c>
    </row>
    <row r="86" spans="1:9" ht="21.6" customHeight="1">
      <c r="A86" s="203"/>
      <c r="B86" s="204"/>
      <c r="C86" s="204"/>
      <c r="D86" s="204"/>
      <c r="E86" s="208" t="s">
        <v>3633</v>
      </c>
      <c r="F86" s="207" t="s">
        <v>3632</v>
      </c>
      <c r="G86" s="208" t="s">
        <v>3061</v>
      </c>
      <c r="H86" s="209">
        <v>500000</v>
      </c>
    </row>
    <row r="87" spans="1:9" ht="21.6" customHeight="1">
      <c r="A87" s="203"/>
      <c r="B87" s="204"/>
      <c r="C87" s="204"/>
      <c r="D87" s="204"/>
      <c r="E87" s="208" t="s">
        <v>3634</v>
      </c>
      <c r="F87" s="207" t="s">
        <v>3635</v>
      </c>
      <c r="G87" s="208" t="s">
        <v>3636</v>
      </c>
      <c r="H87" s="209">
        <v>500000</v>
      </c>
    </row>
    <row r="88" spans="1:9" ht="21.6" customHeight="1">
      <c r="A88" s="203"/>
      <c r="B88" s="204"/>
      <c r="C88" s="204"/>
      <c r="D88" s="204"/>
      <c r="E88" s="208" t="s">
        <v>3637</v>
      </c>
      <c r="F88" s="207" t="s">
        <v>3638</v>
      </c>
      <c r="G88" s="208" t="s">
        <v>2182</v>
      </c>
      <c r="H88" s="209">
        <v>1000000</v>
      </c>
      <c r="I88" s="51" t="s">
        <v>3639</v>
      </c>
    </row>
    <row r="89" spans="1:9" ht="21.6" customHeight="1">
      <c r="A89" s="203"/>
      <c r="B89" s="204"/>
      <c r="C89" s="204"/>
      <c r="D89" s="204"/>
      <c r="E89" s="208" t="s">
        <v>3640</v>
      </c>
      <c r="F89" s="207" t="s">
        <v>3641</v>
      </c>
      <c r="G89" s="208" t="s">
        <v>1353</v>
      </c>
      <c r="H89" s="209">
        <v>1600000</v>
      </c>
      <c r="I89" s="51" t="s">
        <v>3642</v>
      </c>
    </row>
    <row r="90" spans="1:9" ht="21.6" customHeight="1">
      <c r="A90" s="203"/>
      <c r="B90" s="204"/>
      <c r="C90" s="204"/>
      <c r="D90" s="204"/>
      <c r="E90" s="208" t="s">
        <v>3643</v>
      </c>
      <c r="F90" s="207" t="s">
        <v>3644</v>
      </c>
      <c r="G90" s="208" t="s">
        <v>2830</v>
      </c>
      <c r="H90" s="209">
        <v>1200000</v>
      </c>
    </row>
    <row r="91" spans="1:9" ht="21.6" customHeight="1">
      <c r="A91" s="122"/>
      <c r="B91" s="123"/>
      <c r="C91" s="123"/>
      <c r="D91" s="123"/>
      <c r="E91" s="204" t="s">
        <v>3645</v>
      </c>
      <c r="F91" s="462" t="s">
        <v>3646</v>
      </c>
      <c r="G91" s="285" t="s">
        <v>857</v>
      </c>
      <c r="H91" s="209">
        <v>1200000</v>
      </c>
      <c r="I91" s="51" t="s">
        <v>3647</v>
      </c>
    </row>
    <row r="92" spans="1:9" ht="21.6" customHeight="1">
      <c r="A92" s="66"/>
      <c r="B92" s="68"/>
      <c r="C92" s="68"/>
      <c r="D92" s="68"/>
      <c r="E92" s="204" t="s">
        <v>3648</v>
      </c>
      <c r="F92" s="207" t="s">
        <v>3649</v>
      </c>
      <c r="G92" s="204" t="s">
        <v>1389</v>
      </c>
      <c r="H92" s="227">
        <v>1800000</v>
      </c>
      <c r="I92" s="51" t="s">
        <v>3650</v>
      </c>
    </row>
    <row r="93" spans="1:9" ht="21.6" customHeight="1">
      <c r="A93" s="66"/>
      <c r="B93" s="68"/>
      <c r="C93" s="68"/>
      <c r="D93" s="68"/>
      <c r="E93" s="616" t="s">
        <v>236</v>
      </c>
      <c r="F93" s="617" t="s">
        <v>3651</v>
      </c>
      <c r="G93" s="616" t="s">
        <v>3003</v>
      </c>
      <c r="H93" s="227">
        <v>2200000</v>
      </c>
      <c r="I93" s="51" t="s">
        <v>3652</v>
      </c>
    </row>
    <row r="94" spans="1:9" ht="21.6" customHeight="1">
      <c r="A94" s="77"/>
      <c r="B94" s="79"/>
      <c r="C94" s="79"/>
      <c r="D94" s="79"/>
      <c r="E94" s="608"/>
      <c r="F94" s="609"/>
      <c r="G94" s="79"/>
      <c r="H94" s="595"/>
    </row>
    <row r="95" spans="1:9" ht="21.6" customHeight="1">
      <c r="A95" s="77"/>
      <c r="B95" s="79"/>
      <c r="C95" s="79"/>
      <c r="D95" s="79"/>
      <c r="E95" s="608"/>
      <c r="F95" s="609"/>
      <c r="G95" s="79"/>
      <c r="H95" s="595"/>
    </row>
    <row r="96" spans="1:9" ht="21.6" customHeight="1">
      <c r="A96" s="77"/>
      <c r="B96" s="79"/>
      <c r="C96" s="79"/>
      <c r="D96" s="79"/>
      <c r="E96" s="608"/>
      <c r="F96" s="609"/>
      <c r="G96" s="79"/>
      <c r="H96" s="595"/>
    </row>
    <row r="97" spans="1:8" ht="21.6" customHeight="1">
      <c r="A97" s="77"/>
      <c r="B97" s="79"/>
      <c r="C97" s="79"/>
      <c r="D97" s="79"/>
      <c r="E97" s="608"/>
      <c r="F97" s="609"/>
      <c r="G97" s="79"/>
      <c r="H97" s="595"/>
    </row>
    <row r="98" spans="1:8" ht="21.6" customHeight="1">
      <c r="A98" s="248"/>
      <c r="B98" s="249"/>
      <c r="C98" s="249"/>
      <c r="D98" s="249"/>
      <c r="E98" s="249"/>
      <c r="F98" s="249"/>
      <c r="G98" s="249"/>
      <c r="H98" s="250">
        <f>SUM(H85:H93)</f>
        <v>10500000</v>
      </c>
    </row>
    <row r="99" spans="1:8" ht="21.6" customHeight="1"/>
  </sheetData>
  <mergeCells count="56">
    <mergeCell ref="A2:H2"/>
    <mergeCell ref="A3:A4"/>
    <mergeCell ref="B3:B4"/>
    <mergeCell ref="C3:C4"/>
    <mergeCell ref="D3:D4"/>
    <mergeCell ref="E3:E4"/>
    <mergeCell ref="F3:F4"/>
    <mergeCell ref="G3:G4"/>
    <mergeCell ref="A15:H15"/>
    <mergeCell ref="A16:A17"/>
    <mergeCell ref="B16:B17"/>
    <mergeCell ref="C16:C17"/>
    <mergeCell ref="D16:D17"/>
    <mergeCell ref="E16:E17"/>
    <mergeCell ref="F16:F17"/>
    <mergeCell ref="G16:G17"/>
    <mergeCell ref="A28:H28"/>
    <mergeCell ref="A29:A30"/>
    <mergeCell ref="B29:B30"/>
    <mergeCell ref="C29:C30"/>
    <mergeCell ref="D29:D30"/>
    <mergeCell ref="E29:E30"/>
    <mergeCell ref="F29:F30"/>
    <mergeCell ref="G29:G30"/>
    <mergeCell ref="A42:H42"/>
    <mergeCell ref="A43:A44"/>
    <mergeCell ref="B43:B44"/>
    <mergeCell ref="C43:C44"/>
    <mergeCell ref="D43:D44"/>
    <mergeCell ref="E43:E44"/>
    <mergeCell ref="F43:F44"/>
    <mergeCell ref="G43:G44"/>
    <mergeCell ref="A55:H55"/>
    <mergeCell ref="A56:A57"/>
    <mergeCell ref="B56:B57"/>
    <mergeCell ref="C56:C57"/>
    <mergeCell ref="D56:D57"/>
    <mergeCell ref="E56:E57"/>
    <mergeCell ref="F56:F57"/>
    <mergeCell ref="G56:G57"/>
    <mergeCell ref="A69:H69"/>
    <mergeCell ref="A70:A71"/>
    <mergeCell ref="B70:B71"/>
    <mergeCell ref="C70:C71"/>
    <mergeCell ref="D70:D71"/>
    <mergeCell ref="E70:E71"/>
    <mergeCell ref="F70:F71"/>
    <mergeCell ref="G70:G71"/>
    <mergeCell ref="A82:H82"/>
    <mergeCell ref="A83:A84"/>
    <mergeCell ref="B83:B84"/>
    <mergeCell ref="C83:C84"/>
    <mergeCell ref="D83:D84"/>
    <mergeCell ref="E83:E84"/>
    <mergeCell ref="F83:F84"/>
    <mergeCell ref="G83:G84"/>
  </mergeCells>
  <hyperlinks>
    <hyperlink ref="A1" location="Name!A1" display="Name!A1" xr:uid="{24AAE6D1-ABC1-4FDA-804C-9AF1BE764F23}"/>
  </hyperlinks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DA91-26DF-4996-B331-5546B2371F8A}">
  <dimension ref="A1:J65"/>
  <sheetViews>
    <sheetView workbookViewId="0"/>
  </sheetViews>
  <sheetFormatPr defaultColWidth="9.140625" defaultRowHeight="15"/>
  <cols>
    <col min="1" max="1" width="6.140625" style="15" customWidth="1"/>
    <col min="2" max="2" width="10.85546875" style="15" customWidth="1"/>
    <col min="3" max="3" width="13" style="15" customWidth="1"/>
    <col min="4" max="4" width="9.140625" style="15"/>
    <col min="5" max="5" width="19" style="15" customWidth="1"/>
    <col min="6" max="6" width="9.140625" style="15"/>
    <col min="7" max="7" width="16.42578125" style="15" customWidth="1"/>
    <col min="8" max="8" width="13.42578125" style="15" customWidth="1"/>
    <col min="9" max="9" width="9.140625" style="15"/>
    <col min="10" max="10" width="11.5703125" style="239" bestFit="1" customWidth="1"/>
    <col min="11" max="16384" width="9.140625" style="15"/>
  </cols>
  <sheetData>
    <row r="1" spans="1:9">
      <c r="A1" s="411" t="s">
        <v>648</v>
      </c>
    </row>
    <row r="2" spans="1:9" ht="18">
      <c r="A2" s="670" t="s">
        <v>972</v>
      </c>
      <c r="B2" s="670"/>
      <c r="C2" s="670"/>
      <c r="D2" s="670"/>
      <c r="E2" s="670"/>
      <c r="F2" s="670"/>
      <c r="G2" s="670"/>
      <c r="H2" s="670"/>
      <c r="I2" s="51"/>
    </row>
    <row r="3" spans="1:9" ht="18">
      <c r="A3" s="653"/>
      <c r="B3" s="653"/>
      <c r="C3" s="653"/>
      <c r="D3" s="653"/>
      <c r="E3" s="653"/>
      <c r="F3" s="653"/>
      <c r="G3" s="653"/>
      <c r="H3" s="653"/>
      <c r="I3" s="51"/>
    </row>
    <row r="4" spans="1:9" ht="18">
      <c r="A4" s="671" t="s">
        <v>653</v>
      </c>
      <c r="B4" s="673" t="s">
        <v>654</v>
      </c>
      <c r="C4" s="671" t="s">
        <v>655</v>
      </c>
      <c r="D4" s="671" t="s">
        <v>12</v>
      </c>
      <c r="E4" s="673" t="s">
        <v>656</v>
      </c>
      <c r="F4" s="671" t="s">
        <v>657</v>
      </c>
      <c r="G4" s="673" t="s">
        <v>658</v>
      </c>
      <c r="H4" s="240" t="s">
        <v>659</v>
      </c>
      <c r="I4" s="51"/>
    </row>
    <row r="5" spans="1:9" ht="18">
      <c r="A5" s="672"/>
      <c r="B5" s="672"/>
      <c r="C5" s="672"/>
      <c r="D5" s="672"/>
      <c r="E5" s="674"/>
      <c r="F5" s="672"/>
      <c r="G5" s="672"/>
      <c r="H5" s="241" t="s">
        <v>660</v>
      </c>
      <c r="I5" s="51"/>
    </row>
    <row r="6" spans="1:9" ht="18">
      <c r="A6" s="242">
        <v>1</v>
      </c>
      <c r="B6" s="242" t="s">
        <v>1172</v>
      </c>
      <c r="C6" s="242" t="s">
        <v>227</v>
      </c>
      <c r="D6" s="242" t="s">
        <v>3653</v>
      </c>
      <c r="E6" s="243" t="s">
        <v>3654</v>
      </c>
      <c r="F6" s="244" t="s">
        <v>3655</v>
      </c>
      <c r="G6" s="243" t="s">
        <v>3656</v>
      </c>
      <c r="H6" s="243">
        <v>500000</v>
      </c>
      <c r="I6" s="245"/>
    </row>
    <row r="7" spans="1:9" ht="18">
      <c r="A7" s="242"/>
      <c r="B7" s="242"/>
      <c r="C7" s="242"/>
      <c r="D7" s="242"/>
      <c r="E7" s="243" t="s">
        <v>3657</v>
      </c>
      <c r="F7" s="244" t="s">
        <v>3655</v>
      </c>
      <c r="G7" s="243" t="s">
        <v>3656</v>
      </c>
      <c r="H7" s="243">
        <v>500000</v>
      </c>
      <c r="I7" s="51"/>
    </row>
    <row r="8" spans="1:9" ht="18">
      <c r="A8" s="242"/>
      <c r="B8" s="242"/>
      <c r="C8" s="242"/>
      <c r="D8" s="242"/>
      <c r="E8" s="243" t="s">
        <v>3658</v>
      </c>
      <c r="F8" s="244" t="s">
        <v>3659</v>
      </c>
      <c r="G8" s="243" t="s">
        <v>1001</v>
      </c>
      <c r="H8" s="243">
        <v>500000</v>
      </c>
      <c r="I8" s="51"/>
    </row>
    <row r="9" spans="1:9" ht="18">
      <c r="A9" s="242"/>
      <c r="B9" s="242"/>
      <c r="C9" s="242"/>
      <c r="D9" s="242"/>
      <c r="E9" s="243" t="s">
        <v>3660</v>
      </c>
      <c r="F9" s="244" t="s">
        <v>3661</v>
      </c>
      <c r="G9" s="243" t="s">
        <v>3662</v>
      </c>
      <c r="H9" s="243">
        <v>1000000</v>
      </c>
      <c r="I9" s="51"/>
    </row>
    <row r="10" spans="1:9" ht="18">
      <c r="A10" s="242"/>
      <c r="B10" s="242"/>
      <c r="C10" s="242"/>
      <c r="D10" s="242"/>
      <c r="E10" s="243" t="s">
        <v>1006</v>
      </c>
      <c r="F10" s="244" t="s">
        <v>3661</v>
      </c>
      <c r="G10" s="243" t="s">
        <v>3662</v>
      </c>
      <c r="H10" s="243">
        <v>-250000</v>
      </c>
      <c r="I10" s="51" t="s">
        <v>3663</v>
      </c>
    </row>
    <row r="11" spans="1:9" ht="18">
      <c r="A11" s="242"/>
      <c r="B11" s="242"/>
      <c r="C11" s="242"/>
      <c r="D11" s="242"/>
      <c r="E11" s="243" t="s">
        <v>3664</v>
      </c>
      <c r="F11" s="244"/>
      <c r="G11" s="243"/>
      <c r="H11" s="243">
        <v>500000</v>
      </c>
      <c r="I11" s="51"/>
    </row>
    <row r="12" spans="1:9" ht="18">
      <c r="A12" s="242"/>
      <c r="B12" s="242"/>
      <c r="C12" s="242"/>
      <c r="D12" s="242"/>
      <c r="E12" s="243" t="s">
        <v>3665</v>
      </c>
      <c r="F12" s="244"/>
      <c r="G12" s="243"/>
      <c r="H12" s="243">
        <v>-500000</v>
      </c>
      <c r="I12" s="103" t="s">
        <v>3666</v>
      </c>
    </row>
    <row r="13" spans="1:9" ht="18">
      <c r="A13" s="242"/>
      <c r="B13" s="242"/>
      <c r="C13" s="242"/>
      <c r="D13" s="242"/>
      <c r="E13" s="243"/>
      <c r="F13" s="244"/>
      <c r="G13" s="243"/>
      <c r="H13" s="243"/>
      <c r="I13" s="51"/>
    </row>
    <row r="14" spans="1:9" ht="18">
      <c r="A14" s="242"/>
      <c r="B14" s="242"/>
      <c r="C14" s="242"/>
      <c r="D14" s="242"/>
      <c r="E14" s="243"/>
      <c r="F14" s="244"/>
      <c r="G14" s="243"/>
      <c r="H14" s="243"/>
      <c r="I14" s="51"/>
    </row>
    <row r="15" spans="1:9" ht="18">
      <c r="A15" s="242"/>
      <c r="B15" s="242"/>
      <c r="C15" s="242"/>
      <c r="D15" s="242"/>
      <c r="E15" s="243"/>
      <c r="F15" s="244"/>
      <c r="G15" s="243"/>
      <c r="H15" s="243"/>
      <c r="I15" s="51"/>
    </row>
    <row r="16" spans="1:9" ht="18">
      <c r="A16" s="242"/>
      <c r="B16" s="242"/>
      <c r="C16" s="242"/>
      <c r="D16" s="242"/>
      <c r="E16" s="243"/>
      <c r="F16" s="244"/>
      <c r="G16" s="243"/>
      <c r="H16" s="243"/>
      <c r="I16" s="51"/>
    </row>
    <row r="17" spans="1:10" ht="18">
      <c r="A17" s="242"/>
      <c r="B17" s="242"/>
      <c r="C17" s="242"/>
      <c r="D17" s="242"/>
      <c r="E17" s="243"/>
      <c r="F17" s="242"/>
      <c r="G17" s="243"/>
      <c r="H17" s="243"/>
      <c r="I17" s="51"/>
    </row>
    <row r="18" spans="1:10" ht="18">
      <c r="A18" s="242"/>
      <c r="B18" s="242"/>
      <c r="C18" s="242"/>
      <c r="D18" s="242"/>
      <c r="E18" s="243"/>
      <c r="F18" s="242"/>
      <c r="G18" s="243"/>
      <c r="H18" s="243"/>
      <c r="I18" s="51"/>
    </row>
    <row r="19" spans="1:10" ht="18">
      <c r="A19" s="242"/>
      <c r="B19" s="242"/>
      <c r="C19" s="242"/>
      <c r="D19" s="242"/>
      <c r="E19" s="243"/>
      <c r="F19" s="242"/>
      <c r="G19" s="243"/>
      <c r="H19" s="243">
        <f>SUM(H6:H18)</f>
        <v>2250000</v>
      </c>
      <c r="I19" s="51"/>
    </row>
    <row r="22" spans="1:10" ht="18.75">
      <c r="A22" s="651" t="s">
        <v>3667</v>
      </c>
      <c r="B22" s="651"/>
      <c r="C22" s="651"/>
      <c r="D22" s="651"/>
      <c r="E22" s="651"/>
      <c r="F22" s="651"/>
      <c r="G22" s="651"/>
      <c r="H22" s="651"/>
      <c r="I22" s="651"/>
    </row>
    <row r="23" spans="1:10" ht="28.5">
      <c r="A23" s="16" t="s">
        <v>11</v>
      </c>
      <c r="B23" s="17" t="s">
        <v>697</v>
      </c>
      <c r="C23" s="17" t="s">
        <v>698</v>
      </c>
      <c r="D23" s="17" t="s">
        <v>12</v>
      </c>
      <c r="E23" s="16" t="s">
        <v>699</v>
      </c>
      <c r="F23" s="16" t="s">
        <v>657</v>
      </c>
      <c r="G23" s="17" t="s">
        <v>700</v>
      </c>
      <c r="H23" s="16" t="s">
        <v>660</v>
      </c>
      <c r="I23" s="16" t="s">
        <v>27</v>
      </c>
    </row>
    <row r="24" spans="1:10" ht="21.75">
      <c r="A24" s="18">
        <v>1</v>
      </c>
      <c r="B24" s="18" t="s">
        <v>152</v>
      </c>
      <c r="C24" s="18" t="s">
        <v>560</v>
      </c>
      <c r="D24" s="18" t="s">
        <v>3668</v>
      </c>
      <c r="E24" s="18" t="s">
        <v>3669</v>
      </c>
      <c r="F24" s="20" t="s">
        <v>3670</v>
      </c>
      <c r="G24" s="18" t="s">
        <v>3671</v>
      </c>
      <c r="H24" s="9">
        <v>500000</v>
      </c>
      <c r="I24" s="21"/>
    </row>
    <row r="25" spans="1:10" ht="21.75">
      <c r="A25" s="18"/>
      <c r="B25" s="18"/>
      <c r="C25" s="18"/>
      <c r="D25" s="15" t="s">
        <v>3672</v>
      </c>
      <c r="E25" s="18" t="s">
        <v>3673</v>
      </c>
      <c r="F25" s="20" t="s">
        <v>3670</v>
      </c>
      <c r="G25" s="18" t="s">
        <v>3671</v>
      </c>
      <c r="H25" s="9">
        <v>500000</v>
      </c>
      <c r="I25" s="21"/>
    </row>
    <row r="26" spans="1:10" ht="21.75">
      <c r="A26" s="18"/>
      <c r="B26" s="18"/>
      <c r="C26" s="18"/>
      <c r="D26" s="18"/>
      <c r="E26" s="18" t="s">
        <v>3674</v>
      </c>
      <c r="F26" s="20" t="s">
        <v>3675</v>
      </c>
      <c r="G26" s="18" t="s">
        <v>3676</v>
      </c>
      <c r="H26" s="9">
        <v>500000</v>
      </c>
      <c r="I26" s="21"/>
    </row>
    <row r="27" spans="1:10" ht="21.75">
      <c r="A27" s="18"/>
      <c r="B27" s="18"/>
      <c r="C27" s="18"/>
      <c r="D27" s="18"/>
      <c r="E27" s="18" t="s">
        <v>1066</v>
      </c>
      <c r="F27" s="20"/>
      <c r="G27" s="18" t="s">
        <v>3677</v>
      </c>
      <c r="H27" s="9">
        <v>-500000</v>
      </c>
      <c r="I27" s="21"/>
    </row>
    <row r="28" spans="1:10" ht="21.75">
      <c r="A28" s="18"/>
      <c r="B28" s="18"/>
      <c r="C28" s="18"/>
      <c r="D28" s="18"/>
      <c r="E28" s="18" t="s">
        <v>3678</v>
      </c>
      <c r="F28" s="20"/>
      <c r="G28" s="18" t="s">
        <v>3677</v>
      </c>
      <c r="H28" s="9">
        <v>-300000</v>
      </c>
      <c r="I28" s="21"/>
      <c r="J28" s="239" t="s">
        <v>3679</v>
      </c>
    </row>
    <row r="29" spans="1:10" ht="21.75">
      <c r="A29" s="18"/>
      <c r="B29" s="18"/>
      <c r="C29" s="18"/>
      <c r="D29" s="18"/>
      <c r="E29" s="18"/>
      <c r="F29" s="20"/>
      <c r="G29" s="18"/>
      <c r="H29" s="9">
        <f>SUM(H24:H28)</f>
        <v>700000</v>
      </c>
      <c r="I29" s="21"/>
    </row>
    <row r="31" spans="1:10" ht="18.75">
      <c r="A31" s="651" t="s">
        <v>3680</v>
      </c>
      <c r="B31" s="651"/>
      <c r="C31" s="651"/>
      <c r="D31" s="651"/>
      <c r="E31" s="651"/>
      <c r="F31" s="651"/>
      <c r="G31" s="651"/>
      <c r="H31" s="651"/>
      <c r="I31" s="651"/>
    </row>
    <row r="32" spans="1:10" ht="28.5">
      <c r="A32" s="16" t="s">
        <v>11</v>
      </c>
      <c r="B32" s="17" t="s">
        <v>697</v>
      </c>
      <c r="C32" s="17" t="s">
        <v>698</v>
      </c>
      <c r="D32" s="17" t="s">
        <v>12</v>
      </c>
      <c r="E32" s="16" t="s">
        <v>699</v>
      </c>
      <c r="F32" s="16" t="s">
        <v>657</v>
      </c>
      <c r="G32" s="17" t="s">
        <v>700</v>
      </c>
      <c r="H32" s="16" t="s">
        <v>660</v>
      </c>
      <c r="I32" s="16" t="s">
        <v>27</v>
      </c>
    </row>
    <row r="33" spans="1:10" ht="21.75">
      <c r="A33" s="18">
        <v>1</v>
      </c>
      <c r="B33" s="18" t="s">
        <v>152</v>
      </c>
      <c r="C33" s="18" t="s">
        <v>227</v>
      </c>
      <c r="D33" s="18" t="s">
        <v>3672</v>
      </c>
      <c r="E33" s="18" t="s">
        <v>703</v>
      </c>
      <c r="F33" s="20" t="s">
        <v>3681</v>
      </c>
      <c r="G33" s="18" t="s">
        <v>3682</v>
      </c>
      <c r="H33" s="9">
        <v>500000</v>
      </c>
      <c r="I33" s="21"/>
      <c r="J33" s="239" t="s">
        <v>3683</v>
      </c>
    </row>
    <row r="34" spans="1:10" ht="21.75">
      <c r="A34" s="18"/>
      <c r="B34" s="18"/>
      <c r="C34" s="18"/>
      <c r="E34" s="18" t="s">
        <v>3684</v>
      </c>
      <c r="F34" s="20" t="s">
        <v>3681</v>
      </c>
      <c r="G34" s="18" t="s">
        <v>3682</v>
      </c>
      <c r="H34" s="9">
        <v>500000</v>
      </c>
      <c r="I34" s="21"/>
    </row>
    <row r="35" spans="1:10" ht="21.75">
      <c r="A35" s="18"/>
      <c r="B35" s="18"/>
      <c r="C35" s="18"/>
      <c r="D35" s="18"/>
      <c r="E35" s="18" t="s">
        <v>3685</v>
      </c>
      <c r="F35" s="20" t="s">
        <v>3686</v>
      </c>
      <c r="G35" s="18" t="s">
        <v>3687</v>
      </c>
      <c r="H35" s="9">
        <v>500000</v>
      </c>
      <c r="I35" s="21"/>
      <c r="J35" s="239" t="s">
        <v>1880</v>
      </c>
    </row>
    <row r="36" spans="1:10" ht="21.75">
      <c r="A36" s="18"/>
      <c r="B36" s="18"/>
      <c r="C36" s="18"/>
      <c r="D36" s="18"/>
      <c r="E36" s="18" t="s">
        <v>3688</v>
      </c>
      <c r="F36" s="20" t="s">
        <v>3689</v>
      </c>
      <c r="G36" s="18" t="s">
        <v>3690</v>
      </c>
      <c r="H36" s="9">
        <v>500000</v>
      </c>
      <c r="I36" s="21"/>
      <c r="J36" s="239" t="s">
        <v>3691</v>
      </c>
    </row>
    <row r="37" spans="1:10" ht="21.75">
      <c r="A37" s="18"/>
      <c r="B37" s="18"/>
      <c r="C37" s="18"/>
      <c r="D37" s="18"/>
      <c r="E37" s="18" t="s">
        <v>3692</v>
      </c>
      <c r="F37" s="20" t="s">
        <v>3693</v>
      </c>
      <c r="G37" s="18" t="s">
        <v>3694</v>
      </c>
      <c r="H37" s="9">
        <v>1000000</v>
      </c>
      <c r="I37" s="21"/>
      <c r="J37" s="239" t="s">
        <v>3695</v>
      </c>
    </row>
    <row r="38" spans="1:10" ht="21.75">
      <c r="A38" s="18"/>
      <c r="B38" s="18"/>
      <c r="C38" s="18"/>
      <c r="D38" s="18"/>
      <c r="E38" s="18" t="s">
        <v>3696</v>
      </c>
      <c r="F38" s="20" t="s">
        <v>3697</v>
      </c>
      <c r="G38" s="18" t="s">
        <v>3698</v>
      </c>
      <c r="H38" s="9">
        <v>500000</v>
      </c>
      <c r="I38" s="21"/>
      <c r="J38" s="239" t="s">
        <v>3699</v>
      </c>
    </row>
    <row r="39" spans="1:10" ht="21.75">
      <c r="A39" s="18"/>
      <c r="B39" s="18"/>
      <c r="C39" s="18"/>
      <c r="D39" s="18"/>
      <c r="E39" s="18" t="s">
        <v>3700</v>
      </c>
      <c r="F39" s="20" t="s">
        <v>3697</v>
      </c>
      <c r="G39" s="18" t="s">
        <v>3698</v>
      </c>
      <c r="H39" s="9">
        <v>500000</v>
      </c>
      <c r="I39" s="21"/>
    </row>
    <row r="40" spans="1:10" ht="21.75">
      <c r="A40" s="18"/>
      <c r="B40" s="18"/>
      <c r="C40" s="18"/>
      <c r="D40" s="18"/>
      <c r="E40" s="18" t="s">
        <v>1066</v>
      </c>
      <c r="F40" s="20" t="s">
        <v>3697</v>
      </c>
      <c r="G40" s="18" t="s">
        <v>3698</v>
      </c>
      <c r="H40" s="9">
        <v>-500000</v>
      </c>
      <c r="I40" s="21"/>
      <c r="J40" s="239" t="s">
        <v>3701</v>
      </c>
    </row>
    <row r="41" spans="1:10" ht="21.75">
      <c r="A41" s="18"/>
      <c r="B41" s="18"/>
      <c r="C41" s="18"/>
      <c r="D41" s="18"/>
      <c r="E41" s="18"/>
      <c r="F41" s="20"/>
      <c r="G41" s="18"/>
      <c r="H41" s="9"/>
      <c r="I41" s="21"/>
    </row>
    <row r="42" spans="1:10" ht="21.75">
      <c r="A42" s="18"/>
      <c r="B42" s="18"/>
      <c r="C42" s="18"/>
      <c r="D42" s="18"/>
      <c r="E42" s="18"/>
      <c r="F42" s="20"/>
      <c r="G42" s="18"/>
      <c r="H42" s="9">
        <f>SUM(H33:H41)</f>
        <v>3500000</v>
      </c>
      <c r="I42" s="21"/>
    </row>
    <row r="45" spans="1:10" ht="18.75">
      <c r="A45" s="651" t="s">
        <v>3702</v>
      </c>
      <c r="B45" s="651"/>
      <c r="C45" s="651"/>
      <c r="D45" s="651"/>
      <c r="E45" s="651"/>
      <c r="F45" s="651"/>
      <c r="G45" s="651"/>
      <c r="H45" s="651"/>
      <c r="I45" s="651"/>
    </row>
    <row r="46" spans="1:10" ht="28.5">
      <c r="A46" s="16" t="s">
        <v>11</v>
      </c>
      <c r="B46" s="17" t="s">
        <v>697</v>
      </c>
      <c r="C46" s="17" t="s">
        <v>698</v>
      </c>
      <c r="D46" s="17" t="s">
        <v>12</v>
      </c>
      <c r="E46" s="16" t="s">
        <v>699</v>
      </c>
      <c r="F46" s="16" t="s">
        <v>657</v>
      </c>
      <c r="G46" s="17" t="s">
        <v>700</v>
      </c>
      <c r="H46" s="16" t="s">
        <v>660</v>
      </c>
      <c r="I46" s="16" t="s">
        <v>27</v>
      </c>
    </row>
    <row r="47" spans="1:10" ht="21.75">
      <c r="A47" s="18">
        <v>1</v>
      </c>
      <c r="B47" s="18" t="s">
        <v>152</v>
      </c>
      <c r="C47" s="18" t="s">
        <v>227</v>
      </c>
      <c r="D47" s="18" t="s">
        <v>3672</v>
      </c>
      <c r="E47" s="18" t="s">
        <v>3703</v>
      </c>
      <c r="F47" s="20" t="s">
        <v>3060</v>
      </c>
      <c r="G47" s="18" t="s">
        <v>3031</v>
      </c>
      <c r="H47" s="9">
        <v>550000</v>
      </c>
      <c r="I47" s="21"/>
      <c r="J47" s="239" t="s">
        <v>3704</v>
      </c>
    </row>
    <row r="48" spans="1:10" ht="21.75">
      <c r="A48" s="18"/>
      <c r="B48" s="18"/>
      <c r="C48" s="18"/>
      <c r="D48" s="246"/>
      <c r="E48" s="18"/>
      <c r="F48" s="20"/>
      <c r="G48" s="18"/>
      <c r="H48" s="9"/>
      <c r="I48" s="21"/>
    </row>
    <row r="49" spans="1:10" ht="21.75">
      <c r="A49" s="18"/>
      <c r="B49" s="18"/>
      <c r="C49" s="18"/>
      <c r="D49" s="246"/>
      <c r="E49" s="18"/>
      <c r="F49" s="20"/>
      <c r="G49" s="18"/>
      <c r="H49" s="9"/>
      <c r="I49" s="21"/>
      <c r="J49" s="239" t="s">
        <v>3705</v>
      </c>
    </row>
    <row r="50" spans="1:10" ht="21.75">
      <c r="A50" s="18"/>
      <c r="B50" s="18"/>
      <c r="C50" s="18"/>
      <c r="D50" s="246"/>
      <c r="E50" s="18"/>
      <c r="F50" s="20"/>
      <c r="G50" s="18"/>
      <c r="H50" s="9"/>
      <c r="I50" s="21"/>
    </row>
    <row r="51" spans="1:10" ht="21.75">
      <c r="A51" s="18"/>
      <c r="B51" s="18"/>
      <c r="C51" s="18"/>
      <c r="D51" s="246"/>
      <c r="E51" s="18"/>
      <c r="F51" s="20"/>
      <c r="G51" s="18"/>
      <c r="H51" s="9"/>
      <c r="I51" s="21"/>
    </row>
    <row r="52" spans="1:10" ht="21.75">
      <c r="A52" s="18"/>
      <c r="B52" s="18"/>
      <c r="C52" s="18"/>
      <c r="D52" s="246"/>
      <c r="E52" s="18"/>
      <c r="F52" s="20"/>
      <c r="G52" s="18"/>
      <c r="H52" s="9"/>
      <c r="I52" s="21"/>
    </row>
    <row r="53" spans="1:10" ht="21.75">
      <c r="A53" s="18"/>
      <c r="B53" s="18"/>
      <c r="C53" s="18"/>
      <c r="E53" s="18"/>
      <c r="F53" s="20"/>
      <c r="G53" s="18"/>
      <c r="H53" s="9"/>
      <c r="I53" s="21"/>
    </row>
    <row r="56" spans="1:10" ht="18.75">
      <c r="A56" s="651" t="s">
        <v>3706</v>
      </c>
      <c r="B56" s="651"/>
      <c r="C56" s="651"/>
      <c r="D56" s="651"/>
      <c r="E56" s="651"/>
      <c r="F56" s="651"/>
      <c r="G56" s="651"/>
      <c r="H56" s="651"/>
      <c r="I56" s="651"/>
    </row>
    <row r="57" spans="1:10" ht="36.75" customHeight="1">
      <c r="A57" s="16" t="s">
        <v>11</v>
      </c>
      <c r="B57" s="17" t="s">
        <v>697</v>
      </c>
      <c r="C57" s="17" t="s">
        <v>698</v>
      </c>
      <c r="D57" s="17" t="s">
        <v>12</v>
      </c>
      <c r="E57" s="16" t="s">
        <v>699</v>
      </c>
      <c r="F57" s="16" t="s">
        <v>657</v>
      </c>
      <c r="G57" s="17" t="s">
        <v>700</v>
      </c>
      <c r="H57" s="16" t="s">
        <v>660</v>
      </c>
      <c r="I57" s="16" t="s">
        <v>27</v>
      </c>
    </row>
    <row r="58" spans="1:10" ht="28.5" customHeight="1">
      <c r="A58" s="35">
        <v>1</v>
      </c>
      <c r="B58" s="35" t="s">
        <v>152</v>
      </c>
      <c r="C58" s="35" t="s">
        <v>227</v>
      </c>
      <c r="D58" s="35" t="s">
        <v>3672</v>
      </c>
      <c r="E58" s="35" t="s">
        <v>3707</v>
      </c>
      <c r="F58" s="36" t="s">
        <v>3708</v>
      </c>
      <c r="G58" s="35" t="s">
        <v>3709</v>
      </c>
      <c r="H58" s="28">
        <v>3000000</v>
      </c>
      <c r="I58" s="37"/>
      <c r="J58" s="239" t="s">
        <v>3710</v>
      </c>
    </row>
    <row r="59" spans="1:10" ht="28.5" customHeight="1">
      <c r="A59" s="35"/>
      <c r="B59" s="35"/>
      <c r="C59" s="35"/>
      <c r="D59" s="35"/>
      <c r="E59" s="35" t="s">
        <v>3711</v>
      </c>
      <c r="F59" s="36" t="s">
        <v>2385</v>
      </c>
      <c r="G59" s="35" t="s">
        <v>3542</v>
      </c>
      <c r="H59" s="28">
        <v>3000000</v>
      </c>
      <c r="I59" s="37"/>
    </row>
    <row r="60" spans="1:10" ht="28.5" customHeight="1">
      <c r="A60" s="35"/>
      <c r="B60" s="35"/>
      <c r="C60" s="35"/>
      <c r="D60" s="35"/>
      <c r="E60" s="35" t="s">
        <v>229</v>
      </c>
      <c r="F60" s="36" t="s">
        <v>3712</v>
      </c>
      <c r="G60" s="35" t="s">
        <v>971</v>
      </c>
      <c r="H60" s="28">
        <v>7100000</v>
      </c>
      <c r="I60" s="37"/>
      <c r="J60" s="239" t="s">
        <v>3713</v>
      </c>
    </row>
    <row r="61" spans="1:10" ht="28.5" customHeight="1">
      <c r="A61" s="35"/>
      <c r="B61" s="35"/>
      <c r="C61" s="35"/>
      <c r="D61" s="35"/>
      <c r="E61" s="35"/>
      <c r="F61" s="36"/>
      <c r="G61" s="35"/>
      <c r="H61" s="28"/>
      <c r="I61" s="37"/>
    </row>
    <row r="62" spans="1:10" ht="28.5" customHeight="1">
      <c r="A62" s="35"/>
      <c r="B62" s="35"/>
      <c r="C62" s="35"/>
      <c r="D62" s="35"/>
      <c r="E62" s="35"/>
      <c r="F62" s="36"/>
      <c r="G62" s="35"/>
      <c r="H62" s="28"/>
      <c r="I62" s="37"/>
    </row>
    <row r="63" spans="1:10" ht="28.5" customHeight="1">
      <c r="A63" s="35"/>
      <c r="B63" s="35"/>
      <c r="C63" s="35"/>
      <c r="D63" s="35"/>
      <c r="E63" s="35"/>
      <c r="F63" s="36"/>
      <c r="G63" s="35"/>
      <c r="H63" s="28"/>
      <c r="I63" s="37"/>
    </row>
    <row r="64" spans="1:10" ht="28.5" customHeight="1">
      <c r="A64" s="35"/>
      <c r="B64" s="35"/>
      <c r="C64" s="35"/>
      <c r="D64" s="247"/>
      <c r="E64" s="35"/>
      <c r="F64" s="36"/>
      <c r="G64" s="35"/>
      <c r="H64" s="28">
        <f>SUM(H58:H63)</f>
        <v>13100000</v>
      </c>
      <c r="I64" s="37"/>
    </row>
    <row r="65" ht="28.5" customHeight="1"/>
  </sheetData>
  <mergeCells count="12">
    <mergeCell ref="A22:I22"/>
    <mergeCell ref="A31:I31"/>
    <mergeCell ref="A45:I45"/>
    <mergeCell ref="A56:I56"/>
    <mergeCell ref="A2:H3"/>
    <mergeCell ref="A4:A5"/>
    <mergeCell ref="B4:B5"/>
    <mergeCell ref="C4:C5"/>
    <mergeCell ref="D4:D5"/>
    <mergeCell ref="E4:E5"/>
    <mergeCell ref="F4:F5"/>
    <mergeCell ref="G4:G5"/>
  </mergeCells>
  <hyperlinks>
    <hyperlink ref="A1" location="Name!A1" display="Name!A1" xr:uid="{2B98BDF5-1568-452E-8658-2FA54B605B6F}"/>
  </hyperlinks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11F1-B69A-4414-BFD4-EB06AAF27E83}">
  <dimension ref="A1:R116"/>
  <sheetViews>
    <sheetView workbookViewId="0"/>
  </sheetViews>
  <sheetFormatPr defaultColWidth="9.140625" defaultRowHeight="18"/>
  <cols>
    <col min="1" max="1" width="6.140625" style="51" customWidth="1"/>
    <col min="2" max="3" width="15.42578125" style="51" customWidth="1"/>
    <col min="4" max="4" width="27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6" style="51" customWidth="1"/>
    <col min="9" max="9" width="31.28515625" style="51" customWidth="1"/>
    <col min="10" max="10" width="9.140625" style="51"/>
    <col min="11" max="11" width="40.28515625" style="51" customWidth="1"/>
    <col min="12" max="12" width="15" style="51" customWidth="1"/>
    <col min="13" max="13" width="2.5703125" style="51" customWidth="1"/>
    <col min="14" max="15" width="9.140625" style="51"/>
    <col min="16" max="16" width="40.5703125" style="51" customWidth="1"/>
    <col min="17" max="18" width="18.140625" style="51" customWidth="1"/>
    <col min="19" max="16384" width="9.140625" style="51"/>
  </cols>
  <sheetData>
    <row r="1" spans="1:18">
      <c r="A1" s="411" t="s">
        <v>648</v>
      </c>
    </row>
    <row r="2" spans="1:18" ht="21.75">
      <c r="A2" s="644" t="s">
        <v>2833</v>
      </c>
      <c r="B2" s="644"/>
      <c r="C2" s="644"/>
      <c r="D2" s="644"/>
      <c r="E2" s="644"/>
      <c r="F2" s="644"/>
      <c r="G2" s="644"/>
      <c r="H2" s="644"/>
      <c r="I2" s="143"/>
      <c r="J2" s="143"/>
      <c r="K2" s="143"/>
      <c r="L2" s="143"/>
      <c r="M2" s="121"/>
      <c r="N2" s="644" t="s">
        <v>973</v>
      </c>
      <c r="O2" s="644"/>
      <c r="P2" s="644"/>
      <c r="Q2" s="644"/>
    </row>
    <row r="3" spans="1:18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I3" s="143"/>
      <c r="J3" s="143"/>
      <c r="K3" s="143"/>
      <c r="L3" s="143"/>
      <c r="M3" s="121"/>
      <c r="N3" s="654" t="s">
        <v>653</v>
      </c>
      <c r="O3" s="659" t="s">
        <v>974</v>
      </c>
      <c r="P3" s="661" t="s">
        <v>975</v>
      </c>
      <c r="Q3" s="662" t="s">
        <v>976</v>
      </c>
      <c r="R3" s="664" t="s">
        <v>977</v>
      </c>
    </row>
    <row r="4" spans="1:18" ht="21.75">
      <c r="A4" s="646"/>
      <c r="B4" s="646"/>
      <c r="C4" s="646"/>
      <c r="D4" s="646"/>
      <c r="E4" s="648"/>
      <c r="F4" s="646"/>
      <c r="G4" s="646"/>
      <c r="H4" s="6" t="s">
        <v>660</v>
      </c>
      <c r="I4" s="143"/>
      <c r="J4" s="143"/>
      <c r="K4" s="143"/>
      <c r="L4" s="143"/>
      <c r="M4" s="121"/>
      <c r="N4" s="655"/>
      <c r="O4" s="660"/>
      <c r="P4" s="660"/>
      <c r="Q4" s="663"/>
      <c r="R4" s="665"/>
    </row>
    <row r="5" spans="1:18" ht="21.75">
      <c r="A5" s="7">
        <v>1</v>
      </c>
      <c r="B5" s="7" t="s">
        <v>152</v>
      </c>
      <c r="C5" s="7" t="s">
        <v>220</v>
      </c>
      <c r="D5" s="7" t="s">
        <v>3714</v>
      </c>
      <c r="E5" s="9" t="s">
        <v>703</v>
      </c>
      <c r="F5" s="10" t="s">
        <v>3715</v>
      </c>
      <c r="G5" s="9" t="s">
        <v>3716</v>
      </c>
      <c r="H5" s="9">
        <v>500000</v>
      </c>
      <c r="I5" s="143"/>
      <c r="J5" s="143"/>
      <c r="K5" s="143"/>
      <c r="L5" s="143"/>
      <c r="M5" s="121"/>
      <c r="N5" s="122"/>
      <c r="O5" s="123"/>
      <c r="P5" s="165"/>
      <c r="Q5" s="125"/>
      <c r="R5" s="126"/>
    </row>
    <row r="6" spans="1:18" ht="21.75">
      <c r="A6" s="7"/>
      <c r="B6" s="7"/>
      <c r="C6" s="7" t="s">
        <v>679</v>
      </c>
      <c r="D6" s="7"/>
      <c r="E6" s="9" t="s">
        <v>3717</v>
      </c>
      <c r="F6" s="10" t="s">
        <v>3715</v>
      </c>
      <c r="G6" s="9" t="s">
        <v>3716</v>
      </c>
      <c r="H6" s="9">
        <v>500000</v>
      </c>
      <c r="I6" s="143"/>
      <c r="J6" s="143"/>
      <c r="K6" s="143"/>
      <c r="L6" s="143"/>
      <c r="M6" s="121"/>
      <c r="N6" s="122"/>
      <c r="O6" s="123"/>
      <c r="P6" s="127"/>
      <c r="Q6" s="125"/>
      <c r="R6" s="126"/>
    </row>
    <row r="7" spans="1:18" ht="21.75">
      <c r="A7" s="7"/>
      <c r="B7" s="7"/>
      <c r="C7" s="7"/>
      <c r="D7" s="7"/>
      <c r="E7" s="9" t="s">
        <v>3718</v>
      </c>
      <c r="F7" s="10" t="s">
        <v>3715</v>
      </c>
      <c r="G7" s="9" t="s">
        <v>3716</v>
      </c>
      <c r="H7" s="9">
        <v>500000</v>
      </c>
      <c r="I7" s="143"/>
      <c r="J7" s="143"/>
      <c r="K7" s="143"/>
      <c r="L7" s="143"/>
      <c r="M7" s="121"/>
      <c r="N7" s="122"/>
      <c r="O7" s="123"/>
      <c r="P7" s="127"/>
      <c r="Q7" s="125"/>
      <c r="R7" s="126"/>
    </row>
    <row r="8" spans="1:18" ht="21.75">
      <c r="A8" s="7"/>
      <c r="B8" s="7"/>
      <c r="C8" s="7"/>
      <c r="D8" s="7"/>
      <c r="E8" s="9" t="s">
        <v>3719</v>
      </c>
      <c r="F8" s="10"/>
      <c r="G8" s="9"/>
      <c r="H8" s="9">
        <v>-250000</v>
      </c>
      <c r="I8" s="143"/>
      <c r="J8" s="143"/>
      <c r="K8" s="143"/>
      <c r="L8" s="143"/>
      <c r="M8" s="121"/>
      <c r="N8" s="122"/>
      <c r="O8" s="123"/>
      <c r="P8" s="127"/>
      <c r="Q8" s="125"/>
      <c r="R8" s="126"/>
    </row>
    <row r="9" spans="1:18" ht="21.75">
      <c r="A9" s="7"/>
      <c r="B9" s="7"/>
      <c r="C9" s="7"/>
      <c r="D9" s="7"/>
      <c r="E9" s="9" t="s">
        <v>3720</v>
      </c>
      <c r="F9" s="10" t="s">
        <v>3721</v>
      </c>
      <c r="G9" s="9" t="s">
        <v>2017</v>
      </c>
      <c r="H9" s="9">
        <v>1249000</v>
      </c>
      <c r="I9" s="143" t="s">
        <v>3722</v>
      </c>
      <c r="J9" s="143"/>
      <c r="K9" s="143"/>
      <c r="L9" s="143"/>
      <c r="M9" s="121"/>
      <c r="N9" s="122"/>
      <c r="O9" s="123"/>
      <c r="P9" s="123"/>
      <c r="Q9" s="125"/>
      <c r="R9" s="126"/>
    </row>
    <row r="10" spans="1:18" ht="21.75">
      <c r="A10" s="7"/>
      <c r="B10" s="7"/>
      <c r="C10" s="7"/>
      <c r="D10" s="7"/>
      <c r="E10" s="9" t="s">
        <v>1066</v>
      </c>
      <c r="F10" s="10" t="s">
        <v>3721</v>
      </c>
      <c r="G10" s="9" t="s">
        <v>2017</v>
      </c>
      <c r="H10" s="9">
        <v>-500000</v>
      </c>
      <c r="I10" s="143" t="s">
        <v>3723</v>
      </c>
      <c r="J10" s="143"/>
      <c r="K10" s="143"/>
      <c r="L10" s="143"/>
      <c r="M10" s="121"/>
      <c r="N10" s="122"/>
      <c r="O10" s="123"/>
      <c r="P10" s="123"/>
      <c r="Q10" s="125"/>
      <c r="R10" s="126"/>
    </row>
    <row r="11" spans="1:18" ht="21.75">
      <c r="A11" s="7"/>
      <c r="B11" s="7"/>
      <c r="C11" s="7"/>
      <c r="D11" s="7"/>
      <c r="E11" s="9"/>
      <c r="F11" s="10"/>
      <c r="G11" s="9"/>
      <c r="H11" s="9"/>
      <c r="I11" s="143"/>
      <c r="J11" s="143"/>
      <c r="K11" s="143"/>
      <c r="L11" s="143"/>
      <c r="M11" s="121"/>
      <c r="N11" s="122"/>
      <c r="O11" s="123"/>
      <c r="P11" s="123"/>
      <c r="Q11" s="125"/>
      <c r="R11" s="126"/>
    </row>
    <row r="12" spans="1:18" ht="21.75">
      <c r="A12" s="7"/>
      <c r="B12" s="7"/>
      <c r="C12" s="7"/>
      <c r="D12" s="7"/>
      <c r="E12" s="9"/>
      <c r="F12" s="10"/>
      <c r="G12" s="9"/>
      <c r="H12" s="9"/>
      <c r="I12" s="143"/>
      <c r="J12" s="143"/>
      <c r="K12" s="143"/>
      <c r="L12" s="143"/>
      <c r="M12" s="121"/>
      <c r="N12" s="122"/>
      <c r="O12" s="123"/>
      <c r="P12" s="123"/>
      <c r="Q12" s="125"/>
      <c r="R12" s="126"/>
    </row>
    <row r="13" spans="1:18" ht="21.75">
      <c r="A13" s="166"/>
      <c r="B13" s="166"/>
      <c r="C13" s="166"/>
      <c r="D13" s="166"/>
      <c r="E13" s="167"/>
      <c r="F13" s="168"/>
      <c r="G13" s="167"/>
      <c r="H13" s="167">
        <f>SUM(H5:H10)</f>
        <v>1999000</v>
      </c>
      <c r="I13" s="169"/>
      <c r="J13" s="169"/>
      <c r="K13" s="169"/>
      <c r="L13" s="169"/>
      <c r="M13" s="121"/>
      <c r="N13" s="170"/>
      <c r="O13" s="171"/>
      <c r="P13" s="171"/>
      <c r="Q13" s="172"/>
      <c r="R13" s="173"/>
    </row>
    <row r="14" spans="1:18" ht="24.75" customHeight="1">
      <c r="A14" s="644" t="s">
        <v>3724</v>
      </c>
      <c r="B14" s="644"/>
      <c r="C14" s="644"/>
      <c r="D14" s="644"/>
      <c r="E14" s="644"/>
      <c r="F14" s="644"/>
      <c r="G14" s="644"/>
      <c r="H14" s="644"/>
      <c r="I14" s="143"/>
      <c r="J14" s="143"/>
      <c r="K14" s="143"/>
      <c r="L14" s="143"/>
      <c r="M14" s="121"/>
      <c r="N14" s="122"/>
      <c r="O14" s="123"/>
      <c r="P14" s="123"/>
      <c r="Q14" s="125"/>
      <c r="R14" s="126"/>
    </row>
    <row r="15" spans="1:18" ht="21.75">
      <c r="A15" s="645" t="s">
        <v>653</v>
      </c>
      <c r="B15" s="647" t="s">
        <v>654</v>
      </c>
      <c r="C15" s="645" t="s">
        <v>655</v>
      </c>
      <c r="D15" s="645" t="s">
        <v>12</v>
      </c>
      <c r="E15" s="647" t="s">
        <v>656</v>
      </c>
      <c r="F15" s="645" t="s">
        <v>657</v>
      </c>
      <c r="G15" s="647" t="s">
        <v>658</v>
      </c>
      <c r="H15" s="3" t="s">
        <v>659</v>
      </c>
      <c r="M15" s="121"/>
      <c r="N15" s="122"/>
      <c r="O15" s="123"/>
      <c r="P15" s="123"/>
      <c r="Q15" s="125"/>
      <c r="R15" s="126"/>
    </row>
    <row r="16" spans="1:18" ht="21.75">
      <c r="A16" s="646"/>
      <c r="B16" s="646"/>
      <c r="C16" s="646"/>
      <c r="D16" s="646"/>
      <c r="E16" s="648"/>
      <c r="F16" s="646"/>
      <c r="G16" s="646"/>
      <c r="H16" s="6" t="s">
        <v>660</v>
      </c>
      <c r="I16" s="51" t="s">
        <v>3725</v>
      </c>
      <c r="M16" s="121"/>
      <c r="N16" s="122"/>
      <c r="O16" s="123"/>
      <c r="P16" s="123"/>
      <c r="Q16" s="125"/>
      <c r="R16" s="126"/>
    </row>
    <row r="17" spans="1:18" ht="21.75">
      <c r="A17" s="7">
        <v>1</v>
      </c>
      <c r="B17" s="7" t="s">
        <v>152</v>
      </c>
      <c r="C17" s="7" t="s">
        <v>220</v>
      </c>
      <c r="D17" s="7" t="s">
        <v>3714</v>
      </c>
      <c r="E17" s="9" t="s">
        <v>3726</v>
      </c>
      <c r="F17" s="10" t="s">
        <v>3727</v>
      </c>
      <c r="G17" s="9" t="s">
        <v>3728</v>
      </c>
      <c r="H17" s="9">
        <v>1000000</v>
      </c>
      <c r="M17" s="121"/>
      <c r="N17" s="122"/>
      <c r="O17" s="123"/>
      <c r="P17" s="123"/>
      <c r="Q17" s="125"/>
      <c r="R17" s="126"/>
    </row>
    <row r="18" spans="1:18" ht="21.75">
      <c r="A18" s="7"/>
      <c r="B18" s="7"/>
      <c r="C18" s="7" t="s">
        <v>679</v>
      </c>
      <c r="D18" s="7"/>
      <c r="E18" s="9" t="s">
        <v>3729</v>
      </c>
      <c r="F18" s="10" t="s">
        <v>3730</v>
      </c>
      <c r="G18" s="9" t="s">
        <v>3731</v>
      </c>
      <c r="H18" s="9">
        <v>5000000</v>
      </c>
      <c r="M18" s="121"/>
      <c r="N18" s="122"/>
      <c r="O18" s="123"/>
      <c r="P18" s="123"/>
      <c r="Q18" s="125"/>
      <c r="R18" s="126"/>
    </row>
    <row r="19" spans="1:18" ht="21.75">
      <c r="A19" s="7"/>
      <c r="B19" s="7"/>
      <c r="C19" s="7"/>
      <c r="D19" s="7"/>
      <c r="E19" s="9"/>
      <c r="F19" s="10"/>
      <c r="G19" s="9"/>
      <c r="H19" s="9"/>
      <c r="M19" s="121"/>
      <c r="N19" s="122"/>
      <c r="O19" s="123"/>
      <c r="P19" s="123"/>
      <c r="Q19" s="125"/>
      <c r="R19" s="126"/>
    </row>
    <row r="20" spans="1:18" ht="21.75">
      <c r="A20" s="7"/>
      <c r="B20" s="7"/>
      <c r="C20" s="7"/>
      <c r="D20" s="7"/>
      <c r="E20" s="9"/>
      <c r="F20" s="10"/>
      <c r="G20" s="9"/>
      <c r="H20" s="9"/>
      <c r="M20" s="121"/>
      <c r="N20" s="122"/>
      <c r="O20" s="123"/>
      <c r="P20" s="123"/>
      <c r="Q20" s="125"/>
      <c r="R20" s="126"/>
    </row>
    <row r="21" spans="1:18" ht="21.75">
      <c r="A21" s="7"/>
      <c r="B21" s="7"/>
      <c r="C21" s="7"/>
      <c r="D21" s="7"/>
      <c r="E21" s="9"/>
      <c r="F21" s="10"/>
      <c r="G21" s="9"/>
      <c r="H21" s="9"/>
      <c r="M21" s="121"/>
      <c r="N21" s="122"/>
      <c r="O21" s="123"/>
      <c r="P21" s="123"/>
      <c r="Q21" s="125"/>
      <c r="R21" s="126"/>
    </row>
    <row r="22" spans="1:18" ht="21.75">
      <c r="A22" s="7"/>
      <c r="B22" s="7"/>
      <c r="C22" s="7"/>
      <c r="D22" s="7"/>
      <c r="E22" s="9"/>
      <c r="F22" s="10"/>
      <c r="G22" s="9"/>
      <c r="H22" s="9"/>
      <c r="M22" s="121"/>
      <c r="N22" s="122"/>
      <c r="O22" s="123"/>
      <c r="P22" s="123"/>
      <c r="Q22" s="125"/>
      <c r="R22" s="126"/>
    </row>
    <row r="23" spans="1:18" ht="21.75">
      <c r="A23" s="7"/>
      <c r="B23" s="7"/>
      <c r="C23" s="7"/>
      <c r="D23" s="7"/>
      <c r="E23" s="9"/>
      <c r="F23" s="10"/>
      <c r="G23" s="9"/>
      <c r="H23" s="9"/>
      <c r="M23" s="121"/>
      <c r="N23" s="122"/>
      <c r="O23" s="123"/>
      <c r="P23" s="123"/>
      <c r="Q23" s="125"/>
      <c r="R23" s="126"/>
    </row>
    <row r="24" spans="1:18" ht="21.75">
      <c r="A24" s="7"/>
      <c r="B24" s="7"/>
      <c r="C24" s="7"/>
      <c r="D24" s="7"/>
      <c r="E24" s="9"/>
      <c r="F24" s="10"/>
      <c r="G24" s="9"/>
      <c r="H24" s="9"/>
      <c r="M24" s="121"/>
      <c r="N24" s="122"/>
      <c r="O24" s="123"/>
      <c r="P24" s="123"/>
      <c r="Q24" s="125"/>
      <c r="R24" s="126"/>
    </row>
    <row r="25" spans="1:18" ht="21.75">
      <c r="A25" s="166"/>
      <c r="B25" s="166"/>
      <c r="C25" s="166"/>
      <c r="D25" s="166"/>
      <c r="E25" s="167"/>
      <c r="F25" s="168"/>
      <c r="G25" s="167"/>
      <c r="H25" s="167">
        <f>SUM(H17:H22)</f>
        <v>6000000</v>
      </c>
      <c r="M25" s="121"/>
      <c r="N25" s="122"/>
      <c r="O25" s="123"/>
      <c r="P25" s="123"/>
      <c r="Q25" s="125"/>
      <c r="R25" s="126"/>
    </row>
    <row r="26" spans="1:18" ht="21.75">
      <c r="M26" s="121"/>
      <c r="N26" s="122"/>
      <c r="O26" s="123"/>
      <c r="P26" s="123"/>
      <c r="Q26" s="125"/>
      <c r="R26" s="126"/>
    </row>
    <row r="27" spans="1:18" ht="21.75">
      <c r="A27" s="644" t="s">
        <v>3020</v>
      </c>
      <c r="B27" s="644"/>
      <c r="C27" s="644"/>
      <c r="D27" s="644"/>
      <c r="E27" s="644"/>
      <c r="F27" s="644"/>
      <c r="G27" s="644"/>
      <c r="H27" s="644"/>
      <c r="M27" s="121"/>
      <c r="N27" s="122"/>
      <c r="O27" s="123"/>
      <c r="P27" s="123"/>
      <c r="Q27" s="125"/>
      <c r="R27" s="126"/>
    </row>
    <row r="28" spans="1:18" ht="21.75">
      <c r="A28" s="645" t="s">
        <v>653</v>
      </c>
      <c r="B28" s="647" t="s">
        <v>654</v>
      </c>
      <c r="C28" s="645" t="s">
        <v>655</v>
      </c>
      <c r="D28" s="645" t="s">
        <v>12</v>
      </c>
      <c r="E28" s="647" t="s">
        <v>656</v>
      </c>
      <c r="F28" s="645" t="s">
        <v>657</v>
      </c>
      <c r="G28" s="647" t="s">
        <v>658</v>
      </c>
      <c r="H28" s="3" t="s">
        <v>659</v>
      </c>
      <c r="M28" s="121"/>
      <c r="N28" s="139"/>
      <c r="O28" s="140"/>
      <c r="P28" s="140"/>
      <c r="Q28" s="141"/>
      <c r="R28" s="142"/>
    </row>
    <row r="29" spans="1:18" ht="21.75">
      <c r="A29" s="646"/>
      <c r="B29" s="646"/>
      <c r="C29" s="646"/>
      <c r="D29" s="646"/>
      <c r="E29" s="648"/>
      <c r="F29" s="646"/>
      <c r="G29" s="646"/>
      <c r="H29" s="6" t="s">
        <v>660</v>
      </c>
    </row>
    <row r="30" spans="1:18" ht="21.75">
      <c r="A30" s="7">
        <v>1</v>
      </c>
      <c r="B30" s="7" t="s">
        <v>152</v>
      </c>
      <c r="C30" s="7" t="s">
        <v>220</v>
      </c>
      <c r="D30" s="7" t="s">
        <v>3714</v>
      </c>
      <c r="E30" s="9" t="s">
        <v>703</v>
      </c>
      <c r="F30" s="10" t="s">
        <v>3732</v>
      </c>
      <c r="G30" s="9">
        <v>450000</v>
      </c>
      <c r="H30" s="9"/>
      <c r="I30" s="757" t="s">
        <v>3733</v>
      </c>
    </row>
    <row r="31" spans="1:18" ht="21.75">
      <c r="A31" s="7"/>
      <c r="B31" s="7"/>
      <c r="C31" s="7" t="s">
        <v>679</v>
      </c>
      <c r="D31" s="7"/>
      <c r="E31" s="9" t="s">
        <v>3734</v>
      </c>
      <c r="F31" s="10" t="s">
        <v>3732</v>
      </c>
      <c r="G31" s="9">
        <v>450000</v>
      </c>
      <c r="H31" s="9"/>
      <c r="I31" s="757"/>
    </row>
    <row r="32" spans="1:18" ht="21.75">
      <c r="A32" s="7"/>
      <c r="B32" s="7"/>
      <c r="C32" s="7"/>
      <c r="D32" s="7" t="s">
        <v>600</v>
      </c>
      <c r="E32" s="9" t="s">
        <v>3362</v>
      </c>
      <c r="F32" s="10" t="s">
        <v>3735</v>
      </c>
      <c r="G32" s="9">
        <v>450000</v>
      </c>
      <c r="H32" s="9"/>
      <c r="I32" s="51" t="s">
        <v>3736</v>
      </c>
    </row>
    <row r="33" spans="1:9" ht="21.75">
      <c r="A33" s="7"/>
      <c r="B33" s="7"/>
      <c r="C33" s="7"/>
      <c r="D33" s="7"/>
      <c r="E33" s="9" t="s">
        <v>3737</v>
      </c>
      <c r="F33" s="10" t="s">
        <v>3738</v>
      </c>
      <c r="G33" s="9">
        <v>900000</v>
      </c>
      <c r="H33" s="9"/>
      <c r="I33" s="51" t="s">
        <v>1929</v>
      </c>
    </row>
    <row r="34" spans="1:9" ht="21.75">
      <c r="A34" s="7"/>
      <c r="B34" s="7"/>
      <c r="C34" s="7"/>
      <c r="D34" s="7"/>
      <c r="E34" s="9" t="s">
        <v>3739</v>
      </c>
      <c r="F34" s="10" t="s">
        <v>3740</v>
      </c>
      <c r="G34" s="9">
        <v>1350000</v>
      </c>
      <c r="H34" s="9"/>
      <c r="I34" s="51" t="s">
        <v>1929</v>
      </c>
    </row>
    <row r="35" spans="1:9" ht="21.75">
      <c r="A35" s="7"/>
      <c r="B35" s="7"/>
      <c r="C35" s="7"/>
      <c r="D35" s="7"/>
      <c r="E35" s="9" t="s">
        <v>3741</v>
      </c>
      <c r="F35" s="10" t="s">
        <v>3742</v>
      </c>
      <c r="G35" s="9">
        <v>450000</v>
      </c>
      <c r="H35" s="9"/>
    </row>
    <row r="36" spans="1:9" ht="21.75">
      <c r="A36" s="7"/>
      <c r="B36" s="7"/>
      <c r="C36" s="7"/>
      <c r="D36" s="7"/>
      <c r="E36" s="9" t="s">
        <v>3743</v>
      </c>
      <c r="F36" s="10" t="s">
        <v>3742</v>
      </c>
      <c r="G36" s="9">
        <v>360000</v>
      </c>
      <c r="H36" s="9"/>
      <c r="I36" s="51">
        <f>450000/30*24</f>
        <v>360000</v>
      </c>
    </row>
    <row r="37" spans="1:9" ht="21.75">
      <c r="A37" s="7"/>
      <c r="B37" s="7"/>
      <c r="C37" s="7"/>
      <c r="D37" s="7"/>
      <c r="E37" s="9" t="s">
        <v>2158</v>
      </c>
      <c r="F37" s="10" t="s">
        <v>3742</v>
      </c>
      <c r="G37" s="9">
        <v>-450000</v>
      </c>
      <c r="H37" s="9"/>
      <c r="I37" s="51" t="s">
        <v>3744</v>
      </c>
    </row>
    <row r="38" spans="1:9" ht="21.75">
      <c r="A38" s="7"/>
      <c r="B38" s="7"/>
      <c r="C38" s="7"/>
      <c r="D38" s="7"/>
      <c r="E38" s="9" t="s">
        <v>3745</v>
      </c>
      <c r="F38" s="10"/>
      <c r="G38" s="9"/>
      <c r="H38" s="9"/>
    </row>
    <row r="39" spans="1:9" ht="21.75">
      <c r="A39" s="7"/>
      <c r="B39" s="7"/>
      <c r="C39" s="7"/>
      <c r="D39" s="7"/>
      <c r="E39" s="9"/>
      <c r="F39" s="10"/>
      <c r="G39" s="9"/>
      <c r="H39" s="9"/>
    </row>
    <row r="40" spans="1:9" ht="21.75">
      <c r="A40" s="7"/>
      <c r="B40" s="7"/>
      <c r="C40" s="7"/>
      <c r="D40" s="7"/>
      <c r="E40" s="9"/>
      <c r="F40" s="10"/>
      <c r="G40" s="9"/>
      <c r="H40" s="9"/>
    </row>
    <row r="41" spans="1:9" ht="21.75">
      <c r="A41" s="166"/>
      <c r="B41" s="166"/>
      <c r="C41" s="166"/>
      <c r="D41" s="166"/>
      <c r="E41" s="167"/>
      <c r="F41" s="168"/>
      <c r="G41" s="167">
        <f>SUM(G30:G40)</f>
        <v>3960000</v>
      </c>
      <c r="H41" s="167">
        <f>SUM(H35:H40)</f>
        <v>0</v>
      </c>
    </row>
    <row r="43" spans="1:9" ht="21.75">
      <c r="A43" s="644" t="s">
        <v>3746</v>
      </c>
      <c r="B43" s="644"/>
      <c r="C43" s="644"/>
      <c r="D43" s="644"/>
      <c r="E43" s="644"/>
      <c r="F43" s="644"/>
      <c r="G43" s="644"/>
      <c r="H43" s="644"/>
    </row>
    <row r="44" spans="1:9" ht="21.75">
      <c r="A44" s="645" t="s">
        <v>653</v>
      </c>
      <c r="B44" s="647" t="s">
        <v>654</v>
      </c>
      <c r="C44" s="645" t="s">
        <v>655</v>
      </c>
      <c r="D44" s="645" t="s">
        <v>12</v>
      </c>
      <c r="E44" s="647" t="s">
        <v>656</v>
      </c>
      <c r="F44" s="645" t="s">
        <v>657</v>
      </c>
      <c r="G44" s="647" t="s">
        <v>658</v>
      </c>
      <c r="H44" s="3" t="s">
        <v>659</v>
      </c>
    </row>
    <row r="45" spans="1:9" ht="21.75">
      <c r="A45" s="646"/>
      <c r="B45" s="646"/>
      <c r="C45" s="646"/>
      <c r="D45" s="646"/>
      <c r="E45" s="648"/>
      <c r="F45" s="646"/>
      <c r="G45" s="646"/>
      <c r="H45" s="6" t="s">
        <v>660</v>
      </c>
    </row>
    <row r="46" spans="1:9" ht="21.75">
      <c r="A46" s="7">
        <v>1</v>
      </c>
      <c r="B46" s="7" t="s">
        <v>152</v>
      </c>
      <c r="C46" s="7" t="s">
        <v>220</v>
      </c>
      <c r="D46" s="7" t="s">
        <v>3714</v>
      </c>
      <c r="E46" s="9" t="s">
        <v>703</v>
      </c>
      <c r="F46" s="10" t="s">
        <v>3747</v>
      </c>
      <c r="G46" s="9">
        <v>500000</v>
      </c>
      <c r="H46" s="9"/>
    </row>
    <row r="47" spans="1:9" ht="21.75">
      <c r="A47" s="7"/>
      <c r="B47" s="7"/>
      <c r="C47" s="7" t="s">
        <v>679</v>
      </c>
      <c r="D47" s="7"/>
      <c r="E47" s="9" t="s">
        <v>3748</v>
      </c>
      <c r="F47" s="10" t="s">
        <v>3747</v>
      </c>
      <c r="G47" s="9">
        <v>500000</v>
      </c>
      <c r="H47" s="9"/>
    </row>
    <row r="48" spans="1:9" ht="21.75">
      <c r="A48" s="7"/>
      <c r="B48" s="7"/>
      <c r="C48" s="7"/>
      <c r="D48" s="7"/>
      <c r="E48" s="9" t="s">
        <v>3749</v>
      </c>
      <c r="F48" s="10" t="s">
        <v>3750</v>
      </c>
      <c r="G48" s="9">
        <v>500000</v>
      </c>
      <c r="H48" s="9"/>
      <c r="I48" s="51" t="s">
        <v>3751</v>
      </c>
    </row>
    <row r="49" spans="1:9" ht="21.75">
      <c r="A49" s="7"/>
      <c r="B49" s="7"/>
      <c r="C49" s="7"/>
      <c r="D49" s="7"/>
      <c r="E49" s="9"/>
      <c r="F49" s="10"/>
      <c r="G49" s="9"/>
      <c r="H49" s="9"/>
    </row>
    <row r="50" spans="1:9" ht="21.75">
      <c r="A50" s="7"/>
      <c r="B50" s="7"/>
      <c r="C50" s="7"/>
      <c r="D50" s="7"/>
      <c r="E50" s="9"/>
      <c r="F50" s="10"/>
      <c r="G50" s="9"/>
      <c r="H50" s="9"/>
    </row>
    <row r="51" spans="1:9" ht="21.75">
      <c r="A51" s="7"/>
      <c r="B51" s="7"/>
      <c r="C51" s="7"/>
      <c r="D51" s="7"/>
      <c r="E51" s="9"/>
      <c r="F51" s="10"/>
      <c r="G51" s="9"/>
      <c r="H51" s="9"/>
    </row>
    <row r="52" spans="1:9" ht="21.75">
      <c r="A52" s="7"/>
      <c r="B52" s="7"/>
      <c r="C52" s="7"/>
      <c r="D52" s="7"/>
      <c r="E52" s="9"/>
      <c r="F52" s="10"/>
      <c r="G52" s="9"/>
      <c r="H52" s="9"/>
    </row>
    <row r="53" spans="1:9" ht="21.75">
      <c r="A53" s="7"/>
      <c r="B53" s="7"/>
      <c r="C53" s="7"/>
      <c r="D53" s="7"/>
      <c r="E53" s="9"/>
      <c r="F53" s="10"/>
      <c r="G53" s="9"/>
      <c r="H53" s="9"/>
    </row>
    <row r="54" spans="1:9" ht="21.75">
      <c r="A54" s="166"/>
      <c r="B54" s="166"/>
      <c r="C54" s="166"/>
      <c r="D54" s="166"/>
      <c r="E54" s="167"/>
      <c r="F54" s="168"/>
      <c r="G54" s="167">
        <f>SUM(G46:G53)</f>
        <v>1500000</v>
      </c>
      <c r="H54" s="167"/>
    </row>
    <row r="56" spans="1:9" ht="21.75">
      <c r="A56" s="644" t="s">
        <v>2160</v>
      </c>
      <c r="B56" s="644"/>
      <c r="C56" s="644"/>
      <c r="D56" s="644"/>
      <c r="E56" s="644"/>
      <c r="F56" s="644"/>
      <c r="G56" s="644"/>
      <c r="H56" s="644"/>
    </row>
    <row r="57" spans="1:9" ht="21.75">
      <c r="A57" s="645" t="s">
        <v>653</v>
      </c>
      <c r="B57" s="647" t="s">
        <v>654</v>
      </c>
      <c r="C57" s="645" t="s">
        <v>655</v>
      </c>
      <c r="D57" s="645" t="s">
        <v>12</v>
      </c>
      <c r="E57" s="647" t="s">
        <v>656</v>
      </c>
      <c r="F57" s="645" t="s">
        <v>657</v>
      </c>
      <c r="G57" s="647" t="s">
        <v>658</v>
      </c>
      <c r="H57" s="3" t="s">
        <v>659</v>
      </c>
    </row>
    <row r="58" spans="1:9" ht="21.75">
      <c r="A58" s="646"/>
      <c r="B58" s="646"/>
      <c r="C58" s="646"/>
      <c r="D58" s="646"/>
      <c r="E58" s="648"/>
      <c r="F58" s="646"/>
      <c r="G58" s="646"/>
      <c r="H58" s="6" t="s">
        <v>660</v>
      </c>
    </row>
    <row r="59" spans="1:9" ht="21.75">
      <c r="A59" s="7">
        <v>1</v>
      </c>
      <c r="B59" s="7" t="s">
        <v>152</v>
      </c>
      <c r="C59" s="7" t="s">
        <v>3752</v>
      </c>
      <c r="D59" s="7" t="s">
        <v>600</v>
      </c>
      <c r="E59" s="9" t="s">
        <v>703</v>
      </c>
      <c r="F59" s="10" t="s">
        <v>3753</v>
      </c>
      <c r="G59" s="9">
        <v>500000</v>
      </c>
      <c r="H59" s="9"/>
    </row>
    <row r="60" spans="1:9" ht="21.75">
      <c r="A60" s="7"/>
      <c r="B60" s="7"/>
      <c r="C60" s="7" t="s">
        <v>679</v>
      </c>
      <c r="D60" s="7"/>
      <c r="E60" s="9" t="s">
        <v>3754</v>
      </c>
      <c r="F60" s="10" t="s">
        <v>3753</v>
      </c>
      <c r="G60" s="9">
        <v>500000</v>
      </c>
      <c r="H60" s="9"/>
    </row>
    <row r="61" spans="1:9" ht="21.75">
      <c r="A61" s="7"/>
      <c r="B61" s="7"/>
      <c r="C61" s="7"/>
      <c r="D61" s="7"/>
      <c r="E61" s="9" t="s">
        <v>3755</v>
      </c>
      <c r="F61" s="10" t="s">
        <v>3756</v>
      </c>
      <c r="G61" s="9">
        <v>500000</v>
      </c>
      <c r="H61" s="9"/>
    </row>
    <row r="62" spans="1:9" ht="21.75">
      <c r="A62" s="7"/>
      <c r="B62" s="7"/>
      <c r="C62" s="7"/>
      <c r="D62" s="7"/>
      <c r="E62" s="9" t="s">
        <v>3757</v>
      </c>
      <c r="F62" s="10" t="s">
        <v>3758</v>
      </c>
      <c r="G62" s="9">
        <v>500000</v>
      </c>
      <c r="H62" s="9"/>
      <c r="I62" s="51" t="s">
        <v>3759</v>
      </c>
    </row>
    <row r="63" spans="1:9" ht="21.75">
      <c r="A63" s="7"/>
      <c r="B63" s="7"/>
      <c r="C63" s="7"/>
      <c r="D63" s="7"/>
      <c r="E63" s="9" t="s">
        <v>3760</v>
      </c>
      <c r="F63" s="10" t="s">
        <v>3761</v>
      </c>
      <c r="G63" s="9">
        <v>2000000</v>
      </c>
      <c r="H63" s="9"/>
    </row>
    <row r="64" spans="1:9" ht="21.75">
      <c r="A64" s="7"/>
      <c r="B64" s="7"/>
      <c r="C64" s="7"/>
      <c r="D64" s="7"/>
      <c r="E64" s="9" t="s">
        <v>1066</v>
      </c>
      <c r="F64" s="10" t="s">
        <v>3761</v>
      </c>
      <c r="G64" s="9">
        <v>-500000</v>
      </c>
      <c r="H64" s="9"/>
    </row>
    <row r="65" spans="1:9" ht="21.75">
      <c r="A65" s="7"/>
      <c r="B65" s="7"/>
      <c r="C65" s="7"/>
      <c r="D65" s="7"/>
      <c r="E65" s="9" t="s">
        <v>1076</v>
      </c>
      <c r="F65" s="10"/>
      <c r="G65" s="9">
        <v>350000</v>
      </c>
      <c r="H65" s="9"/>
    </row>
    <row r="66" spans="1:9" ht="21.75">
      <c r="A66" s="7"/>
      <c r="B66" s="7"/>
      <c r="C66" s="7"/>
      <c r="D66" s="7"/>
      <c r="E66" s="9"/>
      <c r="F66" s="10"/>
      <c r="G66" s="9"/>
      <c r="H66" s="9"/>
    </row>
    <row r="67" spans="1:9" ht="21.75">
      <c r="A67" s="166"/>
      <c r="B67" s="166"/>
      <c r="C67" s="166"/>
      <c r="D67" s="166"/>
      <c r="E67" s="167"/>
      <c r="F67" s="168"/>
      <c r="G67" s="167">
        <f>SUM(G59:G66)</f>
        <v>3850000</v>
      </c>
      <c r="H67" s="167"/>
    </row>
    <row r="70" spans="1:9" ht="21.75">
      <c r="A70" s="644" t="s">
        <v>3762</v>
      </c>
      <c r="B70" s="644"/>
      <c r="C70" s="644"/>
      <c r="D70" s="644"/>
      <c r="E70" s="644"/>
      <c r="F70" s="644"/>
      <c r="G70" s="644"/>
      <c r="H70" s="644"/>
    </row>
    <row r="71" spans="1:9" ht="21.75">
      <c r="A71" s="645" t="s">
        <v>653</v>
      </c>
      <c r="B71" s="647" t="s">
        <v>654</v>
      </c>
      <c r="C71" s="645" t="s">
        <v>655</v>
      </c>
      <c r="D71" s="645" t="s">
        <v>12</v>
      </c>
      <c r="E71" s="647" t="s">
        <v>656</v>
      </c>
      <c r="F71" s="645" t="s">
        <v>657</v>
      </c>
      <c r="G71" s="647" t="s">
        <v>658</v>
      </c>
      <c r="H71" s="3" t="s">
        <v>659</v>
      </c>
    </row>
    <row r="72" spans="1:9" ht="21.75">
      <c r="A72" s="646"/>
      <c r="B72" s="646"/>
      <c r="C72" s="646"/>
      <c r="D72" s="646"/>
      <c r="E72" s="648"/>
      <c r="F72" s="646"/>
      <c r="G72" s="646"/>
      <c r="H72" s="6" t="s">
        <v>660</v>
      </c>
    </row>
    <row r="73" spans="1:9" ht="21.75">
      <c r="A73" s="7">
        <v>1</v>
      </c>
      <c r="B73" s="7" t="s">
        <v>152</v>
      </c>
      <c r="C73" s="7" t="s">
        <v>3752</v>
      </c>
      <c r="D73" s="7" t="s">
        <v>600</v>
      </c>
      <c r="E73" s="9" t="s">
        <v>703</v>
      </c>
      <c r="F73" s="10" t="s">
        <v>3763</v>
      </c>
      <c r="G73" s="9">
        <v>500000</v>
      </c>
      <c r="H73" s="9"/>
    </row>
    <row r="74" spans="1:9" ht="21.75">
      <c r="A74" s="7"/>
      <c r="B74" s="7"/>
      <c r="C74" s="7" t="s">
        <v>679</v>
      </c>
      <c r="D74" s="7"/>
      <c r="E74" s="7" t="s">
        <v>3764</v>
      </c>
      <c r="F74" s="10" t="s">
        <v>3763</v>
      </c>
      <c r="G74" s="9">
        <v>500000</v>
      </c>
      <c r="H74" s="9"/>
    </row>
    <row r="75" spans="1:9" ht="21.75">
      <c r="A75" s="7"/>
      <c r="B75" s="7"/>
      <c r="C75" s="7"/>
      <c r="D75" s="7"/>
      <c r="E75" s="9" t="s">
        <v>3765</v>
      </c>
      <c r="F75" s="10" t="s">
        <v>3766</v>
      </c>
      <c r="G75" s="9">
        <v>116700</v>
      </c>
      <c r="H75" s="9" t="s">
        <v>1042</v>
      </c>
    </row>
    <row r="76" spans="1:9" ht="21.75">
      <c r="A76" s="7"/>
      <c r="B76" s="7"/>
      <c r="C76" s="7"/>
      <c r="D76" s="7"/>
      <c r="E76" s="9" t="s">
        <v>3767</v>
      </c>
      <c r="F76" s="10" t="s">
        <v>3768</v>
      </c>
      <c r="G76" s="9">
        <v>600000</v>
      </c>
      <c r="H76" s="9" t="s">
        <v>1042</v>
      </c>
      <c r="I76" s="51" t="s">
        <v>2594</v>
      </c>
    </row>
    <row r="77" spans="1:9" ht="21.75">
      <c r="A77" s="7"/>
      <c r="B77" s="7"/>
      <c r="C77" s="7"/>
      <c r="D77" s="7"/>
      <c r="E77" s="9"/>
      <c r="F77" s="10"/>
      <c r="G77" s="9"/>
      <c r="H77" s="9"/>
    </row>
    <row r="78" spans="1:9" ht="21.75">
      <c r="A78" s="7"/>
      <c r="B78" s="7"/>
      <c r="C78" s="7"/>
      <c r="D78" s="7"/>
      <c r="E78" s="9"/>
      <c r="F78" s="10"/>
      <c r="G78" s="9"/>
      <c r="H78" s="9"/>
    </row>
    <row r="79" spans="1:9" ht="21.75">
      <c r="A79" s="7"/>
      <c r="B79" s="7"/>
      <c r="C79" s="7"/>
      <c r="D79" s="7"/>
      <c r="E79" s="9"/>
      <c r="F79" s="10"/>
      <c r="G79" s="9"/>
      <c r="H79" s="9"/>
    </row>
    <row r="80" spans="1:9" ht="21.75">
      <c r="A80" s="7"/>
      <c r="B80" s="7"/>
      <c r="C80" s="7"/>
      <c r="D80" s="7"/>
      <c r="E80" s="9"/>
      <c r="F80" s="10"/>
      <c r="G80" s="9"/>
      <c r="H80" s="9"/>
    </row>
    <row r="81" spans="1:9" ht="21.75">
      <c r="A81" s="166"/>
      <c r="B81" s="166"/>
      <c r="C81" s="166"/>
      <c r="D81" s="166"/>
      <c r="E81" s="167"/>
      <c r="F81" s="168"/>
      <c r="G81" s="167">
        <f>SUM(G73:G80)</f>
        <v>1716700</v>
      </c>
      <c r="H81" s="167"/>
    </row>
    <row r="85" spans="1:9" ht="21.75">
      <c r="A85" s="644" t="s">
        <v>3769</v>
      </c>
      <c r="B85" s="644"/>
      <c r="C85" s="644"/>
      <c r="D85" s="644"/>
      <c r="E85" s="644"/>
      <c r="F85" s="644"/>
      <c r="G85" s="644"/>
      <c r="H85" s="644"/>
    </row>
    <row r="86" spans="1:9" ht="21.75">
      <c r="A86" s="645" t="s">
        <v>653</v>
      </c>
      <c r="B86" s="647" t="s">
        <v>654</v>
      </c>
      <c r="C86" s="645" t="s">
        <v>655</v>
      </c>
      <c r="D86" s="645" t="s">
        <v>12</v>
      </c>
      <c r="E86" s="647" t="s">
        <v>656</v>
      </c>
      <c r="F86" s="645" t="s">
        <v>657</v>
      </c>
      <c r="G86" s="647" t="s">
        <v>658</v>
      </c>
      <c r="H86" s="3" t="s">
        <v>659</v>
      </c>
    </row>
    <row r="87" spans="1:9" ht="21.75">
      <c r="A87" s="646"/>
      <c r="B87" s="646"/>
      <c r="C87" s="646"/>
      <c r="D87" s="646"/>
      <c r="E87" s="648"/>
      <c r="F87" s="646"/>
      <c r="G87" s="646"/>
      <c r="H87" s="6" t="s">
        <v>660</v>
      </c>
    </row>
    <row r="88" spans="1:9" ht="21.75">
      <c r="A88" s="7">
        <v>1</v>
      </c>
      <c r="B88" s="7" t="s">
        <v>152</v>
      </c>
      <c r="C88" s="7" t="s">
        <v>3752</v>
      </c>
      <c r="D88" s="7" t="s">
        <v>600</v>
      </c>
      <c r="E88" s="9" t="s">
        <v>703</v>
      </c>
      <c r="F88" s="10" t="s">
        <v>3770</v>
      </c>
      <c r="G88" s="9">
        <v>600000</v>
      </c>
      <c r="H88" s="9"/>
      <c r="I88" s="757" t="s">
        <v>2776</v>
      </c>
    </row>
    <row r="89" spans="1:9" ht="21.75">
      <c r="A89" s="7"/>
      <c r="B89" s="7"/>
      <c r="C89" s="7" t="s">
        <v>679</v>
      </c>
      <c r="D89" s="7"/>
      <c r="E89" s="7" t="s">
        <v>3771</v>
      </c>
      <c r="F89" s="10" t="s">
        <v>3770</v>
      </c>
      <c r="G89" s="9">
        <v>600000</v>
      </c>
      <c r="H89" s="9"/>
      <c r="I89" s="757"/>
    </row>
    <row r="90" spans="1:9" ht="21.75">
      <c r="A90" s="7"/>
      <c r="B90" s="7"/>
      <c r="C90" s="7"/>
      <c r="D90" s="7"/>
      <c r="E90" s="9" t="s">
        <v>3772</v>
      </c>
      <c r="F90" s="10" t="s">
        <v>3773</v>
      </c>
      <c r="G90" s="9">
        <v>600000</v>
      </c>
      <c r="H90" s="9"/>
      <c r="I90" s="51" t="s">
        <v>3774</v>
      </c>
    </row>
    <row r="91" spans="1:9" ht="21.75">
      <c r="A91" s="7"/>
      <c r="B91" s="7"/>
      <c r="C91" s="7"/>
      <c r="D91" s="7"/>
      <c r="E91" s="9" t="s">
        <v>3775</v>
      </c>
      <c r="F91" s="10" t="s">
        <v>3776</v>
      </c>
      <c r="G91" s="9">
        <v>600000</v>
      </c>
      <c r="H91" s="9"/>
      <c r="I91" s="51" t="s">
        <v>3777</v>
      </c>
    </row>
    <row r="92" spans="1:9" ht="21.75">
      <c r="A92" s="7"/>
      <c r="B92" s="7"/>
      <c r="C92" s="7"/>
      <c r="D92" s="7" t="s">
        <v>1306</v>
      </c>
      <c r="E92" s="9" t="s">
        <v>3778</v>
      </c>
      <c r="F92" s="10" t="s">
        <v>3779</v>
      </c>
      <c r="G92" s="9">
        <v>1200000</v>
      </c>
      <c r="H92" s="9"/>
      <c r="I92" s="51" t="s">
        <v>3780</v>
      </c>
    </row>
    <row r="93" spans="1:9" ht="21.75">
      <c r="A93" s="7"/>
      <c r="B93" s="7"/>
      <c r="C93" s="7"/>
      <c r="D93" s="7" t="s">
        <v>955</v>
      </c>
      <c r="E93" s="9" t="s">
        <v>3781</v>
      </c>
      <c r="F93" s="10" t="s">
        <v>3782</v>
      </c>
      <c r="G93" s="9">
        <v>600000</v>
      </c>
      <c r="H93" s="9"/>
      <c r="I93" s="51" t="s">
        <v>3780</v>
      </c>
    </row>
    <row r="94" spans="1:9" ht="21.75">
      <c r="A94" s="7"/>
      <c r="B94" s="7"/>
      <c r="C94" s="7"/>
      <c r="D94" s="7"/>
      <c r="E94" s="9"/>
      <c r="F94" s="10"/>
      <c r="G94" s="9"/>
      <c r="H94" s="9"/>
    </row>
    <row r="95" spans="1:9" ht="21.75">
      <c r="A95" s="7"/>
      <c r="B95" s="7"/>
      <c r="C95" s="7"/>
      <c r="D95" s="7"/>
      <c r="E95" s="9"/>
      <c r="F95" s="10"/>
      <c r="G95" s="9"/>
      <c r="H95" s="9"/>
    </row>
    <row r="96" spans="1:9" ht="21.75">
      <c r="A96" s="166"/>
      <c r="B96" s="166"/>
      <c r="C96" s="166"/>
      <c r="D96" s="166"/>
      <c r="E96" s="167"/>
      <c r="F96" s="168"/>
      <c r="G96" s="167">
        <f>SUM(G88:G95)</f>
        <v>4200000</v>
      </c>
      <c r="H96" s="167"/>
    </row>
    <row r="98" spans="1:12" s="25" customFormat="1" ht="26.25">
      <c r="A98" s="680" t="s">
        <v>219</v>
      </c>
      <c r="B98" s="680"/>
      <c r="C98" s="680"/>
      <c r="D98" s="680"/>
      <c r="E98" s="680"/>
      <c r="F98" s="680"/>
      <c r="G98" s="680"/>
      <c r="H98" s="680"/>
      <c r="I98" s="680"/>
    </row>
    <row r="99" spans="1:12" s="25" customFormat="1" ht="43.5">
      <c r="A99" s="33" t="s">
        <v>818</v>
      </c>
      <c r="B99" s="145" t="s">
        <v>697</v>
      </c>
      <c r="C99" s="145" t="s">
        <v>12</v>
      </c>
      <c r="D99" s="33" t="s">
        <v>699</v>
      </c>
      <c r="E99" s="33" t="s">
        <v>657</v>
      </c>
      <c r="F99" s="145" t="s">
        <v>700</v>
      </c>
      <c r="G99" s="33" t="s">
        <v>660</v>
      </c>
      <c r="H99" s="33"/>
      <c r="I99" s="33" t="s">
        <v>27</v>
      </c>
    </row>
    <row r="100" spans="1:12" s="25" customFormat="1" ht="21.75">
      <c r="A100" s="7">
        <v>1</v>
      </c>
      <c r="B100" s="7" t="s">
        <v>152</v>
      </c>
      <c r="C100" s="7" t="s">
        <v>304</v>
      </c>
      <c r="D100" s="146" t="s">
        <v>703</v>
      </c>
      <c r="E100" s="147" t="s">
        <v>3011</v>
      </c>
      <c r="F100" s="9" t="s">
        <v>2832</v>
      </c>
      <c r="G100" s="9">
        <v>600000</v>
      </c>
      <c r="H100" s="9"/>
      <c r="I100" s="9"/>
    </row>
    <row r="101" spans="1:12" s="25" customFormat="1" ht="21.75">
      <c r="A101" s="7"/>
      <c r="B101" s="7"/>
      <c r="C101" s="7" t="s">
        <v>3012</v>
      </c>
      <c r="D101" s="148" t="s">
        <v>3013</v>
      </c>
      <c r="E101" s="147" t="s">
        <v>3011</v>
      </c>
      <c r="F101" s="9" t="s">
        <v>2832</v>
      </c>
      <c r="G101" s="9">
        <v>600000</v>
      </c>
      <c r="H101" s="9"/>
      <c r="I101" s="9"/>
    </row>
    <row r="102" spans="1:12" s="25" customFormat="1" ht="21.75">
      <c r="A102" s="7"/>
      <c r="B102" s="7"/>
      <c r="C102" s="7" t="s">
        <v>3014</v>
      </c>
      <c r="D102" s="149" t="s">
        <v>3015</v>
      </c>
      <c r="E102" s="147" t="s">
        <v>3016</v>
      </c>
      <c r="F102" s="9" t="s">
        <v>2526</v>
      </c>
      <c r="G102" s="9">
        <v>1200000</v>
      </c>
      <c r="H102" s="9"/>
      <c r="I102" s="9"/>
    </row>
    <row r="103" spans="1:12" s="25" customFormat="1" ht="21.75">
      <c r="A103" s="7"/>
      <c r="B103" s="7"/>
      <c r="C103" s="7"/>
      <c r="D103" s="149" t="s">
        <v>3017</v>
      </c>
      <c r="E103" s="147" t="s">
        <v>3018</v>
      </c>
      <c r="F103" s="9" t="s">
        <v>3019</v>
      </c>
      <c r="G103" s="9">
        <v>1200000</v>
      </c>
      <c r="H103" s="9"/>
      <c r="I103" s="9"/>
    </row>
    <row r="105" spans="1:12" ht="21.75">
      <c r="A105" s="644" t="s">
        <v>3783</v>
      </c>
      <c r="B105" s="644"/>
      <c r="C105" s="644"/>
      <c r="D105" s="644"/>
      <c r="E105" s="644"/>
      <c r="F105" s="644"/>
      <c r="G105" s="644"/>
      <c r="H105" s="644"/>
    </row>
    <row r="106" spans="1:12" ht="21.75">
      <c r="A106" s="645" t="s">
        <v>653</v>
      </c>
      <c r="B106" s="647" t="s">
        <v>654</v>
      </c>
      <c r="C106" s="645" t="s">
        <v>655</v>
      </c>
      <c r="D106" s="645" t="s">
        <v>12</v>
      </c>
      <c r="E106" s="647" t="s">
        <v>656</v>
      </c>
      <c r="F106" s="645" t="s">
        <v>657</v>
      </c>
      <c r="G106" s="647" t="s">
        <v>658</v>
      </c>
      <c r="H106" s="3" t="s">
        <v>659</v>
      </c>
    </row>
    <row r="107" spans="1:12" ht="21.75">
      <c r="A107" s="646"/>
      <c r="B107" s="646"/>
      <c r="C107" s="646"/>
      <c r="D107" s="646"/>
      <c r="E107" s="648"/>
      <c r="F107" s="646"/>
      <c r="G107" s="646"/>
      <c r="H107" s="6" t="s">
        <v>660</v>
      </c>
      <c r="J107" s="51" t="s">
        <v>1162</v>
      </c>
      <c r="K107" s="51" t="s">
        <v>3784</v>
      </c>
      <c r="L107" s="51">
        <v>88000</v>
      </c>
    </row>
    <row r="108" spans="1:12" ht="21.75">
      <c r="A108" s="7">
        <v>1</v>
      </c>
      <c r="B108" s="7" t="s">
        <v>152</v>
      </c>
      <c r="C108" s="7" t="s">
        <v>220</v>
      </c>
      <c r="D108" s="7" t="s">
        <v>5</v>
      </c>
      <c r="E108" s="9" t="s">
        <v>3785</v>
      </c>
      <c r="F108" s="10" t="s">
        <v>3786</v>
      </c>
      <c r="G108" s="9" t="s">
        <v>3787</v>
      </c>
      <c r="H108" s="9">
        <v>600000</v>
      </c>
      <c r="K108" s="51" t="s">
        <v>3788</v>
      </c>
      <c r="L108" s="51">
        <v>15000</v>
      </c>
    </row>
    <row r="109" spans="1:12" ht="21.75">
      <c r="A109" s="7"/>
      <c r="B109" s="7"/>
      <c r="C109" s="7" t="s">
        <v>679</v>
      </c>
      <c r="D109" s="7"/>
      <c r="E109" s="7" t="s">
        <v>3789</v>
      </c>
      <c r="F109" s="10" t="s">
        <v>3786</v>
      </c>
      <c r="G109" s="9" t="s">
        <v>3787</v>
      </c>
      <c r="H109" s="9">
        <v>600000</v>
      </c>
    </row>
    <row r="110" spans="1:12" ht="21.75">
      <c r="A110" s="7"/>
      <c r="B110" s="7"/>
      <c r="C110" s="7"/>
      <c r="D110" s="7"/>
      <c r="E110" s="9" t="s">
        <v>3790</v>
      </c>
      <c r="F110" s="10" t="s">
        <v>3791</v>
      </c>
      <c r="G110" s="9" t="s">
        <v>1310</v>
      </c>
      <c r="H110" s="9">
        <v>2400000</v>
      </c>
      <c r="I110" s="51" t="s">
        <v>799</v>
      </c>
    </row>
    <row r="111" spans="1:12" ht="21.75">
      <c r="A111" s="7"/>
      <c r="B111" s="7"/>
      <c r="C111" s="7"/>
      <c r="D111" s="7"/>
      <c r="E111" s="9" t="s">
        <v>3792</v>
      </c>
      <c r="F111" s="10" t="s">
        <v>3793</v>
      </c>
      <c r="G111" s="9" t="s">
        <v>1937</v>
      </c>
      <c r="H111" s="9">
        <v>1600000</v>
      </c>
      <c r="I111" s="51" t="s">
        <v>3794</v>
      </c>
    </row>
    <row r="112" spans="1:12" ht="21.75">
      <c r="A112" s="7"/>
      <c r="B112" s="7"/>
      <c r="C112" s="7"/>
      <c r="D112" s="7"/>
      <c r="E112" s="9" t="s">
        <v>222</v>
      </c>
      <c r="F112" s="10" t="s">
        <v>3795</v>
      </c>
      <c r="G112" s="9" t="s">
        <v>1941</v>
      </c>
      <c r="H112" s="9">
        <v>1600000</v>
      </c>
      <c r="I112" s="51" t="s">
        <v>3794</v>
      </c>
      <c r="K112" s="51" t="s">
        <v>665</v>
      </c>
      <c r="L112" s="51">
        <f>SUM(L107:L111)</f>
        <v>103000</v>
      </c>
    </row>
    <row r="113" spans="1:8" ht="21.75">
      <c r="A113" s="7"/>
      <c r="B113" s="7"/>
      <c r="C113" s="7"/>
      <c r="D113" s="7"/>
      <c r="E113" s="9"/>
      <c r="F113" s="10"/>
      <c r="G113" s="9"/>
      <c r="H113" s="9"/>
    </row>
    <row r="114" spans="1:8" ht="21.75">
      <c r="A114" s="7"/>
      <c r="B114" s="7"/>
      <c r="C114" s="7"/>
      <c r="D114" s="7"/>
      <c r="E114" s="9"/>
      <c r="F114" s="10"/>
      <c r="G114" s="9"/>
      <c r="H114" s="9"/>
    </row>
    <row r="115" spans="1:8" ht="21.75">
      <c r="A115" s="7"/>
      <c r="B115" s="7"/>
      <c r="C115" s="7"/>
      <c r="D115" s="7"/>
      <c r="E115" s="9"/>
      <c r="F115" s="10"/>
      <c r="G115" s="9"/>
      <c r="H115" s="9"/>
    </row>
    <row r="116" spans="1:8" ht="21.75">
      <c r="A116" s="166"/>
      <c r="B116" s="166"/>
      <c r="C116" s="166"/>
      <c r="D116" s="166"/>
      <c r="E116" s="167"/>
      <c r="F116" s="168"/>
      <c r="G116" s="167"/>
      <c r="H116" s="167">
        <f>SUM(H108:H115)</f>
        <v>6800000</v>
      </c>
    </row>
  </sheetData>
  <mergeCells count="73">
    <mergeCell ref="A2:H2"/>
    <mergeCell ref="N2:Q2"/>
    <mergeCell ref="A3:A4"/>
    <mergeCell ref="B3:B4"/>
    <mergeCell ref="C3:C4"/>
    <mergeCell ref="D3:D4"/>
    <mergeCell ref="E3:E4"/>
    <mergeCell ref="F3:F4"/>
    <mergeCell ref="G3:G4"/>
    <mergeCell ref="N3:N4"/>
    <mergeCell ref="O3:O4"/>
    <mergeCell ref="P3:P4"/>
    <mergeCell ref="Q3:Q4"/>
    <mergeCell ref="R3:R4"/>
    <mergeCell ref="A14:H14"/>
    <mergeCell ref="F15:F16"/>
    <mergeCell ref="G15:G16"/>
    <mergeCell ref="A27:H27"/>
    <mergeCell ref="F28:F29"/>
    <mergeCell ref="G28:G29"/>
    <mergeCell ref="A15:A16"/>
    <mergeCell ref="B15:B16"/>
    <mergeCell ref="C15:C16"/>
    <mergeCell ref="D15:D16"/>
    <mergeCell ref="E15:E16"/>
    <mergeCell ref="A28:A29"/>
    <mergeCell ref="B28:B29"/>
    <mergeCell ref="C28:C29"/>
    <mergeCell ref="D28:D29"/>
    <mergeCell ref="E28:E29"/>
    <mergeCell ref="I30:I31"/>
    <mergeCell ref="A43:H43"/>
    <mergeCell ref="A44:A45"/>
    <mergeCell ref="B44:B45"/>
    <mergeCell ref="C44:C45"/>
    <mergeCell ref="D44:D45"/>
    <mergeCell ref="E44:E45"/>
    <mergeCell ref="F44:F45"/>
    <mergeCell ref="G44:G45"/>
    <mergeCell ref="A56:H56"/>
    <mergeCell ref="A57:A58"/>
    <mergeCell ref="B57:B58"/>
    <mergeCell ref="C57:C58"/>
    <mergeCell ref="D57:D58"/>
    <mergeCell ref="E57:E58"/>
    <mergeCell ref="F57:F58"/>
    <mergeCell ref="G57:G58"/>
    <mergeCell ref="A70:H70"/>
    <mergeCell ref="A71:A72"/>
    <mergeCell ref="B71:B72"/>
    <mergeCell ref="C71:C72"/>
    <mergeCell ref="D71:D72"/>
    <mergeCell ref="E71:E72"/>
    <mergeCell ref="F71:F72"/>
    <mergeCell ref="G71:G72"/>
    <mergeCell ref="A85:H85"/>
    <mergeCell ref="A86:A87"/>
    <mergeCell ref="B86:B87"/>
    <mergeCell ref="C86:C87"/>
    <mergeCell ref="D86:D87"/>
    <mergeCell ref="E86:E87"/>
    <mergeCell ref="F86:F87"/>
    <mergeCell ref="G86:G87"/>
    <mergeCell ref="I88:I89"/>
    <mergeCell ref="A105:H105"/>
    <mergeCell ref="A106:A107"/>
    <mergeCell ref="B106:B107"/>
    <mergeCell ref="C106:C107"/>
    <mergeCell ref="D106:D107"/>
    <mergeCell ref="E106:E107"/>
    <mergeCell ref="F106:F107"/>
    <mergeCell ref="G106:G107"/>
    <mergeCell ref="A98:I98"/>
  </mergeCells>
  <hyperlinks>
    <hyperlink ref="A1" location="Name!A1" display="Name!A1" xr:uid="{63470D1B-DD9D-4E22-AE79-D5227733782E}"/>
  </hyperlinks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E5DF-0E7A-488C-9707-D8DC9B9908E2}">
  <dimension ref="A1:O57"/>
  <sheetViews>
    <sheetView workbookViewId="0"/>
  </sheetViews>
  <sheetFormatPr defaultRowHeight="21.75"/>
  <cols>
    <col min="3" max="3" width="17.7109375" customWidth="1"/>
    <col min="4" max="4" width="11.85546875" customWidth="1"/>
    <col min="5" max="5" width="29.85546875" customWidth="1"/>
    <col min="6" max="9" width="11.85546875" customWidth="1"/>
    <col min="10" max="10" width="21" style="25" customWidth="1"/>
    <col min="11" max="11" width="6.42578125" customWidth="1"/>
    <col min="12" max="12" width="13.42578125" style="25" customWidth="1"/>
    <col min="13" max="13" width="53" style="234" customWidth="1"/>
    <col min="14" max="14" width="14.140625" style="229" customWidth="1"/>
    <col min="15" max="15" width="9.140625" style="25"/>
  </cols>
  <sheetData>
    <row r="1" spans="1:14">
      <c r="A1" s="410" t="s">
        <v>648</v>
      </c>
    </row>
    <row r="2" spans="1:14">
      <c r="A2" s="644" t="s">
        <v>3796</v>
      </c>
      <c r="B2" s="644"/>
      <c r="C2" s="644"/>
      <c r="D2" s="644"/>
      <c r="E2" s="644"/>
      <c r="F2" s="644"/>
      <c r="G2" s="644"/>
      <c r="H2" s="644"/>
      <c r="I2" s="644"/>
      <c r="L2"/>
      <c r="M2" s="25"/>
    </row>
    <row r="3" spans="1:14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7" t="s">
        <v>974</v>
      </c>
      <c r="G3" s="645" t="s">
        <v>657</v>
      </c>
      <c r="H3" s="647" t="s">
        <v>658</v>
      </c>
      <c r="I3" s="3" t="s">
        <v>659</v>
      </c>
      <c r="K3" s="216"/>
      <c r="L3" s="217"/>
      <c r="M3" s="218"/>
      <c r="N3" s="219"/>
    </row>
    <row r="4" spans="1:14" ht="18.75" customHeight="1">
      <c r="A4" s="646"/>
      <c r="B4" s="646"/>
      <c r="C4" s="646"/>
      <c r="D4" s="646"/>
      <c r="E4" s="648"/>
      <c r="F4" s="648"/>
      <c r="G4" s="646"/>
      <c r="H4" s="646"/>
      <c r="I4" s="6" t="s">
        <v>660</v>
      </c>
      <c r="J4" s="758"/>
      <c r="K4" s="221"/>
      <c r="L4" s="222"/>
      <c r="M4" s="127"/>
      <c r="N4" s="223"/>
    </row>
    <row r="5" spans="1:14" ht="18.75" customHeight="1">
      <c r="A5" s="7">
        <v>1</v>
      </c>
      <c r="B5" s="7" t="s">
        <v>130</v>
      </c>
      <c r="C5" s="8" t="s">
        <v>602</v>
      </c>
      <c r="D5" s="7" t="s">
        <v>8</v>
      </c>
      <c r="E5" s="9" t="s">
        <v>661</v>
      </c>
      <c r="F5" s="9" t="s">
        <v>3797</v>
      </c>
      <c r="G5" s="10" t="s">
        <v>3770</v>
      </c>
      <c r="H5" s="9" t="s">
        <v>3797</v>
      </c>
      <c r="I5" s="9">
        <v>600000</v>
      </c>
      <c r="J5" s="758"/>
      <c r="K5" s="221"/>
      <c r="L5" s="222"/>
      <c r="M5" s="127"/>
      <c r="N5" s="223"/>
    </row>
    <row r="6" spans="1:14" ht="18.75" customHeight="1">
      <c r="A6" s="7"/>
      <c r="B6" s="7"/>
      <c r="C6" s="11"/>
      <c r="D6" s="7"/>
      <c r="E6" s="9" t="s">
        <v>3771</v>
      </c>
      <c r="F6" s="9" t="s">
        <v>3797</v>
      </c>
      <c r="G6" s="10" t="s">
        <v>3770</v>
      </c>
      <c r="H6" s="9" t="s">
        <v>3797</v>
      </c>
      <c r="I6" s="9">
        <v>600000</v>
      </c>
      <c r="J6" s="478"/>
      <c r="K6" s="221"/>
      <c r="L6" s="222"/>
      <c r="M6" s="127"/>
      <c r="N6" s="223"/>
    </row>
    <row r="7" spans="1:14" ht="18.75" customHeight="1">
      <c r="A7" s="7"/>
      <c r="B7" s="7"/>
      <c r="C7" s="11"/>
      <c r="D7" s="7"/>
      <c r="E7" s="9" t="s">
        <v>3798</v>
      </c>
      <c r="F7" s="9" t="s">
        <v>3799</v>
      </c>
      <c r="G7" s="10" t="s">
        <v>3800</v>
      </c>
      <c r="H7" s="9" t="s">
        <v>3799</v>
      </c>
      <c r="I7" s="9">
        <v>600000</v>
      </c>
      <c r="J7" s="478"/>
      <c r="K7" s="221"/>
      <c r="L7" s="222"/>
      <c r="M7" s="127"/>
      <c r="N7" s="223"/>
    </row>
    <row r="8" spans="1:14" ht="18.75" customHeight="1">
      <c r="A8" s="7"/>
      <c r="B8" s="7"/>
      <c r="C8" s="11"/>
      <c r="D8" s="7"/>
      <c r="E8" s="9" t="s">
        <v>3772</v>
      </c>
      <c r="F8" s="9" t="s">
        <v>3479</v>
      </c>
      <c r="G8" s="10" t="s">
        <v>3773</v>
      </c>
      <c r="H8" s="9" t="s">
        <v>3479</v>
      </c>
      <c r="I8" s="9">
        <v>600000</v>
      </c>
      <c r="J8" s="478"/>
      <c r="K8" s="221"/>
      <c r="L8" s="222"/>
      <c r="M8" s="127"/>
      <c r="N8" s="223"/>
    </row>
    <row r="9" spans="1:14" ht="18.75" customHeight="1">
      <c r="A9" s="7"/>
      <c r="B9" s="7"/>
      <c r="C9" s="11"/>
      <c r="D9" s="7"/>
      <c r="E9" s="9" t="s">
        <v>3801</v>
      </c>
      <c r="F9" s="9" t="s">
        <v>1306</v>
      </c>
      <c r="G9" s="10" t="s">
        <v>3779</v>
      </c>
      <c r="H9" s="9" t="s">
        <v>1306</v>
      </c>
      <c r="I9" s="9">
        <v>600000</v>
      </c>
      <c r="J9" s="478"/>
      <c r="K9" s="221"/>
      <c r="L9" s="222"/>
      <c r="M9" s="127"/>
      <c r="N9" s="223"/>
    </row>
    <row r="10" spans="1:14" ht="18.75" customHeight="1">
      <c r="A10" s="7"/>
      <c r="B10" s="7"/>
      <c r="C10" s="11"/>
      <c r="D10" s="7"/>
      <c r="E10" s="9" t="s">
        <v>3802</v>
      </c>
      <c r="F10" s="9" t="s">
        <v>1306</v>
      </c>
      <c r="G10" s="10" t="s">
        <v>3779</v>
      </c>
      <c r="H10" s="9" t="s">
        <v>1306</v>
      </c>
      <c r="I10" s="9">
        <v>600000</v>
      </c>
      <c r="J10" s="478"/>
      <c r="K10" s="221"/>
      <c r="L10" s="222"/>
      <c r="M10" s="127"/>
      <c r="N10" s="223"/>
    </row>
    <row r="11" spans="1:14" ht="18.75" customHeight="1">
      <c r="A11" s="7"/>
      <c r="B11" s="7"/>
      <c r="C11" s="11"/>
      <c r="D11" s="7"/>
      <c r="E11" s="9" t="s">
        <v>3781</v>
      </c>
      <c r="F11" s="9" t="s">
        <v>955</v>
      </c>
      <c r="G11" s="10" t="s">
        <v>3782</v>
      </c>
      <c r="H11" s="9" t="s">
        <v>955</v>
      </c>
      <c r="I11" s="9">
        <v>600000</v>
      </c>
      <c r="J11" s="478"/>
      <c r="K11" s="221"/>
      <c r="L11" s="222"/>
      <c r="M11" s="127"/>
      <c r="N11" s="223"/>
    </row>
    <row r="12" spans="1:14" ht="18.75" customHeight="1">
      <c r="A12" s="7"/>
      <c r="B12" s="7"/>
      <c r="C12" s="7"/>
      <c r="D12" s="7"/>
      <c r="E12" s="9" t="s">
        <v>3803</v>
      </c>
      <c r="F12" s="9" t="s">
        <v>3804</v>
      </c>
      <c r="G12" s="10" t="s">
        <v>3805</v>
      </c>
      <c r="H12" s="9" t="s">
        <v>3804</v>
      </c>
      <c r="I12" s="9">
        <v>1400000</v>
      </c>
      <c r="K12" s="221"/>
      <c r="L12" s="222"/>
      <c r="M12" s="127"/>
      <c r="N12" s="223"/>
    </row>
    <row r="13" spans="1:14" ht="18.75" customHeight="1">
      <c r="A13" s="7"/>
      <c r="B13" s="7"/>
      <c r="C13" s="7"/>
      <c r="D13" s="7"/>
      <c r="E13" s="9" t="s">
        <v>3806</v>
      </c>
      <c r="F13" s="9" t="s">
        <v>3807</v>
      </c>
      <c r="G13" s="10" t="s">
        <v>3808</v>
      </c>
      <c r="H13" s="9" t="s">
        <v>3807</v>
      </c>
      <c r="I13" s="9">
        <v>800000</v>
      </c>
      <c r="K13" s="221"/>
      <c r="L13" s="222"/>
      <c r="M13" s="127"/>
      <c r="N13" s="223"/>
    </row>
    <row r="14" spans="1:14" ht="18.75" customHeight="1">
      <c r="A14" s="7"/>
      <c r="B14" s="7"/>
      <c r="C14" s="7"/>
      <c r="D14" s="7"/>
      <c r="E14" s="9" t="s">
        <v>3809</v>
      </c>
      <c r="F14" s="9" t="s">
        <v>3810</v>
      </c>
      <c r="G14" s="10" t="s">
        <v>3811</v>
      </c>
      <c r="H14" s="9" t="s">
        <v>3810</v>
      </c>
      <c r="I14" s="9">
        <v>800000</v>
      </c>
      <c r="K14" s="221"/>
      <c r="L14" s="222"/>
      <c r="M14" s="127"/>
      <c r="N14" s="223"/>
    </row>
    <row r="15" spans="1:14" ht="18.75" customHeight="1">
      <c r="A15" s="7"/>
      <c r="B15" s="7"/>
      <c r="C15" s="7"/>
      <c r="D15" s="7"/>
      <c r="E15" s="9" t="s">
        <v>3812</v>
      </c>
      <c r="F15" s="9" t="s">
        <v>2457</v>
      </c>
      <c r="G15" s="10" t="s">
        <v>3813</v>
      </c>
      <c r="H15" s="9" t="s">
        <v>2457</v>
      </c>
      <c r="I15" s="9">
        <v>800000</v>
      </c>
      <c r="J15" s="25" t="s">
        <v>2535</v>
      </c>
      <c r="K15" s="221"/>
      <c r="L15" s="222"/>
      <c r="M15" s="127"/>
      <c r="N15" s="223"/>
    </row>
    <row r="16" spans="1:14" ht="18.75" customHeight="1">
      <c r="A16" s="7"/>
      <c r="B16" s="7"/>
      <c r="C16" s="7"/>
      <c r="D16" s="7"/>
      <c r="E16" s="9"/>
      <c r="F16" s="9"/>
      <c r="G16" s="10"/>
      <c r="H16" s="9"/>
      <c r="I16" s="9"/>
      <c r="K16" s="221"/>
      <c r="L16" s="222"/>
      <c r="M16" s="127"/>
      <c r="N16" s="223"/>
    </row>
    <row r="17" spans="1:14" ht="18.75" customHeight="1">
      <c r="A17" s="7"/>
      <c r="B17" s="7"/>
      <c r="C17" s="7"/>
      <c r="D17" s="7"/>
      <c r="E17" s="9"/>
      <c r="F17" s="9"/>
      <c r="G17" s="10"/>
      <c r="H17" s="9"/>
      <c r="I17" s="9"/>
      <c r="K17" s="221"/>
      <c r="L17" s="222"/>
      <c r="M17" s="127"/>
      <c r="N17" s="223"/>
    </row>
    <row r="18" spans="1:14" ht="18.75" customHeight="1">
      <c r="A18" s="7"/>
      <c r="B18" s="7"/>
      <c r="C18" s="7"/>
      <c r="D18" s="7"/>
      <c r="E18" s="9"/>
      <c r="F18" s="9"/>
      <c r="G18" s="10"/>
      <c r="H18" s="9"/>
      <c r="I18" s="9"/>
      <c r="K18" s="221"/>
      <c r="L18" s="222"/>
      <c r="M18" s="127"/>
      <c r="N18" s="223"/>
    </row>
    <row r="19" spans="1:14" ht="18.75" customHeight="1">
      <c r="A19" s="12"/>
      <c r="B19" s="12"/>
      <c r="C19" s="12"/>
      <c r="D19" s="12"/>
      <c r="E19" s="13"/>
      <c r="F19" s="13"/>
      <c r="G19" s="14"/>
      <c r="H19" s="13"/>
      <c r="I19" s="13">
        <f>SUM(I5:I17)</f>
        <v>8000000</v>
      </c>
      <c r="K19" s="221"/>
      <c r="L19" s="222"/>
      <c r="M19" s="127"/>
      <c r="N19" s="223"/>
    </row>
    <row r="20" spans="1:14" ht="18.75" customHeight="1">
      <c r="K20" s="221"/>
      <c r="L20" s="222"/>
      <c r="M20" s="127"/>
      <c r="N20" s="223"/>
    </row>
    <row r="21" spans="1:14" ht="21.6" customHeight="1">
      <c r="K21" s="230"/>
      <c r="L21" s="231"/>
      <c r="M21" s="232"/>
      <c r="N21" s="233"/>
    </row>
    <row r="22" spans="1:14" ht="19.899999999999999" customHeight="1">
      <c r="A22" s="644" t="s">
        <v>3814</v>
      </c>
      <c r="B22" s="644"/>
      <c r="C22" s="644"/>
      <c r="D22" s="644"/>
      <c r="E22" s="644"/>
      <c r="F22" s="644"/>
      <c r="G22" s="644"/>
      <c r="H22" s="644"/>
      <c r="I22" s="644"/>
    </row>
    <row r="23" spans="1:14" ht="19.899999999999999" customHeight="1">
      <c r="A23" s="645" t="s">
        <v>653</v>
      </c>
      <c r="B23" s="647" t="s">
        <v>654</v>
      </c>
      <c r="C23" s="645" t="s">
        <v>655</v>
      </c>
      <c r="D23" s="645" t="s">
        <v>12</v>
      </c>
      <c r="E23" s="647" t="s">
        <v>656</v>
      </c>
      <c r="F23" s="647" t="s">
        <v>974</v>
      </c>
      <c r="G23" s="645" t="s">
        <v>657</v>
      </c>
      <c r="H23" s="647" t="s">
        <v>658</v>
      </c>
      <c r="I23" s="3" t="s">
        <v>659</v>
      </c>
      <c r="L23"/>
      <c r="M23" s="25"/>
    </row>
    <row r="24" spans="1:14">
      <c r="A24" s="646"/>
      <c r="B24" s="646"/>
      <c r="C24" s="646"/>
      <c r="D24" s="646"/>
      <c r="E24" s="648"/>
      <c r="F24" s="648"/>
      <c r="G24" s="646"/>
      <c r="H24" s="646"/>
      <c r="I24" s="6" t="s">
        <v>660</v>
      </c>
      <c r="K24" s="216"/>
      <c r="L24" s="217"/>
      <c r="M24" s="218"/>
      <c r="N24" s="219"/>
    </row>
    <row r="25" spans="1:14">
      <c r="A25" s="7">
        <v>1</v>
      </c>
      <c r="B25" s="7" t="s">
        <v>130</v>
      </c>
      <c r="C25" s="8" t="s">
        <v>602</v>
      </c>
      <c r="D25" s="7" t="s">
        <v>8</v>
      </c>
      <c r="E25" s="9" t="s">
        <v>661</v>
      </c>
      <c r="F25" s="9" t="s">
        <v>1109</v>
      </c>
      <c r="G25" s="10" t="s">
        <v>3815</v>
      </c>
      <c r="H25" s="9" t="s">
        <v>1109</v>
      </c>
      <c r="I25" s="9">
        <v>800000</v>
      </c>
      <c r="K25" s="221"/>
      <c r="L25" s="222"/>
      <c r="M25" s="127"/>
      <c r="N25" s="223"/>
    </row>
    <row r="26" spans="1:14">
      <c r="A26" s="7"/>
      <c r="B26" s="7"/>
      <c r="C26" s="11"/>
      <c r="D26" s="7"/>
      <c r="E26" s="9" t="s">
        <v>3816</v>
      </c>
      <c r="F26" s="9" t="s">
        <v>1109</v>
      </c>
      <c r="G26" s="10" t="s">
        <v>3815</v>
      </c>
      <c r="H26" s="9" t="s">
        <v>1109</v>
      </c>
      <c r="I26" s="9">
        <v>800000</v>
      </c>
      <c r="K26" s="221"/>
      <c r="L26" s="222"/>
      <c r="M26" s="127"/>
      <c r="N26" s="223"/>
    </row>
    <row r="27" spans="1:14">
      <c r="A27" s="7"/>
      <c r="B27" s="7"/>
      <c r="C27" s="11"/>
      <c r="D27" s="7"/>
      <c r="E27" s="9"/>
      <c r="F27" s="9"/>
      <c r="G27" s="10"/>
      <c r="H27" s="9"/>
      <c r="I27" s="9"/>
      <c r="K27" s="221"/>
      <c r="L27" s="222"/>
      <c r="M27" s="127"/>
      <c r="N27" s="223"/>
    </row>
    <row r="28" spans="1:14">
      <c r="A28" s="7"/>
      <c r="B28" s="7"/>
      <c r="C28" s="11"/>
      <c r="D28" s="7"/>
      <c r="E28" s="9" t="s">
        <v>684</v>
      </c>
      <c r="F28" s="9" t="s">
        <v>3817</v>
      </c>
      <c r="G28" s="10"/>
      <c r="H28" s="9"/>
      <c r="I28" s="9">
        <v>-800000</v>
      </c>
      <c r="J28" s="43" t="s">
        <v>3818</v>
      </c>
      <c r="K28" s="221"/>
      <c r="L28" s="222"/>
      <c r="M28" s="127"/>
      <c r="N28" s="223"/>
    </row>
    <row r="29" spans="1:14">
      <c r="A29" s="7"/>
      <c r="B29" s="7"/>
      <c r="C29" s="11"/>
      <c r="D29" s="7"/>
      <c r="E29" s="9"/>
      <c r="F29" s="9"/>
      <c r="G29" s="10"/>
      <c r="H29" s="9"/>
      <c r="I29" s="9"/>
      <c r="K29" s="230"/>
      <c r="L29" s="231"/>
      <c r="M29" s="232"/>
      <c r="N29" s="233"/>
    </row>
    <row r="30" spans="1:14" s="25" customFormat="1">
      <c r="A30" s="7"/>
      <c r="B30" s="7"/>
      <c r="C30" s="7"/>
      <c r="D30" s="7"/>
      <c r="E30" s="9"/>
      <c r="F30" s="9"/>
      <c r="G30" s="10"/>
      <c r="H30" s="9"/>
      <c r="I30" s="9"/>
      <c r="K30" s="29"/>
      <c r="L30" s="29"/>
      <c r="M30" s="26"/>
      <c r="N30" s="31"/>
    </row>
    <row r="31" spans="1:14" s="25" customFormat="1">
      <c r="A31" s="7"/>
      <c r="B31" s="7"/>
      <c r="C31" s="7"/>
      <c r="D31" s="7"/>
      <c r="E31" s="9"/>
      <c r="F31" s="9"/>
      <c r="G31" s="10"/>
      <c r="H31" s="9"/>
      <c r="I31" s="9"/>
      <c r="K31" s="29"/>
      <c r="L31" s="29"/>
      <c r="M31" s="26"/>
      <c r="N31" s="31"/>
    </row>
    <row r="32" spans="1:14" s="25" customFormat="1">
      <c r="A32" s="12"/>
      <c r="B32" s="12"/>
      <c r="C32" s="12"/>
      <c r="D32" s="12"/>
      <c r="E32" s="13"/>
      <c r="F32" s="13"/>
      <c r="G32" s="14"/>
      <c r="H32" s="13"/>
      <c r="I32" s="13">
        <f>SUM(I25:I30)</f>
        <v>800000</v>
      </c>
      <c r="K32" s="29"/>
      <c r="L32" s="29"/>
      <c r="M32" s="235"/>
      <c r="N32" s="236"/>
    </row>
    <row r="33" spans="1:14" s="25" customFormat="1">
      <c r="A33"/>
      <c r="B33"/>
      <c r="C33"/>
      <c r="D33"/>
      <c r="E33"/>
      <c r="F33"/>
      <c r="G33"/>
      <c r="H33"/>
      <c r="I33"/>
      <c r="K33" s="29"/>
      <c r="L33" s="29"/>
      <c r="M33" s="26"/>
      <c r="N33" s="31"/>
    </row>
    <row r="34" spans="1:14" ht="19.899999999999999" customHeight="1">
      <c r="A34" s="644" t="s">
        <v>756</v>
      </c>
      <c r="B34" s="644"/>
      <c r="C34" s="644"/>
      <c r="D34" s="644"/>
      <c r="E34" s="644"/>
      <c r="F34" s="644"/>
      <c r="G34" s="644"/>
      <c r="H34" s="644"/>
      <c r="I34" s="644"/>
    </row>
    <row r="35" spans="1:14" ht="19.899999999999999" customHeight="1">
      <c r="A35" s="645" t="s">
        <v>653</v>
      </c>
      <c r="B35" s="647" t="s">
        <v>654</v>
      </c>
      <c r="C35" s="645" t="s">
        <v>655</v>
      </c>
      <c r="D35" s="645" t="s">
        <v>12</v>
      </c>
      <c r="E35" s="647" t="s">
        <v>656</v>
      </c>
      <c r="F35" s="647" t="s">
        <v>974</v>
      </c>
      <c r="G35" s="645" t="s">
        <v>657</v>
      </c>
      <c r="H35" s="647" t="s">
        <v>658</v>
      </c>
      <c r="I35" s="3" t="s">
        <v>659</v>
      </c>
      <c r="L35"/>
      <c r="M35" s="25"/>
    </row>
    <row r="36" spans="1:14">
      <c r="A36" s="646"/>
      <c r="B36" s="646"/>
      <c r="C36" s="646"/>
      <c r="D36" s="646"/>
      <c r="E36" s="648"/>
      <c r="F36" s="648"/>
      <c r="G36" s="646"/>
      <c r="H36" s="646"/>
      <c r="I36" s="6" t="s">
        <v>660</v>
      </c>
      <c r="K36" s="216"/>
      <c r="L36" s="217"/>
      <c r="M36" s="218"/>
      <c r="N36" s="219"/>
    </row>
    <row r="37" spans="1:14">
      <c r="A37" s="7">
        <v>1</v>
      </c>
      <c r="B37" s="7" t="s">
        <v>130</v>
      </c>
      <c r="C37" s="8" t="s">
        <v>602</v>
      </c>
      <c r="D37" s="7" t="s">
        <v>8</v>
      </c>
      <c r="E37" s="9" t="s">
        <v>661</v>
      </c>
      <c r="F37" s="9" t="s">
        <v>2508</v>
      </c>
      <c r="G37" s="10" t="s">
        <v>3819</v>
      </c>
      <c r="H37" s="9" t="s">
        <v>2508</v>
      </c>
      <c r="I37" s="9">
        <v>800000</v>
      </c>
      <c r="J37" s="25" t="s">
        <v>667</v>
      </c>
      <c r="K37" s="221"/>
      <c r="L37" s="222"/>
      <c r="M37" s="127"/>
      <c r="N37" s="223"/>
    </row>
    <row r="38" spans="1:14">
      <c r="A38" s="7"/>
      <c r="B38" s="7"/>
      <c r="C38" s="11"/>
      <c r="D38" s="7"/>
      <c r="E38" s="9" t="s">
        <v>2678</v>
      </c>
      <c r="F38" s="9" t="s">
        <v>2508</v>
      </c>
      <c r="G38" s="10" t="s">
        <v>3819</v>
      </c>
      <c r="H38" s="9" t="s">
        <v>2508</v>
      </c>
      <c r="I38" s="9">
        <v>800000</v>
      </c>
      <c r="J38" s="25" t="s">
        <v>667</v>
      </c>
      <c r="K38" s="221"/>
      <c r="L38" s="222"/>
      <c r="M38" s="127"/>
      <c r="N38" s="223"/>
    </row>
    <row r="39" spans="1:14">
      <c r="A39" s="7"/>
      <c r="B39" s="7"/>
      <c r="C39" s="11"/>
      <c r="D39" s="7"/>
      <c r="E39" s="9" t="s">
        <v>3820</v>
      </c>
      <c r="F39" s="9" t="s">
        <v>762</v>
      </c>
      <c r="G39" s="10" t="s">
        <v>3821</v>
      </c>
      <c r="H39" s="9" t="s">
        <v>762</v>
      </c>
      <c r="I39" s="9">
        <v>800000</v>
      </c>
      <c r="J39" s="25" t="s">
        <v>667</v>
      </c>
      <c r="K39" s="221"/>
      <c r="L39" s="222"/>
      <c r="M39" s="127"/>
      <c r="N39" s="223"/>
    </row>
    <row r="40" spans="1:14">
      <c r="A40" s="7"/>
      <c r="B40" s="7"/>
      <c r="C40" s="11"/>
      <c r="D40" s="7"/>
      <c r="E40" s="9" t="s">
        <v>603</v>
      </c>
      <c r="F40" s="9" t="s">
        <v>764</v>
      </c>
      <c r="G40" s="10" t="s">
        <v>3822</v>
      </c>
      <c r="H40" s="9"/>
      <c r="I40" s="9">
        <v>800000</v>
      </c>
      <c r="J40" s="25" t="s">
        <v>667</v>
      </c>
      <c r="K40" s="221"/>
      <c r="L40" s="222"/>
      <c r="M40" s="127"/>
      <c r="N40" s="223"/>
    </row>
    <row r="41" spans="1:14">
      <c r="A41" s="7"/>
      <c r="B41" s="7"/>
      <c r="C41" s="11"/>
      <c r="D41" s="7"/>
      <c r="E41" s="9"/>
      <c r="F41" s="9"/>
      <c r="G41" s="10"/>
      <c r="H41" s="9"/>
      <c r="I41" s="9"/>
      <c r="K41" s="230"/>
      <c r="L41" s="231"/>
      <c r="M41" s="232"/>
      <c r="N41" s="233"/>
    </row>
    <row r="42" spans="1:14" s="25" customFormat="1">
      <c r="A42" s="7"/>
      <c r="B42" s="7"/>
      <c r="C42" s="7"/>
      <c r="D42" s="7"/>
      <c r="E42" s="9"/>
      <c r="F42" s="9"/>
      <c r="G42" s="10"/>
      <c r="H42" s="9"/>
      <c r="I42" s="9"/>
      <c r="K42" s="29"/>
      <c r="L42" s="29"/>
      <c r="M42" s="26"/>
      <c r="N42" s="31"/>
    </row>
    <row r="43" spans="1:14" s="25" customFormat="1">
      <c r="A43" s="7"/>
      <c r="B43" s="7"/>
      <c r="C43" s="7"/>
      <c r="D43" s="7"/>
      <c r="E43" s="9"/>
      <c r="F43" s="9"/>
      <c r="G43" s="10"/>
      <c r="H43" s="9"/>
      <c r="I43" s="9"/>
      <c r="K43" s="29"/>
      <c r="L43" s="29"/>
      <c r="M43" s="26"/>
      <c r="N43" s="31"/>
    </row>
    <row r="44" spans="1:14" s="25" customFormat="1">
      <c r="A44" s="12"/>
      <c r="B44" s="12"/>
      <c r="C44" s="12"/>
      <c r="D44" s="12"/>
      <c r="E44" s="13"/>
      <c r="F44" s="13"/>
      <c r="G44" s="14"/>
      <c r="H44" s="13"/>
      <c r="I44" s="13">
        <f>SUM(I37:I42)</f>
        <v>3200000</v>
      </c>
      <c r="K44" s="29"/>
      <c r="L44" s="29"/>
      <c r="M44" s="235"/>
      <c r="N44" s="236"/>
    </row>
    <row r="45" spans="1:14" s="25" customFormat="1">
      <c r="K45" s="29"/>
      <c r="L45" s="29"/>
      <c r="M45" s="31"/>
      <c r="N45" s="31"/>
    </row>
    <row r="46" spans="1:14" s="25" customFormat="1">
      <c r="K46" s="29"/>
      <c r="L46" s="29"/>
      <c r="M46" s="31"/>
      <c r="N46" s="31"/>
    </row>
    <row r="47" spans="1:14" s="25" customFormat="1">
      <c r="K47" s="29"/>
      <c r="L47" s="29"/>
      <c r="M47" s="31"/>
      <c r="N47" s="31"/>
    </row>
    <row r="48" spans="1:14" s="25" customFormat="1">
      <c r="K48" s="29"/>
      <c r="L48" s="29"/>
      <c r="M48" s="31"/>
      <c r="N48" s="31"/>
    </row>
    <row r="49" spans="11:14" s="25" customFormat="1">
      <c r="K49" s="29"/>
      <c r="L49" s="29"/>
      <c r="M49" s="236"/>
      <c r="N49" s="236"/>
    </row>
    <row r="50" spans="11:14" s="25" customFormat="1">
      <c r="K50" s="29"/>
      <c r="L50" s="29"/>
      <c r="M50" s="31"/>
      <c r="N50" s="31"/>
    </row>
    <row r="51" spans="11:14" s="25" customFormat="1">
      <c r="K51" s="29"/>
      <c r="L51" s="29"/>
      <c r="M51" s="31"/>
      <c r="N51" s="236"/>
    </row>
    <row r="52" spans="11:14" s="25" customFormat="1">
      <c r="M52" s="237"/>
      <c r="N52" s="237"/>
    </row>
    <row r="53" spans="11:14" s="25" customFormat="1">
      <c r="M53" s="237"/>
      <c r="N53" s="237"/>
    </row>
    <row r="54" spans="11:14" s="25" customFormat="1">
      <c r="M54" s="237"/>
      <c r="N54" s="237"/>
    </row>
    <row r="55" spans="11:14">
      <c r="M55" s="237"/>
      <c r="N55" s="238"/>
    </row>
    <row r="56" spans="11:14">
      <c r="M56" s="237"/>
      <c r="N56" s="238"/>
    </row>
    <row r="57" spans="11:14">
      <c r="M57" s="237"/>
      <c r="N57" s="238"/>
    </row>
  </sheetData>
  <mergeCells count="28">
    <mergeCell ref="A34:I34"/>
    <mergeCell ref="A35:A36"/>
    <mergeCell ref="B35:B36"/>
    <mergeCell ref="C35:C36"/>
    <mergeCell ref="D35:D36"/>
    <mergeCell ref="E35:E36"/>
    <mergeCell ref="F35:F36"/>
    <mergeCell ref="G35:G36"/>
    <mergeCell ref="H35:H36"/>
    <mergeCell ref="A22:I22"/>
    <mergeCell ref="A23:A24"/>
    <mergeCell ref="B23:B24"/>
    <mergeCell ref="C23:C24"/>
    <mergeCell ref="D23:D24"/>
    <mergeCell ref="E23:E24"/>
    <mergeCell ref="F23:F24"/>
    <mergeCell ref="G23:G24"/>
    <mergeCell ref="H23:H24"/>
    <mergeCell ref="J4:J5"/>
    <mergeCell ref="A2:I2"/>
    <mergeCell ref="A3:A4"/>
    <mergeCell ref="B3:B4"/>
    <mergeCell ref="C3:C4"/>
    <mergeCell ref="D3:D4"/>
    <mergeCell ref="E3:E4"/>
    <mergeCell ref="F3:F4"/>
    <mergeCell ref="G3:G4"/>
    <mergeCell ref="H3:H4"/>
  </mergeCells>
  <hyperlinks>
    <hyperlink ref="A1" location="Name!A1" display="Name!A1" xr:uid="{E73C98B5-4CF2-42D8-A97A-0A60619ACA0D}"/>
  </hyperlinks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BF9A-BF77-4392-B719-F058B75FE425}">
  <dimension ref="A1:O57"/>
  <sheetViews>
    <sheetView workbookViewId="0"/>
  </sheetViews>
  <sheetFormatPr defaultColWidth="9.140625" defaultRowHeight="18"/>
  <cols>
    <col min="1" max="1" width="6.140625" style="51" customWidth="1"/>
    <col min="2" max="2" width="15.42578125" style="51" customWidth="1"/>
    <col min="3" max="3" width="30.7109375" style="51" customWidth="1"/>
    <col min="4" max="4" width="12.28515625" style="51" customWidth="1"/>
    <col min="5" max="5" width="27" style="51" customWidth="1"/>
    <col min="6" max="6" width="13.42578125" style="51" customWidth="1"/>
    <col min="7" max="7" width="12.7109375" style="51" customWidth="1"/>
    <col min="8" max="8" width="18.42578125" style="104" customWidth="1"/>
    <col min="9" max="9" width="14" style="51" customWidth="1"/>
    <col min="10" max="10" width="5" style="193" customWidth="1"/>
    <col min="11" max="12" width="9.140625" style="51"/>
    <col min="13" max="13" width="39.5703125" style="51" customWidth="1"/>
    <col min="14" max="14" width="15.42578125" style="104" customWidth="1"/>
    <col min="15" max="15" width="17.5703125" style="51" customWidth="1"/>
    <col min="16" max="16384" width="9.140625" style="51"/>
  </cols>
  <sheetData>
    <row r="1" spans="1:15">
      <c r="A1" s="411" t="s">
        <v>648</v>
      </c>
    </row>
    <row r="2" spans="1:15" ht="21.75">
      <c r="A2" s="644" t="s">
        <v>3823</v>
      </c>
      <c r="B2" s="644"/>
      <c r="C2" s="644"/>
      <c r="D2" s="644"/>
      <c r="E2" s="644"/>
      <c r="F2" s="644"/>
      <c r="G2" s="644"/>
      <c r="H2" s="644"/>
      <c r="I2" s="174"/>
      <c r="J2" s="169"/>
      <c r="K2" s="644" t="s">
        <v>973</v>
      </c>
      <c r="L2" s="644"/>
      <c r="M2" s="644"/>
      <c r="N2" s="644"/>
    </row>
    <row r="3" spans="1:15" s="56" customFormat="1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  <c r="I3" s="175"/>
      <c r="J3" s="169"/>
      <c r="K3" s="654" t="s">
        <v>653</v>
      </c>
      <c r="L3" s="659" t="s">
        <v>974</v>
      </c>
      <c r="M3" s="661" t="s">
        <v>975</v>
      </c>
      <c r="N3" s="662" t="s">
        <v>976</v>
      </c>
      <c r="O3" s="729" t="s">
        <v>977</v>
      </c>
    </row>
    <row r="4" spans="1:15" ht="21.75">
      <c r="A4" s="655"/>
      <c r="B4" s="660"/>
      <c r="C4" s="660"/>
      <c r="D4" s="660"/>
      <c r="E4" s="710"/>
      <c r="F4" s="660"/>
      <c r="G4" s="660"/>
      <c r="H4" s="202" t="s">
        <v>660</v>
      </c>
      <c r="I4" s="175"/>
      <c r="J4" s="169"/>
      <c r="K4" s="655"/>
      <c r="L4" s="710"/>
      <c r="M4" s="660"/>
      <c r="N4" s="663"/>
      <c r="O4" s="730"/>
    </row>
    <row r="5" spans="1:15" ht="21.75">
      <c r="A5" s="203">
        <v>1</v>
      </c>
      <c r="B5" s="204" t="s">
        <v>152</v>
      </c>
      <c r="C5" s="205" t="s">
        <v>207</v>
      </c>
      <c r="D5" s="204" t="s">
        <v>3824</v>
      </c>
      <c r="E5" s="206" t="s">
        <v>703</v>
      </c>
      <c r="F5" s="207" t="s">
        <v>3825</v>
      </c>
      <c r="G5" s="208" t="s">
        <v>3826</v>
      </c>
      <c r="H5" s="209">
        <v>500000</v>
      </c>
      <c r="I5" s="176"/>
      <c r="J5" s="169"/>
      <c r="K5" s="122"/>
      <c r="L5" s="123"/>
      <c r="M5" s="127"/>
      <c r="N5" s="125"/>
      <c r="O5" s="126"/>
    </row>
    <row r="6" spans="1:15" ht="21.75">
      <c r="A6" s="203"/>
      <c r="B6" s="204"/>
      <c r="C6" s="204"/>
      <c r="D6" s="204"/>
      <c r="E6" s="208" t="s">
        <v>3827</v>
      </c>
      <c r="F6" s="207" t="s">
        <v>3825</v>
      </c>
      <c r="G6" s="208" t="s">
        <v>3826</v>
      </c>
      <c r="H6" s="209">
        <v>1000000</v>
      </c>
      <c r="I6" s="176"/>
      <c r="J6" s="169"/>
      <c r="K6" s="122"/>
      <c r="L6" s="123"/>
      <c r="M6" s="123"/>
      <c r="N6" s="125"/>
      <c r="O6" s="126"/>
    </row>
    <row r="7" spans="1:15" ht="21.75">
      <c r="A7" s="203"/>
      <c r="B7" s="204"/>
      <c r="C7" s="204"/>
      <c r="D7" s="204"/>
      <c r="E7" s="208" t="s">
        <v>3828</v>
      </c>
      <c r="F7" s="207" t="s">
        <v>3829</v>
      </c>
      <c r="G7" s="208" t="s">
        <v>3830</v>
      </c>
      <c r="H7" s="209">
        <v>1000000</v>
      </c>
      <c r="I7" s="176"/>
      <c r="J7" s="169"/>
      <c r="K7" s="122"/>
      <c r="L7" s="123"/>
      <c r="M7" s="123"/>
      <c r="N7" s="125"/>
      <c r="O7" s="126"/>
    </row>
    <row r="8" spans="1:15" ht="21.75">
      <c r="A8" s="203"/>
      <c r="B8" s="204"/>
      <c r="C8" s="204"/>
      <c r="D8" s="204"/>
      <c r="E8" s="208" t="s">
        <v>3831</v>
      </c>
      <c r="F8" s="207" t="s">
        <v>3832</v>
      </c>
      <c r="G8" s="208" t="s">
        <v>3833</v>
      </c>
      <c r="H8" s="209">
        <v>500000</v>
      </c>
      <c r="I8" s="176"/>
      <c r="J8" s="169"/>
      <c r="K8" s="122"/>
      <c r="L8" s="123"/>
      <c r="M8" s="127"/>
      <c r="N8" s="125"/>
      <c r="O8" s="126"/>
    </row>
    <row r="9" spans="1:15" ht="21.75">
      <c r="A9" s="203"/>
      <c r="B9" s="204"/>
      <c r="C9" s="204"/>
      <c r="D9" s="204"/>
      <c r="E9" s="208" t="s">
        <v>3834</v>
      </c>
      <c r="F9" s="740" t="s">
        <v>3835</v>
      </c>
      <c r="G9" s="743" t="s">
        <v>3836</v>
      </c>
      <c r="H9" s="209">
        <f>500000*8</f>
        <v>4000000</v>
      </c>
      <c r="I9" s="176"/>
      <c r="J9" s="169"/>
      <c r="K9" s="122"/>
      <c r="L9" s="123"/>
      <c r="M9" s="123"/>
      <c r="N9" s="125"/>
      <c r="O9" s="126"/>
    </row>
    <row r="10" spans="1:15" ht="21.75">
      <c r="A10" s="203"/>
      <c r="B10" s="204"/>
      <c r="C10" s="204"/>
      <c r="D10" s="204"/>
      <c r="E10" s="208" t="s">
        <v>3837</v>
      </c>
      <c r="F10" s="741"/>
      <c r="G10" s="744"/>
      <c r="H10" s="209">
        <f>12*500000</f>
        <v>6000000</v>
      </c>
      <c r="I10" s="176"/>
      <c r="J10" s="169"/>
      <c r="K10" s="122"/>
      <c r="L10" s="123"/>
      <c r="M10" s="123"/>
      <c r="N10" s="125"/>
      <c r="O10" s="126"/>
    </row>
    <row r="11" spans="1:15" ht="21.75">
      <c r="A11" s="122"/>
      <c r="B11" s="123"/>
      <c r="C11" s="123"/>
      <c r="D11" s="123"/>
      <c r="E11" s="123" t="s">
        <v>3838</v>
      </c>
      <c r="F11" s="742"/>
      <c r="G11" s="745"/>
      <c r="H11" s="227">
        <v>4500000</v>
      </c>
      <c r="I11" s="143"/>
      <c r="J11" s="169"/>
      <c r="K11" s="122"/>
      <c r="L11" s="123"/>
      <c r="M11" s="123"/>
      <c r="N11" s="125"/>
      <c r="O11" s="126"/>
    </row>
    <row r="12" spans="1:15" ht="21.75">
      <c r="A12" s="122"/>
      <c r="B12" s="123"/>
      <c r="C12" s="123"/>
      <c r="D12" s="123"/>
      <c r="E12" s="123" t="s">
        <v>3839</v>
      </c>
      <c r="F12" s="123"/>
      <c r="G12" s="123"/>
      <c r="H12" s="227">
        <v>-1450000</v>
      </c>
      <c r="I12" s="143"/>
      <c r="J12" s="169"/>
      <c r="K12" s="122"/>
      <c r="L12" s="123"/>
      <c r="M12" s="123"/>
      <c r="N12" s="125"/>
      <c r="O12" s="126"/>
    </row>
    <row r="13" spans="1:15" ht="21.75">
      <c r="A13" s="122"/>
      <c r="B13" s="123"/>
      <c r="C13" s="123"/>
      <c r="D13" s="123"/>
      <c r="E13" s="123" t="s">
        <v>1006</v>
      </c>
      <c r="F13" s="123"/>
      <c r="G13" s="123"/>
      <c r="H13" s="227">
        <v>-50000</v>
      </c>
      <c r="I13" s="143" t="s">
        <v>3840</v>
      </c>
      <c r="J13" s="169"/>
      <c r="K13" s="122"/>
      <c r="L13" s="123"/>
      <c r="M13" s="123"/>
      <c r="N13" s="125"/>
      <c r="O13" s="126"/>
    </row>
    <row r="14" spans="1:15" ht="21.75">
      <c r="A14" s="122"/>
      <c r="B14" s="123"/>
      <c r="C14" s="123"/>
      <c r="D14" s="123"/>
      <c r="E14" s="123"/>
      <c r="F14" s="123"/>
      <c r="G14" s="123"/>
      <c r="H14" s="227"/>
      <c r="I14" s="143"/>
      <c r="J14" s="169"/>
      <c r="K14" s="122"/>
      <c r="L14" s="123"/>
      <c r="M14" s="123"/>
      <c r="N14" s="125"/>
      <c r="O14" s="126"/>
    </row>
    <row r="15" spans="1:15" ht="21.75">
      <c r="A15" s="122"/>
      <c r="B15" s="123"/>
      <c r="C15" s="123"/>
      <c r="D15" s="123"/>
      <c r="E15" s="123"/>
      <c r="F15" s="123"/>
      <c r="G15" s="123"/>
      <c r="H15" s="227"/>
      <c r="I15" s="143"/>
      <c r="J15" s="169"/>
      <c r="K15" s="122"/>
      <c r="L15" s="123"/>
      <c r="M15" s="123"/>
      <c r="N15" s="125"/>
      <c r="O15" s="126"/>
    </row>
    <row r="16" spans="1:15" ht="21.75">
      <c r="A16" s="122"/>
      <c r="B16" s="123"/>
      <c r="C16" s="123"/>
      <c r="D16" s="123"/>
      <c r="E16" s="123"/>
      <c r="F16" s="123"/>
      <c r="G16" s="123"/>
      <c r="H16" s="227"/>
      <c r="I16" s="143"/>
      <c r="J16" s="169"/>
      <c r="K16" s="122"/>
      <c r="L16" s="123"/>
      <c r="M16" s="123"/>
      <c r="N16" s="125"/>
      <c r="O16" s="126"/>
    </row>
    <row r="17" spans="1:15" ht="21.75">
      <c r="A17" s="66"/>
      <c r="B17" s="68"/>
      <c r="C17" s="68"/>
      <c r="D17" s="68"/>
      <c r="E17" s="68"/>
      <c r="F17" s="68"/>
      <c r="G17" s="68"/>
      <c r="H17" s="69"/>
      <c r="J17" s="169"/>
      <c r="K17" s="122"/>
      <c r="L17" s="123"/>
      <c r="M17" s="123"/>
      <c r="N17" s="125"/>
      <c r="O17" s="126"/>
    </row>
    <row r="18" spans="1:15" ht="21.75">
      <c r="A18" s="66"/>
      <c r="B18" s="68"/>
      <c r="C18" s="68"/>
      <c r="D18" s="68"/>
      <c r="E18" s="68"/>
      <c r="F18" s="68"/>
      <c r="G18" s="68"/>
      <c r="H18" s="69"/>
      <c r="J18" s="169"/>
      <c r="K18" s="122"/>
      <c r="L18" s="123"/>
      <c r="M18" s="123"/>
      <c r="N18" s="125"/>
      <c r="O18" s="126"/>
    </row>
    <row r="19" spans="1:15" ht="21.75">
      <c r="A19" s="211"/>
      <c r="B19" s="212"/>
      <c r="C19" s="212"/>
      <c r="D19" s="212"/>
      <c r="E19" s="212"/>
      <c r="F19" s="212"/>
      <c r="G19" s="212"/>
      <c r="H19" s="228">
        <f>SUM(H5:H18)</f>
        <v>16000000</v>
      </c>
      <c r="I19" s="114"/>
      <c r="J19" s="121"/>
      <c r="K19" s="183"/>
      <c r="L19" s="184"/>
      <c r="M19" s="184"/>
      <c r="N19" s="185"/>
      <c r="O19" s="194"/>
    </row>
    <row r="20" spans="1:15" ht="21.75">
      <c r="A20" s="644"/>
      <c r="B20" s="644"/>
      <c r="C20" s="644"/>
      <c r="D20" s="644"/>
      <c r="E20" s="644"/>
      <c r="F20" s="644"/>
      <c r="G20" s="644"/>
      <c r="H20" s="644"/>
      <c r="J20" s="169"/>
      <c r="K20" s="122"/>
      <c r="L20" s="123"/>
      <c r="M20" s="123"/>
      <c r="N20" s="125"/>
      <c r="O20" s="126"/>
    </row>
    <row r="21" spans="1:15" ht="21.75">
      <c r="A21" s="644" t="s">
        <v>3724</v>
      </c>
      <c r="B21" s="644"/>
      <c r="C21" s="644"/>
      <c r="D21" s="644"/>
      <c r="E21" s="644"/>
      <c r="F21" s="644"/>
      <c r="G21" s="644"/>
      <c r="H21" s="644"/>
      <c r="J21" s="169"/>
      <c r="K21" s="122"/>
      <c r="L21" s="123" t="s">
        <v>870</v>
      </c>
      <c r="M21" s="123" t="s">
        <v>3841</v>
      </c>
      <c r="N21" s="125">
        <v>88000</v>
      </c>
      <c r="O21" s="126"/>
    </row>
    <row r="22" spans="1:15" ht="21.75">
      <c r="A22" s="654" t="s">
        <v>653</v>
      </c>
      <c r="B22" s="659" t="s">
        <v>654</v>
      </c>
      <c r="C22" s="661" t="s">
        <v>655</v>
      </c>
      <c r="D22" s="661" t="s">
        <v>12</v>
      </c>
      <c r="E22" s="659" t="s">
        <v>656</v>
      </c>
      <c r="F22" s="661" t="s">
        <v>657</v>
      </c>
      <c r="G22" s="659" t="s">
        <v>658</v>
      </c>
      <c r="H22" s="201" t="s">
        <v>659</v>
      </c>
      <c r="J22" s="169"/>
      <c r="K22" s="122"/>
      <c r="L22" s="123" t="s">
        <v>870</v>
      </c>
      <c r="M22" s="123" t="s">
        <v>3842</v>
      </c>
      <c r="N22" s="125">
        <v>15000</v>
      </c>
      <c r="O22" s="126"/>
    </row>
    <row r="23" spans="1:15" ht="21.75">
      <c r="A23" s="655"/>
      <c r="B23" s="660"/>
      <c r="C23" s="660"/>
      <c r="D23" s="660"/>
      <c r="E23" s="710"/>
      <c r="F23" s="660"/>
      <c r="G23" s="660"/>
      <c r="H23" s="202" t="s">
        <v>660</v>
      </c>
      <c r="J23" s="169"/>
      <c r="K23" s="122"/>
      <c r="L23" s="123" t="s">
        <v>870</v>
      </c>
      <c r="M23" s="123" t="s">
        <v>3843</v>
      </c>
      <c r="N23" s="125">
        <v>6000</v>
      </c>
      <c r="O23" s="126"/>
    </row>
    <row r="24" spans="1:15" ht="21.75">
      <c r="A24" s="203">
        <v>1</v>
      </c>
      <c r="B24" s="204" t="s">
        <v>152</v>
      </c>
      <c r="C24" s="205" t="s">
        <v>207</v>
      </c>
      <c r="D24" s="204" t="s">
        <v>3824</v>
      </c>
      <c r="E24" s="206" t="s">
        <v>703</v>
      </c>
      <c r="F24" s="207" t="s">
        <v>873</v>
      </c>
      <c r="G24" s="208" t="s">
        <v>874</v>
      </c>
      <c r="H24" s="209">
        <v>600000</v>
      </c>
      <c r="J24" s="169"/>
      <c r="K24" s="122"/>
      <c r="L24" s="123" t="s">
        <v>870</v>
      </c>
      <c r="M24" s="123" t="s">
        <v>959</v>
      </c>
      <c r="N24" s="125">
        <v>10000</v>
      </c>
      <c r="O24" s="126"/>
    </row>
    <row r="25" spans="1:15" ht="21.75">
      <c r="A25" s="203"/>
      <c r="B25" s="204"/>
      <c r="C25" s="204"/>
      <c r="D25" s="204"/>
      <c r="E25" s="208" t="s">
        <v>877</v>
      </c>
      <c r="F25" s="207" t="s">
        <v>873</v>
      </c>
      <c r="G25" s="208" t="s">
        <v>874</v>
      </c>
      <c r="H25" s="209">
        <v>600000</v>
      </c>
      <c r="J25" s="169"/>
      <c r="K25" s="122"/>
      <c r="L25" s="123" t="s">
        <v>870</v>
      </c>
      <c r="M25" s="123" t="s">
        <v>3844</v>
      </c>
      <c r="N25" s="125">
        <v>60000</v>
      </c>
      <c r="O25" s="126"/>
    </row>
    <row r="26" spans="1:15" ht="21.75">
      <c r="A26" s="203"/>
      <c r="B26" s="204"/>
      <c r="C26" s="204"/>
      <c r="D26" s="204"/>
      <c r="E26" s="208" t="s">
        <v>879</v>
      </c>
      <c r="F26" s="207" t="s">
        <v>880</v>
      </c>
      <c r="G26" s="208" t="s">
        <v>870</v>
      </c>
      <c r="H26" s="209">
        <v>4200000</v>
      </c>
      <c r="J26" s="169"/>
      <c r="K26" s="122"/>
      <c r="L26" s="123" t="s">
        <v>870</v>
      </c>
      <c r="M26" s="123" t="s">
        <v>3845</v>
      </c>
      <c r="N26" s="125">
        <v>20000</v>
      </c>
      <c r="O26" s="126"/>
    </row>
    <row r="27" spans="1:15" ht="21.75">
      <c r="A27" s="203"/>
      <c r="B27" s="204"/>
      <c r="C27" s="204"/>
      <c r="D27" s="204"/>
      <c r="E27" s="208" t="s">
        <v>881</v>
      </c>
      <c r="F27" s="207" t="s">
        <v>882</v>
      </c>
      <c r="G27" s="208" t="s">
        <v>870</v>
      </c>
      <c r="H27" s="209">
        <v>2400000</v>
      </c>
      <c r="I27" s="103" t="s">
        <v>3846</v>
      </c>
      <c r="J27" s="169"/>
      <c r="K27" s="122"/>
      <c r="L27" s="123" t="s">
        <v>870</v>
      </c>
      <c r="M27" s="123" t="s">
        <v>1269</v>
      </c>
      <c r="N27" s="125">
        <v>-22000</v>
      </c>
      <c r="O27" s="126"/>
    </row>
    <row r="28" spans="1:15" ht="21.75">
      <c r="A28" s="203"/>
      <c r="B28" s="204"/>
      <c r="C28" s="204"/>
      <c r="D28" s="204"/>
      <c r="E28" s="208"/>
      <c r="F28" s="740"/>
      <c r="G28" s="743"/>
      <c r="H28" s="209"/>
      <c r="J28" s="169"/>
      <c r="K28" s="122"/>
      <c r="L28" s="123" t="s">
        <v>887</v>
      </c>
      <c r="M28" s="123" t="s">
        <v>3847</v>
      </c>
      <c r="N28" s="125">
        <v>7400</v>
      </c>
      <c r="O28" s="126"/>
    </row>
    <row r="29" spans="1:15" ht="21.75">
      <c r="A29" s="203"/>
      <c r="B29" s="204"/>
      <c r="C29" s="204"/>
      <c r="D29" s="204"/>
      <c r="E29" s="208"/>
      <c r="F29" s="741"/>
      <c r="G29" s="744"/>
      <c r="H29" s="209"/>
      <c r="J29" s="169"/>
      <c r="K29" s="122"/>
      <c r="L29" s="123" t="s">
        <v>887</v>
      </c>
      <c r="M29" s="123" t="s">
        <v>3848</v>
      </c>
      <c r="N29" s="125">
        <v>70000</v>
      </c>
      <c r="O29" s="126"/>
    </row>
    <row r="30" spans="1:15" ht="21.75">
      <c r="A30" s="122"/>
      <c r="B30" s="123"/>
      <c r="C30" s="123"/>
      <c r="D30" s="123"/>
      <c r="E30" s="123"/>
      <c r="F30" s="742"/>
      <c r="G30" s="745"/>
      <c r="H30" s="227"/>
      <c r="J30" s="169"/>
      <c r="K30" s="122"/>
      <c r="L30" s="123" t="s">
        <v>1162</v>
      </c>
      <c r="M30" s="123" t="s">
        <v>3849</v>
      </c>
      <c r="N30" s="125">
        <v>60000</v>
      </c>
      <c r="O30" s="126"/>
    </row>
    <row r="31" spans="1:15" ht="21.75">
      <c r="A31" s="122"/>
      <c r="B31" s="123"/>
      <c r="C31" s="123"/>
      <c r="D31" s="123"/>
      <c r="E31" s="123"/>
      <c r="F31" s="123"/>
      <c r="G31" s="123"/>
      <c r="H31" s="227"/>
      <c r="J31" s="169"/>
      <c r="K31" s="122"/>
      <c r="L31" s="123" t="s">
        <v>1162</v>
      </c>
      <c r="M31" s="123" t="s">
        <v>3850</v>
      </c>
      <c r="N31" s="125">
        <v>65000</v>
      </c>
      <c r="O31" s="126"/>
    </row>
    <row r="32" spans="1:15" ht="21.75">
      <c r="A32" s="122"/>
      <c r="B32" s="123"/>
      <c r="C32" s="123"/>
      <c r="D32" s="123"/>
      <c r="E32" s="123"/>
      <c r="F32" s="123"/>
      <c r="G32" s="123"/>
      <c r="H32" s="227"/>
      <c r="J32" s="169"/>
      <c r="K32" s="122"/>
      <c r="L32" s="123" t="s">
        <v>1389</v>
      </c>
      <c r="M32" s="123" t="s">
        <v>3851</v>
      </c>
      <c r="N32" s="125">
        <v>80000</v>
      </c>
      <c r="O32" s="126"/>
    </row>
    <row r="33" spans="1:15" ht="21.75">
      <c r="A33" s="122"/>
      <c r="B33" s="123"/>
      <c r="C33" s="123"/>
      <c r="D33" s="123"/>
      <c r="E33" s="123"/>
      <c r="F33" s="123"/>
      <c r="G33" s="123"/>
      <c r="H33" s="227"/>
      <c r="J33" s="169"/>
      <c r="K33" s="122"/>
      <c r="L33" s="123" t="s">
        <v>1389</v>
      </c>
      <c r="M33" s="123" t="s">
        <v>3852</v>
      </c>
      <c r="N33" s="125">
        <v>30000</v>
      </c>
      <c r="O33" s="126"/>
    </row>
    <row r="34" spans="1:15" ht="21.75">
      <c r="A34" s="122"/>
      <c r="B34" s="123"/>
      <c r="C34" s="123"/>
      <c r="D34" s="123"/>
      <c r="E34" s="123"/>
      <c r="F34" s="123"/>
      <c r="G34" s="123"/>
      <c r="H34" s="227"/>
      <c r="J34" s="169"/>
      <c r="K34" s="122"/>
      <c r="L34" s="123" t="s">
        <v>1389</v>
      </c>
      <c r="M34" s="123" t="s">
        <v>3845</v>
      </c>
      <c r="N34" s="125">
        <v>30000</v>
      </c>
      <c r="O34" s="126"/>
    </row>
    <row r="35" spans="1:15" ht="21.75">
      <c r="A35" s="122"/>
      <c r="B35" s="123"/>
      <c r="C35" s="123"/>
      <c r="D35" s="123"/>
      <c r="E35" s="123"/>
      <c r="F35" s="123"/>
      <c r="G35" s="123"/>
      <c r="H35" s="227"/>
      <c r="J35" s="169"/>
      <c r="K35" s="122"/>
      <c r="L35" s="123"/>
      <c r="M35" s="123"/>
      <c r="N35" s="125"/>
      <c r="O35" s="126"/>
    </row>
    <row r="36" spans="1:15" ht="21.75">
      <c r="A36" s="66"/>
      <c r="B36" s="68"/>
      <c r="C36" s="68"/>
      <c r="D36" s="68"/>
      <c r="E36" s="68"/>
      <c r="F36" s="68"/>
      <c r="G36" s="68"/>
      <c r="H36" s="69"/>
      <c r="J36" s="169"/>
      <c r="K36" s="122"/>
      <c r="L36" s="123"/>
      <c r="M36" s="123"/>
      <c r="N36" s="125">
        <f>SUM(N21:N34)</f>
        <v>519400</v>
      </c>
      <c r="O36" s="126"/>
    </row>
    <row r="37" spans="1:15" ht="21.75">
      <c r="A37" s="66"/>
      <c r="B37" s="68"/>
      <c r="C37" s="68"/>
      <c r="D37" s="68"/>
      <c r="E37" s="68"/>
      <c r="F37" s="68"/>
      <c r="G37" s="68"/>
      <c r="H37" s="69"/>
      <c r="J37" s="169"/>
      <c r="K37" s="122"/>
      <c r="L37" s="123"/>
      <c r="M37" s="123"/>
      <c r="N37" s="125"/>
      <c r="O37" s="126"/>
    </row>
    <row r="38" spans="1:15" ht="21.75">
      <c r="A38" s="211"/>
      <c r="B38" s="212"/>
      <c r="C38" s="212"/>
      <c r="D38" s="212"/>
      <c r="E38" s="212"/>
      <c r="F38" s="212"/>
      <c r="G38" s="212"/>
      <c r="H38" s="228">
        <f>SUM(H24:H37)</f>
        <v>7800000</v>
      </c>
      <c r="J38" s="169"/>
      <c r="K38" s="122"/>
      <c r="L38" s="123"/>
      <c r="M38" s="123"/>
      <c r="N38" s="125"/>
      <c r="O38" s="126"/>
    </row>
    <row r="39" spans="1:15" ht="21.75">
      <c r="J39" s="169"/>
      <c r="K39" s="122"/>
      <c r="L39" s="123"/>
      <c r="M39" s="123"/>
      <c r="N39" s="125"/>
      <c r="O39" s="126"/>
    </row>
    <row r="40" spans="1:15" ht="21.75">
      <c r="J40" s="169"/>
      <c r="K40" s="122"/>
      <c r="L40" s="123"/>
      <c r="M40" s="123"/>
      <c r="N40" s="125"/>
      <c r="O40" s="126"/>
    </row>
    <row r="41" spans="1:15" ht="21.75">
      <c r="J41" s="169"/>
      <c r="K41" s="122"/>
      <c r="L41" s="123"/>
      <c r="M41" s="123"/>
      <c r="N41" s="125"/>
      <c r="O41" s="126"/>
    </row>
    <row r="42" spans="1:15" ht="21.75">
      <c r="K42" s="122"/>
      <c r="L42" s="123"/>
      <c r="M42" s="123"/>
      <c r="N42" s="125"/>
      <c r="O42" s="126"/>
    </row>
    <row r="43" spans="1:15" ht="21.75">
      <c r="K43" s="122"/>
      <c r="L43" s="123"/>
      <c r="M43" s="123"/>
      <c r="N43" s="125"/>
      <c r="O43" s="126"/>
    </row>
    <row r="44" spans="1:15" ht="21.75">
      <c r="K44" s="122"/>
      <c r="L44" s="123"/>
      <c r="M44" s="123"/>
      <c r="N44" s="125"/>
      <c r="O44" s="126"/>
    </row>
    <row r="45" spans="1:15" ht="21.75">
      <c r="K45" s="122"/>
      <c r="L45" s="123"/>
      <c r="M45" s="123"/>
      <c r="N45" s="125"/>
      <c r="O45" s="126"/>
    </row>
    <row r="46" spans="1:15" ht="21.75">
      <c r="K46" s="122"/>
      <c r="L46" s="123"/>
      <c r="M46" s="123"/>
      <c r="N46" s="125"/>
      <c r="O46" s="126"/>
    </row>
    <row r="47" spans="1:15" ht="21.75">
      <c r="K47" s="122"/>
      <c r="L47" s="123"/>
      <c r="M47" s="123"/>
      <c r="N47" s="125"/>
      <c r="O47" s="126"/>
    </row>
    <row r="48" spans="1:15" ht="21.75">
      <c r="K48" s="122"/>
      <c r="L48" s="123"/>
      <c r="M48" s="123"/>
      <c r="N48" s="125"/>
      <c r="O48" s="126"/>
    </row>
    <row r="49" spans="11:15" ht="21.75">
      <c r="K49" s="122"/>
      <c r="L49" s="123"/>
      <c r="M49" s="123"/>
      <c r="N49" s="125"/>
      <c r="O49" s="126"/>
    </row>
    <row r="50" spans="11:15" ht="21.75">
      <c r="K50" s="122"/>
      <c r="L50" s="123"/>
      <c r="M50" s="123"/>
      <c r="N50" s="125"/>
      <c r="O50" s="126"/>
    </row>
    <row r="51" spans="11:15" ht="21.75">
      <c r="K51" s="122"/>
      <c r="L51" s="123"/>
      <c r="M51" s="123"/>
      <c r="N51" s="125"/>
      <c r="O51" s="126"/>
    </row>
    <row r="52" spans="11:15" ht="21.75">
      <c r="K52" s="122"/>
      <c r="L52" s="123"/>
      <c r="M52" s="123"/>
      <c r="N52" s="125"/>
      <c r="O52" s="126"/>
    </row>
    <row r="53" spans="11:15" ht="21.75">
      <c r="K53" s="122"/>
      <c r="L53" s="123"/>
      <c r="M53" s="123"/>
      <c r="N53" s="125"/>
      <c r="O53" s="126"/>
    </row>
    <row r="54" spans="11:15" ht="21.75">
      <c r="K54" s="122"/>
      <c r="L54" s="123"/>
      <c r="M54" s="123"/>
      <c r="N54" s="125"/>
      <c r="O54" s="126"/>
    </row>
    <row r="55" spans="11:15" ht="21.75">
      <c r="K55" s="122"/>
      <c r="L55" s="123"/>
      <c r="M55" s="123"/>
      <c r="N55" s="125"/>
      <c r="O55" s="126"/>
    </row>
    <row r="56" spans="11:15" ht="21.75">
      <c r="K56" s="122"/>
      <c r="L56" s="123"/>
      <c r="M56" s="123"/>
      <c r="N56" s="125"/>
      <c r="O56" s="126"/>
    </row>
    <row r="57" spans="11:15" ht="21.75">
      <c r="K57" s="139"/>
      <c r="L57" s="140"/>
      <c r="M57" s="140"/>
      <c r="N57" s="141"/>
      <c r="O57" s="142"/>
    </row>
  </sheetData>
  <mergeCells count="27">
    <mergeCell ref="A2:H2"/>
    <mergeCell ref="K2:N2"/>
    <mergeCell ref="A3:A4"/>
    <mergeCell ref="B3:B4"/>
    <mergeCell ref="C3:C4"/>
    <mergeCell ref="D3:D4"/>
    <mergeCell ref="E3:E4"/>
    <mergeCell ref="F3:F4"/>
    <mergeCell ref="G3:G4"/>
    <mergeCell ref="K3:K4"/>
    <mergeCell ref="L3:L4"/>
    <mergeCell ref="M3:M4"/>
    <mergeCell ref="N3:N4"/>
    <mergeCell ref="O3:O4"/>
    <mergeCell ref="F9:F11"/>
    <mergeCell ref="G9:G11"/>
    <mergeCell ref="F28:F30"/>
    <mergeCell ref="G28:G30"/>
    <mergeCell ref="A20:H20"/>
    <mergeCell ref="A21:H21"/>
    <mergeCell ref="A22:A23"/>
    <mergeCell ref="B22:B23"/>
    <mergeCell ref="C22:C23"/>
    <mergeCell ref="D22:D23"/>
    <mergeCell ref="E22:E23"/>
    <mergeCell ref="F22:F23"/>
    <mergeCell ref="G22:G23"/>
  </mergeCells>
  <hyperlinks>
    <hyperlink ref="A1" location="Name!A1" display="Name!A1" xr:uid="{56713BCE-D6FF-4BDB-8ADD-AC133CFAE101}"/>
  </hyperlinks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3559-C231-45BD-9F50-A2E52639F118}">
  <dimension ref="A1:O101"/>
  <sheetViews>
    <sheetView topLeftCell="A79" workbookViewId="0">
      <selection activeCell="A87" sqref="A87"/>
    </sheetView>
  </sheetViews>
  <sheetFormatPr defaultColWidth="9.140625" defaultRowHeight="18"/>
  <cols>
    <col min="1" max="1" width="6.140625" style="51" customWidth="1"/>
    <col min="2" max="4" width="15.42578125" style="51" customWidth="1"/>
    <col min="5" max="5" width="27" style="633" customWidth="1"/>
    <col min="6" max="6" width="13.42578125" style="51" customWidth="1"/>
    <col min="7" max="7" width="12.7109375" style="51" customWidth="1"/>
    <col min="8" max="8" width="14" style="51" customWidth="1"/>
    <col min="9" max="9" width="25.85546875" style="51" customWidth="1"/>
    <col min="10" max="10" width="14.140625" style="51" customWidth="1"/>
    <col min="11" max="11" width="7.85546875" style="51" customWidth="1"/>
    <col min="12" max="12" width="9.140625" style="51"/>
    <col min="13" max="13" width="58.42578125" style="51" customWidth="1"/>
    <col min="14" max="14" width="14.28515625" style="51" customWidth="1"/>
    <col min="15" max="16384" width="9.140625" style="51"/>
  </cols>
  <sheetData>
    <row r="1" spans="1:15" ht="18.75">
      <c r="A1" s="760" t="s">
        <v>648</v>
      </c>
      <c r="B1" s="760"/>
      <c r="C1" s="760"/>
      <c r="D1" s="760"/>
      <c r="E1" s="760"/>
      <c r="F1" s="760"/>
      <c r="G1" s="760"/>
      <c r="H1" s="760"/>
      <c r="I1" s="760"/>
      <c r="J1" s="158"/>
    </row>
    <row r="2" spans="1:15" ht="28.5">
      <c r="A2" s="16" t="s">
        <v>1469</v>
      </c>
      <c r="B2" s="17" t="s">
        <v>697</v>
      </c>
      <c r="C2" s="17" t="s">
        <v>12</v>
      </c>
      <c r="D2" s="17" t="s">
        <v>894</v>
      </c>
      <c r="E2" s="16" t="s">
        <v>699</v>
      </c>
      <c r="F2" s="16" t="s">
        <v>657</v>
      </c>
      <c r="G2" s="17" t="s">
        <v>700</v>
      </c>
      <c r="H2" s="16" t="s">
        <v>660</v>
      </c>
      <c r="I2" s="16" t="s">
        <v>27</v>
      </c>
      <c r="J2" s="215"/>
      <c r="K2" s="216"/>
      <c r="L2" s="217"/>
      <c r="M2" s="218"/>
      <c r="N2" s="219"/>
    </row>
    <row r="3" spans="1:15" ht="21.75">
      <c r="A3" s="18">
        <v>1</v>
      </c>
      <c r="B3" s="18" t="s">
        <v>152</v>
      </c>
      <c r="C3" s="18" t="s">
        <v>3853</v>
      </c>
      <c r="D3" s="34" t="s">
        <v>3854</v>
      </c>
      <c r="E3" s="620" t="s">
        <v>3855</v>
      </c>
      <c r="F3" s="20" t="s">
        <v>3856</v>
      </c>
      <c r="G3" s="18" t="s">
        <v>3826</v>
      </c>
      <c r="H3" s="21">
        <v>200000</v>
      </c>
      <c r="I3" s="21"/>
      <c r="J3" s="220"/>
      <c r="K3" s="221">
        <v>1</v>
      </c>
      <c r="L3" s="222" t="s">
        <v>3857</v>
      </c>
      <c r="M3" s="127" t="s">
        <v>3858</v>
      </c>
      <c r="N3" s="223">
        <v>67000</v>
      </c>
    </row>
    <row r="4" spans="1:15" ht="21.75">
      <c r="A4" s="18"/>
      <c r="B4" s="18"/>
      <c r="C4" s="18"/>
      <c r="D4" s="224"/>
      <c r="E4" s="318"/>
      <c r="F4" s="20"/>
      <c r="G4" s="18"/>
      <c r="H4" s="21"/>
      <c r="I4" s="21"/>
      <c r="J4" s="220"/>
      <c r="K4" s="221"/>
      <c r="L4" s="222"/>
      <c r="M4" s="127"/>
      <c r="N4" s="223"/>
    </row>
    <row r="5" spans="1:15" ht="21.75">
      <c r="A5" s="18"/>
      <c r="B5" s="18"/>
      <c r="C5" s="18"/>
      <c r="D5" s="224"/>
      <c r="E5" s="610"/>
      <c r="F5" s="20"/>
      <c r="G5" s="18"/>
      <c r="H5" s="21"/>
      <c r="I5" s="21"/>
      <c r="J5" s="220"/>
      <c r="K5" s="221"/>
      <c r="L5" s="222"/>
      <c r="M5" s="127"/>
      <c r="N5" s="223"/>
    </row>
    <row r="6" spans="1:15" ht="21.75">
      <c r="A6" s="18"/>
      <c r="B6" s="18"/>
      <c r="C6" s="18"/>
      <c r="D6" s="18"/>
      <c r="E6" s="614"/>
      <c r="F6" s="21"/>
      <c r="G6" s="18"/>
      <c r="H6" s="50">
        <f>SUM(H3:H5)</f>
        <v>200000</v>
      </c>
      <c r="I6" s="21"/>
      <c r="J6" s="220"/>
      <c r="K6" s="221"/>
      <c r="L6" s="222"/>
      <c r="M6" s="127"/>
      <c r="N6" s="223"/>
    </row>
    <row r="7" spans="1:15" ht="21.75">
      <c r="K7" s="221"/>
      <c r="L7" s="222"/>
      <c r="M7" s="127"/>
      <c r="N7" s="223"/>
    </row>
    <row r="8" spans="1:15" ht="21.75">
      <c r="K8" s="221"/>
      <c r="L8" s="222"/>
      <c r="M8" s="127"/>
      <c r="N8" s="223"/>
    </row>
    <row r="9" spans="1:15" ht="21.75">
      <c r="A9" s="652" t="s">
        <v>972</v>
      </c>
      <c r="B9" s="652"/>
      <c r="C9" s="652"/>
      <c r="D9" s="652"/>
      <c r="E9" s="652"/>
      <c r="F9" s="652"/>
      <c r="G9" s="652"/>
      <c r="H9" s="652"/>
      <c r="I9" s="652"/>
      <c r="K9" s="221"/>
      <c r="L9" s="222"/>
      <c r="M9" s="127"/>
      <c r="N9" s="223"/>
    </row>
    <row r="10" spans="1:15" ht="28.5">
      <c r="A10" s="16" t="s">
        <v>1469</v>
      </c>
      <c r="B10" s="17" t="s">
        <v>697</v>
      </c>
      <c r="C10" s="17" t="s">
        <v>12</v>
      </c>
      <c r="D10" s="17" t="s">
        <v>894</v>
      </c>
      <c r="E10" s="16" t="s">
        <v>699</v>
      </c>
      <c r="F10" s="16" t="s">
        <v>657</v>
      </c>
      <c r="G10" s="17" t="s">
        <v>700</v>
      </c>
      <c r="H10" s="16" t="s">
        <v>660</v>
      </c>
      <c r="I10" s="16" t="s">
        <v>27</v>
      </c>
      <c r="K10" s="221"/>
      <c r="L10" s="222"/>
      <c r="M10" s="127"/>
      <c r="N10" s="223"/>
    </row>
    <row r="11" spans="1:15" ht="21.75">
      <c r="A11" s="18">
        <v>1</v>
      </c>
      <c r="B11" s="18" t="s">
        <v>152</v>
      </c>
      <c r="C11" s="18" t="s">
        <v>3853</v>
      </c>
      <c r="D11" s="34" t="s">
        <v>3854</v>
      </c>
      <c r="E11" s="620" t="s">
        <v>703</v>
      </c>
      <c r="F11" s="20" t="s">
        <v>3260</v>
      </c>
      <c r="G11" s="18" t="s">
        <v>1495</v>
      </c>
      <c r="H11" s="21">
        <v>500000</v>
      </c>
      <c r="I11" s="21"/>
      <c r="K11" s="221"/>
      <c r="L11" s="222"/>
      <c r="M11" s="127"/>
      <c r="N11" s="223">
        <f>N2-N3-N4</f>
        <v>-67000</v>
      </c>
      <c r="O11" s="51" t="s">
        <v>3859</v>
      </c>
    </row>
    <row r="12" spans="1:15">
      <c r="A12" s="18"/>
      <c r="B12" s="18"/>
      <c r="C12" s="18"/>
      <c r="D12" s="224"/>
      <c r="E12" s="318" t="s">
        <v>3261</v>
      </c>
      <c r="F12" s="20" t="s">
        <v>3260</v>
      </c>
      <c r="G12" s="18" t="s">
        <v>1495</v>
      </c>
      <c r="H12" s="21">
        <v>1000000</v>
      </c>
      <c r="I12" s="21"/>
    </row>
    <row r="13" spans="1:15">
      <c r="A13" s="18"/>
      <c r="B13" s="18"/>
      <c r="C13" s="18"/>
      <c r="D13" s="224"/>
      <c r="E13" s="610" t="s">
        <v>3262</v>
      </c>
      <c r="F13" s="20" t="s">
        <v>3263</v>
      </c>
      <c r="G13" s="18" t="s">
        <v>3264</v>
      </c>
      <c r="H13" s="21">
        <v>1000000</v>
      </c>
      <c r="I13" s="21"/>
      <c r="J13" s="51" t="s">
        <v>3265</v>
      </c>
    </row>
    <row r="14" spans="1:15">
      <c r="A14" s="18"/>
      <c r="B14" s="18"/>
      <c r="C14" s="18"/>
      <c r="D14" s="224"/>
      <c r="E14" s="610"/>
      <c r="F14" s="20"/>
      <c r="G14" s="18"/>
      <c r="H14" s="21"/>
      <c r="I14" s="21"/>
    </row>
    <row r="15" spans="1:15">
      <c r="A15" s="18"/>
      <c r="B15" s="18"/>
      <c r="C15" s="18"/>
      <c r="D15" s="224"/>
      <c r="E15" s="610"/>
      <c r="F15" s="20"/>
      <c r="G15" s="18"/>
      <c r="H15" s="21"/>
      <c r="I15" s="21"/>
    </row>
    <row r="16" spans="1:15">
      <c r="A16" s="18"/>
      <c r="B16" s="18"/>
      <c r="C16" s="18"/>
      <c r="D16" s="224"/>
      <c r="E16" s="610"/>
      <c r="F16" s="20"/>
      <c r="G16" s="18"/>
      <c r="H16" s="21"/>
      <c r="I16" s="21"/>
    </row>
    <row r="17" spans="1:10">
      <c r="A17" s="18"/>
      <c r="B17" s="18"/>
      <c r="C17" s="18"/>
      <c r="D17" s="224"/>
      <c r="E17" s="610"/>
      <c r="F17" s="20"/>
      <c r="G17" s="18"/>
      <c r="H17" s="21"/>
      <c r="I17" s="21"/>
    </row>
    <row r="18" spans="1:10">
      <c r="A18" s="18"/>
      <c r="B18" s="18"/>
      <c r="C18" s="18"/>
      <c r="D18" s="224"/>
      <c r="E18" s="610"/>
      <c r="F18" s="20"/>
      <c r="G18" s="18"/>
      <c r="H18" s="21"/>
      <c r="I18" s="21"/>
    </row>
    <row r="19" spans="1:10">
      <c r="A19" s="18"/>
      <c r="B19" s="18"/>
      <c r="C19" s="18"/>
      <c r="D19" s="18"/>
      <c r="E19" s="614"/>
      <c r="F19" s="21"/>
      <c r="G19" s="18"/>
      <c r="H19" s="50">
        <f>SUM(H11:H18)</f>
        <v>2500000</v>
      </c>
      <c r="I19" s="21"/>
    </row>
    <row r="23" spans="1:10">
      <c r="A23" s="652" t="s">
        <v>3860</v>
      </c>
      <c r="B23" s="652"/>
      <c r="C23" s="652"/>
      <c r="D23" s="652"/>
      <c r="E23" s="652"/>
      <c r="F23" s="652"/>
      <c r="G23" s="652"/>
      <c r="H23" s="652"/>
      <c r="I23" s="652"/>
    </row>
    <row r="24" spans="1:10" ht="28.5">
      <c r="A24" s="16" t="s">
        <v>1469</v>
      </c>
      <c r="B24" s="17" t="s">
        <v>697</v>
      </c>
      <c r="C24" s="17" t="s">
        <v>12</v>
      </c>
      <c r="D24" s="17" t="s">
        <v>894</v>
      </c>
      <c r="E24" s="16" t="s">
        <v>699</v>
      </c>
      <c r="F24" s="16" t="s">
        <v>657</v>
      </c>
      <c r="G24" s="17" t="s">
        <v>700</v>
      </c>
      <c r="H24" s="16" t="s">
        <v>660</v>
      </c>
      <c r="I24" s="16" t="s">
        <v>27</v>
      </c>
    </row>
    <row r="25" spans="1:10">
      <c r="A25" s="18">
        <v>1</v>
      </c>
      <c r="B25" s="18" t="s">
        <v>152</v>
      </c>
      <c r="C25" s="18" t="s">
        <v>3853</v>
      </c>
      <c r="D25" s="34" t="s">
        <v>3854</v>
      </c>
      <c r="E25" s="620" t="s">
        <v>703</v>
      </c>
      <c r="F25" s="20" t="s">
        <v>3861</v>
      </c>
      <c r="G25" s="18" t="s">
        <v>3862</v>
      </c>
      <c r="H25" s="21">
        <v>500000</v>
      </c>
      <c r="I25" s="21"/>
    </row>
    <row r="26" spans="1:10">
      <c r="A26" s="18"/>
      <c r="B26" s="18"/>
      <c r="C26" s="18"/>
      <c r="D26" s="224"/>
      <c r="E26" s="318" t="s">
        <v>3863</v>
      </c>
      <c r="F26" s="20" t="s">
        <v>3861</v>
      </c>
      <c r="G26" s="18" t="s">
        <v>3862</v>
      </c>
      <c r="H26" s="21">
        <v>1000000</v>
      </c>
      <c r="I26" s="21"/>
      <c r="J26" s="51" t="s">
        <v>3864</v>
      </c>
    </row>
    <row r="27" spans="1:10">
      <c r="A27" s="18"/>
      <c r="B27" s="18"/>
      <c r="C27" s="18"/>
      <c r="D27" s="224"/>
      <c r="E27" s="610"/>
      <c r="F27" s="20"/>
      <c r="G27" s="18"/>
      <c r="H27" s="21"/>
      <c r="I27" s="21"/>
    </row>
    <row r="28" spans="1:10">
      <c r="A28" s="18"/>
      <c r="B28" s="18"/>
      <c r="C28" s="18"/>
      <c r="D28" s="224"/>
      <c r="E28" s="610"/>
      <c r="F28" s="20"/>
      <c r="G28" s="18"/>
      <c r="H28" s="21"/>
      <c r="I28" s="21"/>
    </row>
    <row r="29" spans="1:10">
      <c r="A29" s="18"/>
      <c r="B29" s="18"/>
      <c r="C29" s="18"/>
      <c r="D29" s="224"/>
      <c r="E29" s="610"/>
      <c r="F29" s="20"/>
      <c r="G29" s="18"/>
      <c r="H29" s="21"/>
      <c r="I29" s="21"/>
    </row>
    <row r="30" spans="1:10">
      <c r="A30" s="18"/>
      <c r="B30" s="18"/>
      <c r="C30" s="18"/>
      <c r="D30" s="224"/>
      <c r="E30" s="610"/>
      <c r="F30" s="20"/>
      <c r="G30" s="18"/>
      <c r="H30" s="21"/>
      <c r="I30" s="21"/>
    </row>
    <row r="31" spans="1:10">
      <c r="A31" s="18"/>
      <c r="B31" s="18"/>
      <c r="C31" s="18"/>
      <c r="D31" s="224"/>
      <c r="E31" s="610"/>
      <c r="F31" s="20"/>
      <c r="G31" s="18"/>
      <c r="H31" s="21"/>
      <c r="I31" s="21"/>
    </row>
    <row r="32" spans="1:10">
      <c r="A32" s="18"/>
      <c r="B32" s="18"/>
      <c r="C32" s="18"/>
      <c r="D32" s="224"/>
      <c r="E32" s="610"/>
      <c r="F32" s="20"/>
      <c r="G32" s="18"/>
      <c r="H32" s="21"/>
      <c r="I32" s="21"/>
    </row>
    <row r="33" spans="1:10">
      <c r="A33" s="18"/>
      <c r="B33" s="18"/>
      <c r="C33" s="18"/>
      <c r="D33" s="18"/>
      <c r="E33" s="614"/>
      <c r="F33" s="21"/>
      <c r="G33" s="18"/>
      <c r="H33" s="50">
        <f>SUM(H25:H32)</f>
        <v>1500000</v>
      </c>
      <c r="I33" s="21"/>
    </row>
    <row r="35" spans="1:10">
      <c r="A35" s="652" t="s">
        <v>3865</v>
      </c>
      <c r="B35" s="652"/>
      <c r="C35" s="652"/>
      <c r="D35" s="652"/>
      <c r="E35" s="652"/>
      <c r="F35" s="652"/>
      <c r="G35" s="652"/>
      <c r="H35" s="652"/>
      <c r="I35" s="652"/>
    </row>
    <row r="36" spans="1:10" ht="28.5">
      <c r="A36" s="16" t="s">
        <v>1469</v>
      </c>
      <c r="B36" s="17" t="s">
        <v>697</v>
      </c>
      <c r="C36" s="17" t="s">
        <v>12</v>
      </c>
      <c r="D36" s="17" t="s">
        <v>894</v>
      </c>
      <c r="E36" s="16" t="s">
        <v>699</v>
      </c>
      <c r="F36" s="16" t="s">
        <v>657</v>
      </c>
      <c r="G36" s="17" t="s">
        <v>700</v>
      </c>
      <c r="H36" s="16" t="s">
        <v>660</v>
      </c>
      <c r="I36" s="16" t="s">
        <v>27</v>
      </c>
    </row>
    <row r="37" spans="1:10">
      <c r="A37" s="18">
        <v>1</v>
      </c>
      <c r="B37" s="18" t="s">
        <v>152</v>
      </c>
      <c r="C37" s="18" t="s">
        <v>3853</v>
      </c>
      <c r="D37" s="34" t="s">
        <v>3854</v>
      </c>
      <c r="E37" s="620" t="s">
        <v>3866</v>
      </c>
      <c r="F37" s="20" t="s">
        <v>3867</v>
      </c>
      <c r="G37" s="18" t="s">
        <v>1423</v>
      </c>
      <c r="H37" s="21">
        <v>500000</v>
      </c>
      <c r="I37" s="21"/>
    </row>
    <row r="38" spans="1:10">
      <c r="A38" s="18"/>
      <c r="B38" s="18"/>
      <c r="C38" s="18"/>
      <c r="D38" s="224"/>
      <c r="E38" s="318" t="s">
        <v>3868</v>
      </c>
      <c r="F38" s="20" t="s">
        <v>3869</v>
      </c>
      <c r="G38" s="18" t="s">
        <v>1612</v>
      </c>
      <c r="H38" s="21">
        <v>500000</v>
      </c>
      <c r="I38" s="21"/>
      <c r="J38" s="51" t="s">
        <v>3870</v>
      </c>
    </row>
    <row r="39" spans="1:10">
      <c r="A39" s="18"/>
      <c r="B39" s="18"/>
      <c r="C39" s="18"/>
      <c r="D39" s="224"/>
      <c r="E39" s="610" t="s">
        <v>1009</v>
      </c>
      <c r="F39" s="20" t="s">
        <v>3871</v>
      </c>
      <c r="G39" s="18" t="s">
        <v>3872</v>
      </c>
      <c r="H39" s="21">
        <v>500000</v>
      </c>
      <c r="I39" s="21"/>
      <c r="J39" s="51" t="s">
        <v>3873</v>
      </c>
    </row>
    <row r="40" spans="1:10">
      <c r="A40" s="18"/>
      <c r="B40" s="18"/>
      <c r="C40" s="18"/>
      <c r="D40" s="224"/>
      <c r="E40" s="610" t="s">
        <v>3874</v>
      </c>
      <c r="F40" s="20" t="s">
        <v>2205</v>
      </c>
      <c r="G40" s="18" t="s">
        <v>3875</v>
      </c>
      <c r="H40" s="21">
        <v>1000000</v>
      </c>
      <c r="I40" s="21"/>
      <c r="J40" s="51" t="s">
        <v>3876</v>
      </c>
    </row>
    <row r="41" spans="1:10">
      <c r="A41" s="18"/>
      <c r="B41" s="18"/>
      <c r="C41" s="18"/>
      <c r="D41" s="224"/>
      <c r="E41" s="610" t="s">
        <v>3877</v>
      </c>
      <c r="F41" s="20" t="s">
        <v>3878</v>
      </c>
      <c r="G41" s="18" t="s">
        <v>3879</v>
      </c>
      <c r="H41" s="21">
        <v>820000</v>
      </c>
      <c r="I41" s="21"/>
      <c r="J41" s="51" t="s">
        <v>3880</v>
      </c>
    </row>
    <row r="42" spans="1:10">
      <c r="A42" s="18"/>
      <c r="B42" s="18"/>
      <c r="C42" s="18"/>
      <c r="D42" s="224"/>
      <c r="E42" s="610"/>
      <c r="F42" s="20"/>
      <c r="G42" s="18"/>
      <c r="H42" s="21"/>
      <c r="I42" s="21"/>
    </row>
    <row r="43" spans="1:10">
      <c r="A43" s="18"/>
      <c r="B43" s="18"/>
      <c r="C43" s="18"/>
      <c r="D43" s="224"/>
      <c r="E43" s="610"/>
      <c r="F43" s="20"/>
      <c r="G43" s="18"/>
      <c r="H43" s="21"/>
      <c r="I43" s="21"/>
    </row>
    <row r="44" spans="1:10">
      <c r="A44" s="18"/>
      <c r="B44" s="18"/>
      <c r="C44" s="18"/>
      <c r="D44" s="224"/>
      <c r="E44" s="610"/>
      <c r="F44" s="20"/>
      <c r="G44" s="18"/>
      <c r="H44" s="21"/>
      <c r="I44" s="21"/>
    </row>
    <row r="45" spans="1:10">
      <c r="A45" s="18"/>
      <c r="B45" s="18"/>
      <c r="C45" s="18"/>
      <c r="D45" s="18"/>
      <c r="E45" s="614"/>
      <c r="F45" s="21"/>
      <c r="G45" s="18"/>
      <c r="H45" s="50">
        <f>SUM(H37:H44)</f>
        <v>3320000</v>
      </c>
      <c r="I45" s="21"/>
      <c r="J45" s="51" t="s">
        <v>3881</v>
      </c>
    </row>
    <row r="47" spans="1:10">
      <c r="A47" s="652" t="s">
        <v>3882</v>
      </c>
      <c r="B47" s="652"/>
      <c r="C47" s="652"/>
      <c r="D47" s="652"/>
      <c r="E47" s="652"/>
      <c r="F47" s="652"/>
      <c r="G47" s="652"/>
      <c r="H47" s="652"/>
      <c r="I47" s="652"/>
    </row>
    <row r="48" spans="1:10" ht="28.5">
      <c r="A48" s="16" t="s">
        <v>1469</v>
      </c>
      <c r="B48" s="17" t="s">
        <v>697</v>
      </c>
      <c r="C48" s="17" t="s">
        <v>12</v>
      </c>
      <c r="D48" s="17" t="s">
        <v>894</v>
      </c>
      <c r="E48" s="16" t="s">
        <v>699</v>
      </c>
      <c r="F48" s="16" t="s">
        <v>657</v>
      </c>
      <c r="G48" s="17" t="s">
        <v>700</v>
      </c>
      <c r="H48" s="16" t="s">
        <v>660</v>
      </c>
      <c r="I48" s="16" t="s">
        <v>27</v>
      </c>
    </row>
    <row r="49" spans="1:10">
      <c r="A49" s="18">
        <v>1</v>
      </c>
      <c r="B49" s="18" t="s">
        <v>152</v>
      </c>
      <c r="C49" s="18" t="s">
        <v>3853</v>
      </c>
      <c r="D49" s="34" t="s">
        <v>3854</v>
      </c>
      <c r="E49" s="620" t="s">
        <v>703</v>
      </c>
      <c r="F49" s="20" t="s">
        <v>3883</v>
      </c>
      <c r="G49" s="18" t="s">
        <v>3884</v>
      </c>
      <c r="H49" s="21">
        <v>500000</v>
      </c>
      <c r="I49" s="21"/>
    </row>
    <row r="50" spans="1:10">
      <c r="A50" s="18"/>
      <c r="B50" s="18"/>
      <c r="C50" s="18"/>
      <c r="D50" s="35"/>
      <c r="E50" s="318" t="s">
        <v>3885</v>
      </c>
      <c r="F50" s="20" t="s">
        <v>3883</v>
      </c>
      <c r="G50" s="18" t="s">
        <v>3884</v>
      </c>
      <c r="H50" s="21">
        <v>500000</v>
      </c>
      <c r="I50" s="21"/>
    </row>
    <row r="51" spans="1:10">
      <c r="A51" s="18"/>
      <c r="B51" s="18"/>
      <c r="C51" s="18"/>
      <c r="D51" s="224"/>
      <c r="E51" s="610" t="s">
        <v>3886</v>
      </c>
      <c r="F51" s="20"/>
      <c r="G51" s="18" t="s">
        <v>3104</v>
      </c>
      <c r="H51" s="21">
        <v>5000000</v>
      </c>
      <c r="I51" s="21"/>
      <c r="J51" s="51" t="s">
        <v>3887</v>
      </c>
    </row>
    <row r="52" spans="1:10">
      <c r="A52" s="18"/>
      <c r="B52" s="18"/>
      <c r="C52" s="18"/>
      <c r="D52" s="224"/>
      <c r="E52" s="610"/>
      <c r="F52" s="20"/>
      <c r="G52" s="18"/>
      <c r="H52" s="21"/>
      <c r="I52" s="21"/>
    </row>
    <row r="53" spans="1:10">
      <c r="A53" s="18"/>
      <c r="B53" s="18"/>
      <c r="C53" s="18"/>
      <c r="D53" s="224"/>
      <c r="E53" s="610"/>
      <c r="F53" s="20"/>
      <c r="G53" s="18"/>
      <c r="H53" s="21"/>
      <c r="I53" s="21"/>
    </row>
    <row r="54" spans="1:10">
      <c r="A54" s="18"/>
      <c r="B54" s="18"/>
      <c r="C54" s="18"/>
      <c r="D54" s="224"/>
      <c r="E54" s="610"/>
      <c r="F54" s="20"/>
      <c r="G54" s="18"/>
      <c r="H54" s="21"/>
      <c r="I54" s="21"/>
    </row>
    <row r="55" spans="1:10">
      <c r="A55" s="18"/>
      <c r="B55" s="18"/>
      <c r="C55" s="18"/>
      <c r="D55" s="224"/>
      <c r="E55" s="610"/>
      <c r="F55" s="20"/>
      <c r="G55" s="18"/>
      <c r="H55" s="21"/>
      <c r="I55" s="21"/>
    </row>
    <row r="56" spans="1:10">
      <c r="A56" s="18"/>
      <c r="B56" s="18"/>
      <c r="C56" s="18"/>
      <c r="D56" s="224"/>
      <c r="E56" s="610"/>
      <c r="F56" s="20"/>
      <c r="G56" s="18"/>
      <c r="H56" s="21"/>
      <c r="I56" s="21"/>
    </row>
    <row r="57" spans="1:10">
      <c r="A57" s="18"/>
      <c r="B57" s="18"/>
      <c r="C57" s="18"/>
      <c r="D57" s="18"/>
      <c r="E57" s="614"/>
      <c r="F57" s="21"/>
      <c r="G57" s="18"/>
      <c r="H57" s="50">
        <f>SUM(H49:H56)</f>
        <v>6000000</v>
      </c>
      <c r="I57" s="21"/>
    </row>
    <row r="61" spans="1:10" ht="22.5">
      <c r="A61" s="759" t="s">
        <v>3888</v>
      </c>
      <c r="B61" s="759"/>
      <c r="C61" s="759"/>
      <c r="D61" s="759"/>
      <c r="E61" s="759"/>
      <c r="F61" s="759"/>
      <c r="G61" s="759"/>
      <c r="H61" s="759"/>
      <c r="I61" s="759"/>
    </row>
    <row r="62" spans="1:10" ht="28.5">
      <c r="A62" s="16" t="s">
        <v>1469</v>
      </c>
      <c r="B62" s="17" t="s">
        <v>697</v>
      </c>
      <c r="C62" s="17" t="s">
        <v>12</v>
      </c>
      <c r="D62" s="17" t="s">
        <v>894</v>
      </c>
      <c r="E62" s="16" t="s">
        <v>699</v>
      </c>
      <c r="F62" s="16" t="s">
        <v>657</v>
      </c>
      <c r="G62" s="17" t="s">
        <v>700</v>
      </c>
      <c r="H62" s="16" t="s">
        <v>660</v>
      </c>
      <c r="I62" s="16" t="s">
        <v>27</v>
      </c>
    </row>
    <row r="63" spans="1:10">
      <c r="A63" s="18">
        <v>1</v>
      </c>
      <c r="B63" s="18" t="s">
        <v>152</v>
      </c>
      <c r="C63" s="18" t="s">
        <v>3853</v>
      </c>
      <c r="D63" s="34" t="s">
        <v>3854</v>
      </c>
      <c r="E63" s="620" t="s">
        <v>3889</v>
      </c>
      <c r="F63" s="20" t="s">
        <v>3890</v>
      </c>
      <c r="G63" s="18" t="s">
        <v>3891</v>
      </c>
      <c r="H63" s="21">
        <v>600000</v>
      </c>
      <c r="I63" s="21"/>
    </row>
    <row r="64" spans="1:10">
      <c r="A64" s="18"/>
      <c r="B64" s="18"/>
      <c r="C64" s="18"/>
      <c r="D64" s="35"/>
      <c r="E64" s="318" t="s">
        <v>3892</v>
      </c>
      <c r="F64" s="20" t="s">
        <v>3890</v>
      </c>
      <c r="G64" s="18" t="s">
        <v>3893</v>
      </c>
      <c r="H64" s="21">
        <v>600000</v>
      </c>
      <c r="I64" s="21"/>
    </row>
    <row r="65" spans="1:9">
      <c r="A65" s="18"/>
      <c r="B65" s="18"/>
      <c r="C65" s="18"/>
      <c r="D65" s="224"/>
      <c r="E65" s="610"/>
      <c r="F65" s="20"/>
      <c r="G65" s="18"/>
      <c r="H65" s="21"/>
      <c r="I65" s="21"/>
    </row>
    <row r="66" spans="1:9">
      <c r="A66" s="18"/>
      <c r="B66" s="18"/>
      <c r="C66" s="18"/>
      <c r="D66" s="224"/>
      <c r="E66" s="610"/>
      <c r="F66" s="20"/>
      <c r="G66" s="18"/>
      <c r="H66" s="21"/>
      <c r="I66" s="21"/>
    </row>
    <row r="67" spans="1:9">
      <c r="A67" s="18"/>
      <c r="B67" s="18"/>
      <c r="C67" s="18"/>
      <c r="D67" s="224"/>
      <c r="E67" s="610"/>
      <c r="F67" s="20"/>
      <c r="G67" s="18"/>
      <c r="H67" s="21"/>
      <c r="I67" s="21"/>
    </row>
    <row r="68" spans="1:9">
      <c r="A68" s="18"/>
      <c r="B68" s="18"/>
      <c r="C68" s="18"/>
      <c r="D68" s="224"/>
      <c r="E68" s="610"/>
      <c r="F68" s="20"/>
      <c r="G68" s="18"/>
      <c r="H68" s="21"/>
      <c r="I68" s="21"/>
    </row>
    <row r="69" spans="1:9">
      <c r="A69" s="18"/>
      <c r="B69" s="18"/>
      <c r="C69" s="18"/>
      <c r="D69" s="224"/>
      <c r="E69" s="610"/>
      <c r="F69" s="20"/>
      <c r="G69" s="18"/>
      <c r="H69" s="21"/>
      <c r="I69" s="21"/>
    </row>
    <row r="70" spans="1:9">
      <c r="A70" s="18"/>
      <c r="B70" s="18"/>
      <c r="C70" s="18"/>
      <c r="D70" s="224"/>
      <c r="E70" s="610"/>
      <c r="F70" s="20"/>
      <c r="G70" s="18"/>
      <c r="H70" s="21"/>
      <c r="I70" s="21"/>
    </row>
    <row r="71" spans="1:9">
      <c r="A71" s="18"/>
      <c r="B71" s="18"/>
      <c r="C71" s="18"/>
      <c r="D71" s="18"/>
      <c r="E71" s="614"/>
      <c r="F71" s="21"/>
      <c r="G71" s="18"/>
      <c r="H71" s="50">
        <f>SUM(H63:H70)</f>
        <v>1200000</v>
      </c>
      <c r="I71" s="21"/>
    </row>
    <row r="75" spans="1:9" ht="22.5">
      <c r="A75" s="759" t="s">
        <v>3894</v>
      </c>
      <c r="B75" s="759"/>
      <c r="C75" s="759"/>
      <c r="D75" s="759"/>
      <c r="E75" s="759"/>
      <c r="F75" s="759"/>
      <c r="G75" s="759"/>
      <c r="H75" s="759"/>
      <c r="I75" s="759"/>
    </row>
    <row r="76" spans="1:9" ht="28.5">
      <c r="A76" s="16" t="s">
        <v>1469</v>
      </c>
      <c r="B76" s="17" t="s">
        <v>697</v>
      </c>
      <c r="C76" s="17" t="s">
        <v>12</v>
      </c>
      <c r="D76" s="17" t="s">
        <v>894</v>
      </c>
      <c r="E76" s="16" t="s">
        <v>699</v>
      </c>
      <c r="F76" s="16" t="s">
        <v>657</v>
      </c>
      <c r="G76" s="17" t="s">
        <v>700</v>
      </c>
      <c r="H76" s="16" t="s">
        <v>660</v>
      </c>
      <c r="I76" s="16" t="s">
        <v>27</v>
      </c>
    </row>
    <row r="77" spans="1:9">
      <c r="A77" s="18">
        <v>1</v>
      </c>
      <c r="B77" s="18" t="s">
        <v>152</v>
      </c>
      <c r="C77" s="18" t="s">
        <v>3853</v>
      </c>
      <c r="D77" s="34" t="s">
        <v>3854</v>
      </c>
      <c r="E77" s="620" t="s">
        <v>3895</v>
      </c>
      <c r="F77" s="20" t="s">
        <v>3896</v>
      </c>
      <c r="G77" s="18" t="s">
        <v>3787</v>
      </c>
      <c r="H77" s="21">
        <v>600000</v>
      </c>
      <c r="I77" s="21"/>
    </row>
    <row r="78" spans="1:9">
      <c r="A78" s="18"/>
      <c r="B78" s="18"/>
      <c r="C78" s="18"/>
      <c r="D78" s="35"/>
      <c r="E78" s="318" t="s">
        <v>3897</v>
      </c>
      <c r="F78" s="20" t="s">
        <v>3896</v>
      </c>
      <c r="G78" s="18" t="s">
        <v>3787</v>
      </c>
      <c r="H78" s="21">
        <v>600000</v>
      </c>
      <c r="I78" s="21"/>
    </row>
    <row r="79" spans="1:9">
      <c r="A79" s="18"/>
      <c r="B79" s="18"/>
      <c r="C79" s="18"/>
      <c r="D79" s="224"/>
      <c r="E79" s="610" t="s">
        <v>661</v>
      </c>
      <c r="F79" s="20" t="s">
        <v>3896</v>
      </c>
      <c r="G79" s="18" t="s">
        <v>3787</v>
      </c>
      <c r="H79" s="21">
        <v>-500000</v>
      </c>
      <c r="I79" s="21"/>
    </row>
    <row r="80" spans="1:9">
      <c r="A80" s="18"/>
      <c r="B80" s="18"/>
      <c r="C80" s="18"/>
      <c r="D80" s="224"/>
      <c r="E80" s="610" t="s">
        <v>3898</v>
      </c>
      <c r="F80" s="20" t="s">
        <v>3896</v>
      </c>
      <c r="G80" s="18" t="s">
        <v>3787</v>
      </c>
      <c r="H80" s="21">
        <v>100000</v>
      </c>
      <c r="I80" s="21"/>
    </row>
    <row r="81" spans="1:9">
      <c r="A81" s="18"/>
      <c r="B81" s="18"/>
      <c r="C81" s="18"/>
      <c r="D81" s="224"/>
      <c r="E81" s="610"/>
      <c r="F81" s="20"/>
      <c r="G81" s="18"/>
      <c r="H81" s="21"/>
      <c r="I81" s="21"/>
    </row>
    <row r="82" spans="1:9">
      <c r="A82" s="18"/>
      <c r="B82" s="18"/>
      <c r="C82" s="18"/>
      <c r="D82" s="224"/>
      <c r="E82" s="610"/>
      <c r="F82" s="20"/>
      <c r="G82" s="18"/>
      <c r="H82" s="21"/>
      <c r="I82" s="21"/>
    </row>
    <row r="83" spans="1:9">
      <c r="A83" s="18"/>
      <c r="B83" s="18"/>
      <c r="C83" s="18"/>
      <c r="D83" s="224"/>
      <c r="E83" s="610"/>
      <c r="F83" s="20"/>
      <c r="G83" s="18"/>
      <c r="H83" s="21"/>
      <c r="I83" s="21"/>
    </row>
    <row r="84" spans="1:9">
      <c r="A84" s="18"/>
      <c r="B84" s="18"/>
      <c r="C84" s="18"/>
      <c r="D84" s="224"/>
      <c r="E84" s="610"/>
      <c r="F84" s="20"/>
      <c r="G84" s="18"/>
      <c r="H84" s="21"/>
      <c r="I84" s="21"/>
    </row>
    <row r="85" spans="1:9">
      <c r="A85" s="18"/>
      <c r="B85" s="18"/>
      <c r="C85" s="18"/>
      <c r="D85" s="18"/>
      <c r="E85" s="614"/>
      <c r="F85" s="21"/>
      <c r="G85" s="18"/>
      <c r="H85" s="50">
        <f>SUM(H77:H84)</f>
        <v>800000</v>
      </c>
      <c r="I85" s="21"/>
    </row>
    <row r="87" spans="1:9">
      <c r="A87" s="411" t="s">
        <v>648</v>
      </c>
    </row>
    <row r="88" spans="1:9" ht="22.5">
      <c r="A88" s="759" t="s">
        <v>200</v>
      </c>
      <c r="B88" s="759"/>
      <c r="C88" s="759"/>
      <c r="D88" s="759"/>
      <c r="E88" s="759"/>
      <c r="F88" s="759"/>
      <c r="G88" s="759"/>
      <c r="H88" s="759"/>
      <c r="I88" s="759"/>
    </row>
    <row r="89" spans="1:9" ht="28.5">
      <c r="A89" s="16" t="s">
        <v>1469</v>
      </c>
      <c r="B89" s="17" t="s">
        <v>697</v>
      </c>
      <c r="C89" s="17" t="s">
        <v>12</v>
      </c>
      <c r="D89" s="17" t="s">
        <v>894</v>
      </c>
      <c r="E89" s="16" t="s">
        <v>699</v>
      </c>
      <c r="F89" s="16" t="s">
        <v>657</v>
      </c>
      <c r="G89" s="17" t="s">
        <v>700</v>
      </c>
      <c r="H89" s="16" t="s">
        <v>660</v>
      </c>
      <c r="I89" s="16" t="s">
        <v>27</v>
      </c>
    </row>
    <row r="90" spans="1:9" ht="24" customHeight="1">
      <c r="A90" s="18">
        <v>1</v>
      </c>
      <c r="B90" s="18" t="s">
        <v>152</v>
      </c>
      <c r="C90" s="18" t="s">
        <v>3853</v>
      </c>
      <c r="D90" s="34" t="s">
        <v>3854</v>
      </c>
      <c r="E90" s="620" t="s">
        <v>661</v>
      </c>
      <c r="F90" s="20" t="s">
        <v>3899</v>
      </c>
      <c r="G90" s="18" t="s">
        <v>3900</v>
      </c>
      <c r="H90" s="21">
        <v>800000</v>
      </c>
      <c r="I90" s="21"/>
    </row>
    <row r="91" spans="1:9" ht="24" customHeight="1">
      <c r="A91" s="18"/>
      <c r="B91" s="18"/>
      <c r="C91" s="18"/>
      <c r="D91" s="35"/>
      <c r="E91" s="318" t="s">
        <v>3901</v>
      </c>
      <c r="F91" s="20" t="s">
        <v>3899</v>
      </c>
      <c r="G91" s="18" t="s">
        <v>3900</v>
      </c>
      <c r="H91" s="21">
        <v>800000</v>
      </c>
      <c r="I91" s="21"/>
    </row>
    <row r="92" spans="1:9" ht="24" customHeight="1">
      <c r="A92" s="18"/>
      <c r="B92" s="18"/>
      <c r="C92" s="18"/>
      <c r="D92" s="224"/>
      <c r="E92" s="610" t="s">
        <v>3902</v>
      </c>
      <c r="F92" s="20" t="s">
        <v>3903</v>
      </c>
      <c r="G92" s="18" t="s">
        <v>758</v>
      </c>
      <c r="H92" s="21">
        <v>2400000</v>
      </c>
      <c r="I92" s="21"/>
    </row>
    <row r="93" spans="1:9" ht="24" customHeight="1">
      <c r="A93" s="18"/>
      <c r="B93" s="18"/>
      <c r="C93" s="18"/>
      <c r="D93" s="224"/>
      <c r="E93" s="610" t="s">
        <v>66</v>
      </c>
      <c r="F93" s="20" t="s">
        <v>3904</v>
      </c>
      <c r="G93" s="18" t="s">
        <v>885</v>
      </c>
      <c r="H93" s="21">
        <v>800000</v>
      </c>
      <c r="I93" s="21" t="s">
        <v>3905</v>
      </c>
    </row>
    <row r="94" spans="1:9" ht="24" customHeight="1">
      <c r="A94" s="18"/>
      <c r="B94" s="18"/>
      <c r="C94" s="18"/>
      <c r="D94" s="224"/>
      <c r="E94" s="610" t="s">
        <v>176</v>
      </c>
      <c r="F94" s="20" t="s">
        <v>3906</v>
      </c>
      <c r="G94" s="18" t="s">
        <v>2906</v>
      </c>
      <c r="H94" s="21">
        <v>800000</v>
      </c>
      <c r="I94" s="21" t="s">
        <v>3905</v>
      </c>
    </row>
    <row r="95" spans="1:9" ht="24" customHeight="1">
      <c r="A95" s="18"/>
      <c r="B95" s="18"/>
      <c r="C95" s="18"/>
      <c r="D95" s="224"/>
      <c r="E95" s="610" t="s">
        <v>3907</v>
      </c>
      <c r="F95" s="20"/>
      <c r="G95" s="18" t="s">
        <v>2906</v>
      </c>
      <c r="H95" s="21">
        <v>-145000</v>
      </c>
      <c r="I95" s="21"/>
    </row>
    <row r="96" spans="1:9" ht="24" customHeight="1">
      <c r="A96" s="18"/>
      <c r="B96" s="18"/>
      <c r="C96" s="18"/>
      <c r="D96" s="224"/>
      <c r="E96" s="610"/>
      <c r="F96" s="20"/>
      <c r="G96" s="18"/>
      <c r="H96" s="21"/>
      <c r="I96" s="21"/>
    </row>
    <row r="97" spans="1:9" ht="24" customHeight="1">
      <c r="A97" s="18"/>
      <c r="B97" s="18"/>
      <c r="C97" s="18"/>
      <c r="D97" s="224"/>
      <c r="E97" s="610"/>
      <c r="F97" s="20"/>
      <c r="G97" s="18"/>
      <c r="H97" s="21"/>
      <c r="I97" s="21"/>
    </row>
    <row r="98" spans="1:9" ht="24" customHeight="1">
      <c r="A98" s="18"/>
      <c r="B98" s="18"/>
      <c r="C98" s="18"/>
      <c r="D98" s="18"/>
      <c r="E98" s="614"/>
      <c r="F98" s="21"/>
      <c r="G98" s="18"/>
      <c r="H98" s="50">
        <f>SUM(H90:H97)</f>
        <v>5455000</v>
      </c>
      <c r="I98" s="21"/>
    </row>
    <row r="99" spans="1:9" ht="24" customHeight="1"/>
    <row r="100" spans="1:9" ht="24" customHeight="1"/>
    <row r="101" spans="1:9" ht="24" customHeight="1"/>
  </sheetData>
  <mergeCells count="8">
    <mergeCell ref="A75:I75"/>
    <mergeCell ref="A88:I88"/>
    <mergeCell ref="A1:I1"/>
    <mergeCell ref="A9:I9"/>
    <mergeCell ref="A23:I23"/>
    <mergeCell ref="A35:I35"/>
    <mergeCell ref="A47:I47"/>
    <mergeCell ref="A61:I61"/>
  </mergeCells>
  <hyperlinks>
    <hyperlink ref="A1:I1" location="Name!A1" display="Name!A1" xr:uid="{32FFA653-11CA-45DF-A9B5-3B1036541E16}"/>
    <hyperlink ref="A87" location="Name!A1" display="Name!A1" xr:uid="{B4F951EA-5171-4CDC-98CE-DD6B1D28777A}"/>
  </hyperlinks>
  <pageMargins left="0.7" right="0.7" top="0.75" bottom="0.75" header="0.3" footer="0.3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90CC-6EE0-4D55-AEAA-7FF0EF6F4B5F}">
  <dimension ref="A1:O77"/>
  <sheetViews>
    <sheetView workbookViewId="0">
      <selection activeCell="B1" sqref="B1"/>
    </sheetView>
  </sheetViews>
  <sheetFormatPr defaultColWidth="9.140625" defaultRowHeight="18"/>
  <cols>
    <col min="1" max="1" width="6.140625" style="51" customWidth="1"/>
    <col min="2" max="2" width="15.42578125" style="51" customWidth="1"/>
    <col min="3" max="3" width="30.7109375" style="51" customWidth="1"/>
    <col min="4" max="4" width="12.28515625" style="51" customWidth="1"/>
    <col min="5" max="5" width="27" style="51" customWidth="1"/>
    <col min="6" max="6" width="13.42578125" style="51" customWidth="1"/>
    <col min="7" max="7" width="12.7109375" style="51" customWidth="1"/>
    <col min="8" max="8" width="18.42578125" style="51" customWidth="1"/>
    <col min="9" max="9" width="14" style="51" customWidth="1"/>
    <col min="10" max="10" width="5" style="193" customWidth="1"/>
    <col min="11" max="12" width="9.140625" style="51"/>
    <col min="13" max="13" width="39.5703125" style="51" customWidth="1"/>
    <col min="14" max="14" width="15.42578125" style="104" customWidth="1"/>
    <col min="15" max="15" width="17.5703125" style="51" customWidth="1"/>
    <col min="16" max="16384" width="9.140625" style="51"/>
  </cols>
  <sheetData>
    <row r="1" spans="1:15">
      <c r="B1" s="411" t="s">
        <v>648</v>
      </c>
    </row>
    <row r="2" spans="1:15" ht="21.75">
      <c r="A2" s="644" t="s">
        <v>3908</v>
      </c>
      <c r="B2" s="644"/>
      <c r="C2" s="644"/>
      <c r="D2" s="644"/>
      <c r="E2" s="644"/>
      <c r="F2" s="644"/>
      <c r="G2" s="644"/>
      <c r="H2" s="644"/>
      <c r="I2" s="174"/>
      <c r="J2" s="169"/>
      <c r="K2" s="644" t="s">
        <v>973</v>
      </c>
      <c r="L2" s="644"/>
      <c r="M2" s="644"/>
      <c r="N2" s="644"/>
    </row>
    <row r="3" spans="1:15" s="56" customFormat="1" ht="21.75">
      <c r="A3" s="654" t="s">
        <v>653</v>
      </c>
      <c r="B3" s="659" t="s">
        <v>654</v>
      </c>
      <c r="C3" s="661" t="s">
        <v>655</v>
      </c>
      <c r="D3" s="661" t="s">
        <v>12</v>
      </c>
      <c r="E3" s="659" t="s">
        <v>656</v>
      </c>
      <c r="F3" s="661" t="s">
        <v>657</v>
      </c>
      <c r="G3" s="659" t="s">
        <v>658</v>
      </c>
      <c r="H3" s="201" t="s">
        <v>659</v>
      </c>
      <c r="I3" s="175"/>
      <c r="J3" s="169"/>
      <c r="K3" s="654" t="s">
        <v>653</v>
      </c>
      <c r="L3" s="659" t="s">
        <v>974</v>
      </c>
      <c r="M3" s="661" t="s">
        <v>975</v>
      </c>
      <c r="N3" s="662" t="s">
        <v>976</v>
      </c>
      <c r="O3" s="729" t="s">
        <v>977</v>
      </c>
    </row>
    <row r="4" spans="1:15" ht="21.75">
      <c r="A4" s="655"/>
      <c r="B4" s="660"/>
      <c r="C4" s="660"/>
      <c r="D4" s="660"/>
      <c r="E4" s="710"/>
      <c r="F4" s="660"/>
      <c r="G4" s="660"/>
      <c r="H4" s="202" t="s">
        <v>660</v>
      </c>
      <c r="I4" s="175"/>
      <c r="J4" s="169"/>
      <c r="K4" s="655"/>
      <c r="L4" s="710"/>
      <c r="M4" s="660"/>
      <c r="N4" s="663"/>
      <c r="O4" s="730"/>
    </row>
    <row r="5" spans="1:15" ht="21.75">
      <c r="A5" s="203">
        <v>1</v>
      </c>
      <c r="B5" s="204" t="s">
        <v>152</v>
      </c>
      <c r="C5" s="205"/>
      <c r="D5" s="204" t="s">
        <v>3909</v>
      </c>
      <c r="E5" s="206" t="s">
        <v>703</v>
      </c>
      <c r="F5" s="207" t="s">
        <v>3910</v>
      </c>
      <c r="G5" s="208" t="s">
        <v>3911</v>
      </c>
      <c r="H5" s="209">
        <v>500000</v>
      </c>
      <c r="I5" s="176"/>
      <c r="J5" s="169"/>
      <c r="K5" s="122"/>
      <c r="L5" s="123"/>
      <c r="M5" s="127"/>
      <c r="N5" s="125"/>
      <c r="O5" s="126"/>
    </row>
    <row r="6" spans="1:15" ht="21.75">
      <c r="A6" s="203"/>
      <c r="B6" s="204"/>
      <c r="C6" s="204"/>
      <c r="D6" s="204"/>
      <c r="E6" s="208" t="s">
        <v>3912</v>
      </c>
      <c r="F6" s="207" t="s">
        <v>3910</v>
      </c>
      <c r="G6" s="208" t="s">
        <v>3911</v>
      </c>
      <c r="H6" s="209">
        <v>830000</v>
      </c>
      <c r="I6" s="176" t="s">
        <v>3913</v>
      </c>
      <c r="J6" s="169"/>
      <c r="K6" s="122"/>
      <c r="L6" s="123"/>
      <c r="M6" s="123"/>
      <c r="N6" s="125"/>
      <c r="O6" s="126"/>
    </row>
    <row r="7" spans="1:15" ht="21.75">
      <c r="A7" s="203"/>
      <c r="B7" s="204"/>
      <c r="C7" s="204"/>
      <c r="D7" s="204"/>
      <c r="E7" s="208"/>
      <c r="F7" s="207"/>
      <c r="G7" s="208" t="s">
        <v>1411</v>
      </c>
      <c r="H7" s="209">
        <v>-227000</v>
      </c>
      <c r="I7" s="176"/>
      <c r="J7" s="169"/>
      <c r="K7" s="122"/>
      <c r="L7" s="123"/>
      <c r="M7" s="123"/>
      <c r="N7" s="125"/>
      <c r="O7" s="126"/>
    </row>
    <row r="8" spans="1:15" ht="21.75">
      <c r="A8" s="203"/>
      <c r="B8" s="204"/>
      <c r="C8" s="204"/>
      <c r="D8" s="204"/>
      <c r="E8" s="208"/>
      <c r="F8" s="207"/>
      <c r="G8" s="208"/>
      <c r="H8" s="209"/>
      <c r="I8" s="176"/>
      <c r="J8" s="169"/>
      <c r="K8" s="122"/>
      <c r="L8" s="123"/>
      <c r="M8" s="127"/>
      <c r="N8" s="125"/>
      <c r="O8" s="126"/>
    </row>
    <row r="9" spans="1:15" ht="21.75">
      <c r="A9" s="203"/>
      <c r="B9" s="204"/>
      <c r="C9" s="204"/>
      <c r="D9" s="204"/>
      <c r="E9" s="208"/>
      <c r="F9" s="207"/>
      <c r="G9" s="208"/>
      <c r="H9" s="209"/>
      <c r="I9" s="176"/>
      <c r="J9" s="169"/>
      <c r="K9" s="122"/>
      <c r="L9" s="123"/>
      <c r="M9" s="123"/>
      <c r="N9" s="125"/>
      <c r="O9" s="126"/>
    </row>
    <row r="10" spans="1:15" ht="21.75">
      <c r="A10" s="203"/>
      <c r="B10" s="204"/>
      <c r="C10" s="204"/>
      <c r="D10" s="204"/>
      <c r="E10" s="208"/>
      <c r="F10" s="207"/>
      <c r="G10" s="208"/>
      <c r="H10" s="209"/>
      <c r="I10" s="176"/>
      <c r="J10" s="169"/>
      <c r="K10" s="122"/>
      <c r="L10" s="123"/>
      <c r="M10" s="123"/>
      <c r="N10" s="125"/>
      <c r="O10" s="126"/>
    </row>
    <row r="11" spans="1:15" ht="21.75">
      <c r="A11" s="122"/>
      <c r="B11" s="123"/>
      <c r="C11" s="123"/>
      <c r="D11" s="123"/>
      <c r="E11" s="123"/>
      <c r="F11" s="123"/>
      <c r="G11" s="123"/>
      <c r="H11" s="210"/>
      <c r="I11" s="143"/>
      <c r="J11" s="169"/>
      <c r="K11" s="122"/>
      <c r="L11" s="123"/>
      <c r="M11" s="123"/>
      <c r="N11" s="125"/>
      <c r="O11" s="126"/>
    </row>
    <row r="12" spans="1:15" ht="21.75">
      <c r="A12" s="66"/>
      <c r="B12" s="68"/>
      <c r="C12" s="68"/>
      <c r="D12" s="68"/>
      <c r="E12" s="68"/>
      <c r="F12" s="68"/>
      <c r="G12" s="68"/>
      <c r="H12" s="126"/>
      <c r="J12" s="169"/>
      <c r="K12" s="122"/>
      <c r="L12" s="123"/>
      <c r="M12" s="123"/>
      <c r="N12" s="125"/>
      <c r="O12" s="126"/>
    </row>
    <row r="13" spans="1:15" ht="21.75">
      <c r="A13" s="66"/>
      <c r="B13" s="68"/>
      <c r="C13" s="68"/>
      <c r="D13" s="68"/>
      <c r="E13" s="68"/>
      <c r="F13" s="68"/>
      <c r="G13" s="68"/>
      <c r="H13" s="126"/>
      <c r="J13" s="169"/>
      <c r="K13" s="122"/>
      <c r="L13" s="123"/>
      <c r="M13" s="123"/>
      <c r="N13" s="125"/>
      <c r="O13" s="126"/>
    </row>
    <row r="14" spans="1:15" ht="21.75">
      <c r="A14" s="211"/>
      <c r="B14" s="212"/>
      <c r="C14" s="212"/>
      <c r="D14" s="212"/>
      <c r="E14" s="212"/>
      <c r="F14" s="212"/>
      <c r="G14" s="212"/>
      <c r="H14" s="213"/>
      <c r="I14" s="114"/>
      <c r="J14" s="121"/>
      <c r="K14" s="183"/>
      <c r="L14" s="184"/>
      <c r="M14" s="184"/>
      <c r="N14" s="185"/>
      <c r="O14" s="194"/>
    </row>
    <row r="15" spans="1:15" ht="21.75">
      <c r="A15" s="644" t="s">
        <v>3914</v>
      </c>
      <c r="B15" s="644"/>
      <c r="C15" s="644"/>
      <c r="D15" s="644"/>
      <c r="E15" s="644"/>
      <c r="F15" s="644"/>
      <c r="G15" s="644"/>
      <c r="H15" s="644"/>
      <c r="J15" s="169"/>
      <c r="K15" s="122"/>
      <c r="L15" s="123"/>
      <c r="M15" s="123"/>
      <c r="N15" s="125"/>
      <c r="O15" s="126"/>
    </row>
    <row r="16" spans="1:15" ht="21.75">
      <c r="A16" s="654" t="s">
        <v>653</v>
      </c>
      <c r="B16" s="659" t="s">
        <v>654</v>
      </c>
      <c r="C16" s="661" t="s">
        <v>655</v>
      </c>
      <c r="D16" s="661" t="s">
        <v>12</v>
      </c>
      <c r="E16" s="659" t="s">
        <v>656</v>
      </c>
      <c r="F16" s="661" t="s">
        <v>657</v>
      </c>
      <c r="G16" s="659" t="s">
        <v>658</v>
      </c>
      <c r="H16" s="201" t="s">
        <v>659</v>
      </c>
      <c r="J16" s="169"/>
      <c r="K16" s="122"/>
      <c r="L16" s="123"/>
      <c r="M16" s="123"/>
      <c r="N16" s="125"/>
      <c r="O16" s="126"/>
    </row>
    <row r="17" spans="1:15" ht="21.75">
      <c r="A17" s="655"/>
      <c r="B17" s="660"/>
      <c r="C17" s="660"/>
      <c r="D17" s="660"/>
      <c r="E17" s="710"/>
      <c r="F17" s="660"/>
      <c r="G17" s="660"/>
      <c r="H17" s="202" t="s">
        <v>660</v>
      </c>
      <c r="J17" s="169"/>
      <c r="K17" s="122"/>
      <c r="L17" s="123"/>
      <c r="M17" s="123"/>
      <c r="N17" s="125"/>
      <c r="O17" s="126"/>
    </row>
    <row r="18" spans="1:15" ht="21.75">
      <c r="A18" s="203">
        <v>1</v>
      </c>
      <c r="B18" s="204" t="s">
        <v>152</v>
      </c>
      <c r="C18" s="205"/>
      <c r="D18" s="204" t="s">
        <v>3909</v>
      </c>
      <c r="E18" s="206" t="s">
        <v>703</v>
      </c>
      <c r="F18" s="207" t="s">
        <v>3915</v>
      </c>
      <c r="G18" s="208" t="s">
        <v>3916</v>
      </c>
      <c r="H18" s="209">
        <v>500000</v>
      </c>
      <c r="J18" s="169"/>
      <c r="K18" s="122"/>
      <c r="L18" s="123"/>
      <c r="M18" s="123"/>
      <c r="N18" s="125"/>
      <c r="O18" s="126"/>
    </row>
    <row r="19" spans="1:15" ht="21.75">
      <c r="A19" s="203"/>
      <c r="B19" s="204"/>
      <c r="C19" s="204"/>
      <c r="D19" s="204"/>
      <c r="E19" s="208" t="s">
        <v>3917</v>
      </c>
      <c r="F19" s="207" t="s">
        <v>3915</v>
      </c>
      <c r="G19" s="208" t="s">
        <v>3916</v>
      </c>
      <c r="H19" s="209">
        <v>1000000</v>
      </c>
      <c r="J19" s="169"/>
      <c r="K19" s="122"/>
      <c r="L19" s="123"/>
      <c r="M19" s="123"/>
      <c r="N19" s="125"/>
      <c r="O19" s="126"/>
    </row>
    <row r="20" spans="1:15" ht="21.75">
      <c r="A20" s="203"/>
      <c r="B20" s="204"/>
      <c r="C20" s="204"/>
      <c r="D20" s="204"/>
      <c r="E20" s="208" t="s">
        <v>3918</v>
      </c>
      <c r="F20" s="207" t="s">
        <v>3919</v>
      </c>
      <c r="G20" s="208" t="s">
        <v>1495</v>
      </c>
      <c r="H20" s="209">
        <v>500000</v>
      </c>
      <c r="I20" s="51" t="s">
        <v>3920</v>
      </c>
      <c r="J20" s="169"/>
      <c r="K20" s="122"/>
      <c r="L20" s="123"/>
      <c r="M20" s="123"/>
      <c r="N20" s="125"/>
      <c r="O20" s="126"/>
    </row>
    <row r="21" spans="1:15" ht="21.75">
      <c r="A21" s="203"/>
      <c r="B21" s="204"/>
      <c r="C21" s="204"/>
      <c r="D21" s="204"/>
      <c r="E21" s="208"/>
      <c r="F21" s="207"/>
      <c r="G21" s="208"/>
      <c r="H21" s="209"/>
      <c r="J21" s="169"/>
      <c r="K21" s="122"/>
      <c r="L21" s="123"/>
      <c r="M21" s="123"/>
      <c r="N21" s="125"/>
      <c r="O21" s="126"/>
    </row>
    <row r="22" spans="1:15" ht="21.75">
      <c r="A22" s="203"/>
      <c r="B22" s="204"/>
      <c r="C22" s="204"/>
      <c r="D22" s="204"/>
      <c r="E22" s="208"/>
      <c r="F22" s="207"/>
      <c r="G22" s="208"/>
      <c r="H22" s="209"/>
      <c r="J22" s="169"/>
      <c r="K22" s="122"/>
      <c r="L22" s="123"/>
      <c r="M22" s="123"/>
      <c r="N22" s="125"/>
      <c r="O22" s="126"/>
    </row>
    <row r="23" spans="1:15" ht="21.75">
      <c r="A23" s="203"/>
      <c r="B23" s="204"/>
      <c r="C23" s="204"/>
      <c r="D23" s="204"/>
      <c r="E23" s="208"/>
      <c r="F23" s="207"/>
      <c r="G23" s="208"/>
      <c r="H23" s="209"/>
      <c r="J23" s="169"/>
      <c r="K23" s="122"/>
      <c r="L23" s="123"/>
      <c r="M23" s="123"/>
      <c r="N23" s="125"/>
      <c r="O23" s="126"/>
    </row>
    <row r="24" spans="1:15" ht="21.75">
      <c r="A24" s="122"/>
      <c r="B24" s="123"/>
      <c r="C24" s="123"/>
      <c r="D24" s="123"/>
      <c r="E24" s="123"/>
      <c r="F24" s="123"/>
      <c r="G24" s="123"/>
      <c r="H24" s="210"/>
      <c r="J24" s="169"/>
      <c r="K24" s="122"/>
      <c r="L24" s="123"/>
      <c r="M24" s="123"/>
      <c r="N24" s="125"/>
      <c r="O24" s="126"/>
    </row>
    <row r="25" spans="1:15" ht="21.75">
      <c r="A25" s="66"/>
      <c r="B25" s="68"/>
      <c r="C25" s="68"/>
      <c r="D25" s="68"/>
      <c r="E25" s="68"/>
      <c r="F25" s="68"/>
      <c r="G25" s="68"/>
      <c r="H25" s="126"/>
      <c r="J25" s="169"/>
      <c r="K25" s="122"/>
      <c r="L25" s="123"/>
      <c r="M25" s="123"/>
      <c r="N25" s="125"/>
      <c r="O25" s="126"/>
    </row>
    <row r="26" spans="1:15" ht="21.75">
      <c r="A26" s="66"/>
      <c r="B26" s="68"/>
      <c r="C26" s="68"/>
      <c r="D26" s="68"/>
      <c r="E26" s="68"/>
      <c r="F26" s="68"/>
      <c r="G26" s="68"/>
      <c r="H26" s="126"/>
      <c r="J26" s="169"/>
      <c r="K26" s="122"/>
      <c r="L26" s="123"/>
      <c r="M26" s="123"/>
      <c r="N26" s="125"/>
      <c r="O26" s="126"/>
    </row>
    <row r="27" spans="1:15" ht="21.75">
      <c r="A27" s="211"/>
      <c r="B27" s="212"/>
      <c r="C27" s="212"/>
      <c r="D27" s="212"/>
      <c r="E27" s="212"/>
      <c r="F27" s="212"/>
      <c r="G27" s="212"/>
      <c r="H27" s="214">
        <f>SUM(H18:H26)</f>
        <v>2000000</v>
      </c>
      <c r="J27" s="169"/>
      <c r="K27" s="122"/>
      <c r="L27" s="123"/>
      <c r="M27" s="123"/>
      <c r="N27" s="125"/>
      <c r="O27" s="126"/>
    </row>
    <row r="28" spans="1:15" ht="21.75">
      <c r="A28" s="644" t="s">
        <v>3921</v>
      </c>
      <c r="B28" s="644"/>
      <c r="C28" s="644"/>
      <c r="D28" s="644"/>
      <c r="E28" s="644"/>
      <c r="F28" s="644"/>
      <c r="G28" s="644"/>
      <c r="H28" s="644"/>
      <c r="J28" s="169"/>
      <c r="K28" s="122"/>
      <c r="L28" s="123"/>
      <c r="M28" s="123"/>
      <c r="N28" s="125"/>
      <c r="O28" s="126"/>
    </row>
    <row r="29" spans="1:15" ht="21.75">
      <c r="A29" s="654" t="s">
        <v>653</v>
      </c>
      <c r="B29" s="659" t="s">
        <v>654</v>
      </c>
      <c r="C29" s="661" t="s">
        <v>655</v>
      </c>
      <c r="D29" s="661" t="s">
        <v>12</v>
      </c>
      <c r="E29" s="659" t="s">
        <v>656</v>
      </c>
      <c r="F29" s="661" t="s">
        <v>657</v>
      </c>
      <c r="G29" s="659" t="s">
        <v>658</v>
      </c>
      <c r="H29" s="201" t="s">
        <v>659</v>
      </c>
      <c r="J29" s="169"/>
      <c r="K29" s="122"/>
      <c r="L29" s="123"/>
      <c r="M29" s="123"/>
      <c r="N29" s="125"/>
      <c r="O29" s="126"/>
    </row>
    <row r="30" spans="1:15" ht="21.75">
      <c r="A30" s="655"/>
      <c r="B30" s="660"/>
      <c r="C30" s="660"/>
      <c r="D30" s="660"/>
      <c r="E30" s="710"/>
      <c r="F30" s="660"/>
      <c r="G30" s="660"/>
      <c r="H30" s="202" t="s">
        <v>660</v>
      </c>
      <c r="J30" s="169"/>
      <c r="K30" s="122"/>
      <c r="L30" s="123"/>
      <c r="M30" s="123"/>
      <c r="N30" s="125"/>
      <c r="O30" s="126"/>
    </row>
    <row r="31" spans="1:15" ht="21.75">
      <c r="A31" s="203">
        <v>1</v>
      </c>
      <c r="B31" s="204" t="s">
        <v>152</v>
      </c>
      <c r="C31" s="205" t="s">
        <v>3922</v>
      </c>
      <c r="D31" s="204" t="s">
        <v>3909</v>
      </c>
      <c r="E31" s="206" t="s">
        <v>703</v>
      </c>
      <c r="F31" s="207" t="s">
        <v>3923</v>
      </c>
      <c r="G31" s="208" t="s">
        <v>3924</v>
      </c>
      <c r="H31" s="209">
        <v>500000</v>
      </c>
      <c r="J31" s="169"/>
      <c r="K31" s="122"/>
      <c r="L31" s="123"/>
      <c r="M31" s="123"/>
      <c r="N31" s="125"/>
      <c r="O31" s="126"/>
    </row>
    <row r="32" spans="1:15" ht="21.75">
      <c r="A32" s="203"/>
      <c r="B32" s="204"/>
      <c r="C32" s="204"/>
      <c r="D32" s="204"/>
      <c r="E32" s="208" t="s">
        <v>3925</v>
      </c>
      <c r="F32" s="207" t="s">
        <v>3923</v>
      </c>
      <c r="G32" s="208" t="s">
        <v>3924</v>
      </c>
      <c r="H32" s="209">
        <v>1000000</v>
      </c>
      <c r="J32" s="169"/>
      <c r="K32" s="122"/>
      <c r="L32" s="123"/>
      <c r="M32" s="123"/>
      <c r="N32" s="125"/>
      <c r="O32" s="126"/>
    </row>
    <row r="33" spans="1:15" ht="21.75">
      <c r="A33" s="203"/>
      <c r="B33" s="204"/>
      <c r="C33" s="204"/>
      <c r="D33" s="204"/>
      <c r="E33" s="208" t="s">
        <v>3926</v>
      </c>
      <c r="F33" s="207" t="s">
        <v>3927</v>
      </c>
      <c r="G33" s="208" t="s">
        <v>3928</v>
      </c>
      <c r="H33" s="209">
        <v>500000</v>
      </c>
      <c r="J33" s="169"/>
      <c r="K33" s="122"/>
      <c r="L33" s="123"/>
      <c r="M33" s="123"/>
      <c r="N33" s="125"/>
      <c r="O33" s="126"/>
    </row>
    <row r="34" spans="1:15" ht="21.75">
      <c r="A34" s="203"/>
      <c r="B34" s="204"/>
      <c r="C34" s="204"/>
      <c r="D34" s="204"/>
      <c r="E34" s="208" t="s">
        <v>1066</v>
      </c>
      <c r="F34" s="207"/>
      <c r="G34" s="208" t="s">
        <v>3929</v>
      </c>
      <c r="H34" s="209">
        <v>-500000</v>
      </c>
      <c r="J34" s="169"/>
      <c r="K34" s="122"/>
      <c r="L34" s="123"/>
      <c r="M34" s="123"/>
      <c r="N34" s="125"/>
      <c r="O34" s="126"/>
    </row>
    <row r="35" spans="1:15" ht="21.75">
      <c r="A35" s="203"/>
      <c r="B35" s="204"/>
      <c r="C35" s="204"/>
      <c r="D35" s="204"/>
      <c r="E35" s="208" t="s">
        <v>3926</v>
      </c>
      <c r="F35" s="207"/>
      <c r="G35" s="208" t="s">
        <v>3929</v>
      </c>
      <c r="H35" s="209">
        <v>-350000</v>
      </c>
      <c r="J35" s="169"/>
      <c r="K35" s="122"/>
      <c r="L35" s="123"/>
      <c r="M35" s="123"/>
      <c r="N35" s="125"/>
      <c r="O35" s="126"/>
    </row>
    <row r="36" spans="1:15" ht="21.75">
      <c r="A36" s="203"/>
      <c r="B36" s="204"/>
      <c r="C36" s="204"/>
      <c r="D36" s="204"/>
      <c r="E36" s="208"/>
      <c r="F36" s="207"/>
      <c r="G36" s="208"/>
      <c r="H36" s="209"/>
      <c r="J36" s="169"/>
      <c r="K36" s="122"/>
      <c r="L36" s="123"/>
      <c r="M36" s="123"/>
      <c r="N36" s="125"/>
      <c r="O36" s="126"/>
    </row>
    <row r="37" spans="1:15" ht="21.75">
      <c r="A37" s="122"/>
      <c r="B37" s="123"/>
      <c r="C37" s="123"/>
      <c r="D37" s="123"/>
      <c r="E37" s="123"/>
      <c r="F37" s="123"/>
      <c r="G37" s="123"/>
      <c r="H37" s="210"/>
      <c r="K37" s="122"/>
      <c r="L37" s="123"/>
      <c r="M37" s="123"/>
      <c r="N37" s="125"/>
      <c r="O37" s="126"/>
    </row>
    <row r="38" spans="1:15" ht="21.75">
      <c r="A38" s="66"/>
      <c r="B38" s="68"/>
      <c r="C38" s="68"/>
      <c r="D38" s="68"/>
      <c r="E38" s="68"/>
      <c r="F38" s="68"/>
      <c r="G38" s="68"/>
      <c r="H38" s="126"/>
      <c r="K38" s="122"/>
      <c r="L38" s="123"/>
      <c r="M38" s="123"/>
      <c r="N38" s="125"/>
      <c r="O38" s="126"/>
    </row>
    <row r="39" spans="1:15" ht="21.75">
      <c r="A39" s="66"/>
      <c r="B39" s="68"/>
      <c r="C39" s="68"/>
      <c r="D39" s="68"/>
      <c r="E39" s="68"/>
      <c r="F39" s="68"/>
      <c r="G39" s="68"/>
      <c r="H39" s="126"/>
      <c r="K39" s="122"/>
      <c r="L39" s="123"/>
      <c r="M39" s="123"/>
      <c r="N39" s="125"/>
      <c r="O39" s="126"/>
    </row>
    <row r="40" spans="1:15" ht="14.45" customHeight="1">
      <c r="A40" s="211"/>
      <c r="B40" s="212"/>
      <c r="C40" s="212"/>
      <c r="D40" s="212"/>
      <c r="E40" s="212"/>
      <c r="F40" s="212"/>
      <c r="G40" s="212"/>
      <c r="H40" s="214">
        <f>SUM(H31:H39)</f>
        <v>1150000</v>
      </c>
      <c r="K40" s="122"/>
      <c r="L40" s="123"/>
      <c r="M40" s="123"/>
      <c r="N40" s="125"/>
      <c r="O40" s="126"/>
    </row>
    <row r="41" spans="1:15" ht="14.45" customHeight="1">
      <c r="A41" s="434"/>
      <c r="B41" s="434"/>
      <c r="C41" s="434"/>
      <c r="D41" s="434"/>
      <c r="E41" s="434"/>
      <c r="F41" s="434"/>
      <c r="G41" s="434"/>
      <c r="H41" s="435"/>
      <c r="K41" s="122"/>
      <c r="L41" s="123"/>
      <c r="M41" s="123"/>
      <c r="N41" s="125"/>
      <c r="O41" s="126"/>
    </row>
    <row r="42" spans="1:15" ht="18.600000000000001" customHeight="1">
      <c r="A42" s="761" t="s">
        <v>3930</v>
      </c>
      <c r="B42" s="761"/>
      <c r="C42" s="761"/>
      <c r="D42" s="761"/>
      <c r="E42" s="761"/>
      <c r="F42" s="761"/>
      <c r="G42" s="761"/>
      <c r="H42" s="761"/>
      <c r="K42" s="122"/>
      <c r="L42" s="123"/>
      <c r="M42" s="123"/>
      <c r="N42" s="125"/>
      <c r="O42" s="126"/>
    </row>
    <row r="43" spans="1:15" ht="18.600000000000001" customHeight="1">
      <c r="A43" s="762" t="s">
        <v>653</v>
      </c>
      <c r="B43" s="764" t="s">
        <v>654</v>
      </c>
      <c r="C43" s="766" t="s">
        <v>655</v>
      </c>
      <c r="D43" s="766" t="s">
        <v>12</v>
      </c>
      <c r="E43" s="764" t="s">
        <v>656</v>
      </c>
      <c r="F43" s="766" t="s">
        <v>657</v>
      </c>
      <c r="G43" s="764" t="s">
        <v>658</v>
      </c>
      <c r="H43" s="201" t="s">
        <v>659</v>
      </c>
      <c r="K43" s="122"/>
      <c r="L43" s="123"/>
      <c r="M43" s="123"/>
      <c r="N43" s="125"/>
      <c r="O43" s="126"/>
    </row>
    <row r="44" spans="1:15" ht="18.600000000000001" customHeight="1">
      <c r="A44" s="763"/>
      <c r="B44" s="765"/>
      <c r="C44" s="767"/>
      <c r="D44" s="767"/>
      <c r="E44" s="765"/>
      <c r="F44" s="767"/>
      <c r="G44" s="765"/>
      <c r="H44" s="202" t="s">
        <v>660</v>
      </c>
      <c r="K44" s="122"/>
      <c r="L44" s="123"/>
      <c r="M44" s="123"/>
      <c r="N44" s="125"/>
      <c r="O44" s="126"/>
    </row>
    <row r="45" spans="1:15" ht="18.600000000000001" customHeight="1">
      <c r="A45" s="482">
        <v>1</v>
      </c>
      <c r="B45" s="483" t="s">
        <v>152</v>
      </c>
      <c r="C45" s="484" t="s">
        <v>3922</v>
      </c>
      <c r="D45" s="483" t="s">
        <v>3909</v>
      </c>
      <c r="E45" s="485" t="s">
        <v>3931</v>
      </c>
      <c r="F45" s="486" t="s">
        <v>3932</v>
      </c>
      <c r="G45" s="487" t="s">
        <v>3933</v>
      </c>
      <c r="H45" s="488">
        <v>1500000</v>
      </c>
      <c r="K45" s="122"/>
      <c r="L45" s="123"/>
      <c r="M45" s="123"/>
      <c r="N45" s="125"/>
      <c r="O45" s="126"/>
    </row>
    <row r="46" spans="1:15" ht="18.600000000000001" customHeight="1">
      <c r="A46" s="482"/>
      <c r="B46" s="483"/>
      <c r="C46" s="483"/>
      <c r="D46" s="483"/>
      <c r="E46" s="487" t="s">
        <v>3934</v>
      </c>
      <c r="F46" s="486" t="s">
        <v>3935</v>
      </c>
      <c r="G46" s="487" t="s">
        <v>3936</v>
      </c>
      <c r="H46" s="488">
        <v>1800000</v>
      </c>
      <c r="K46" s="122"/>
      <c r="L46" s="123"/>
      <c r="M46" s="123"/>
      <c r="N46" s="125"/>
      <c r="O46" s="126"/>
    </row>
    <row r="47" spans="1:15" ht="18.600000000000001" customHeight="1">
      <c r="A47" s="482"/>
      <c r="B47" s="483"/>
      <c r="C47" s="483"/>
      <c r="D47" s="483"/>
      <c r="E47" s="487" t="s">
        <v>3937</v>
      </c>
      <c r="F47" s="486" t="s">
        <v>3938</v>
      </c>
      <c r="G47" s="487" t="s">
        <v>3939</v>
      </c>
      <c r="H47" s="488">
        <v>1500000</v>
      </c>
      <c r="K47" s="122"/>
      <c r="L47" s="123"/>
      <c r="M47" s="123"/>
      <c r="N47" s="125"/>
      <c r="O47" s="126"/>
    </row>
    <row r="48" spans="1:15" ht="18.600000000000001" customHeight="1">
      <c r="A48" s="482"/>
      <c r="B48" s="483"/>
      <c r="C48" s="483"/>
      <c r="D48" s="483"/>
      <c r="E48" s="487" t="s">
        <v>3940</v>
      </c>
      <c r="F48" s="486" t="s">
        <v>3941</v>
      </c>
      <c r="G48" s="487" t="s">
        <v>3100</v>
      </c>
      <c r="H48" s="488">
        <v>1200000</v>
      </c>
      <c r="K48" s="122"/>
      <c r="L48" s="123"/>
      <c r="M48" s="123"/>
      <c r="N48" s="125"/>
      <c r="O48" s="126"/>
    </row>
    <row r="49" spans="1:15" ht="18.600000000000001" customHeight="1">
      <c r="A49" s="482"/>
      <c r="B49" s="483"/>
      <c r="C49" s="483"/>
      <c r="D49" s="483"/>
      <c r="E49" s="487" t="s">
        <v>3942</v>
      </c>
      <c r="F49" s="486" t="s">
        <v>1700</v>
      </c>
      <c r="G49" s="487" t="s">
        <v>3375</v>
      </c>
      <c r="H49" s="488">
        <v>1500000</v>
      </c>
      <c r="K49" s="122"/>
      <c r="L49" s="123"/>
      <c r="M49" s="123"/>
      <c r="N49" s="125"/>
      <c r="O49" s="126"/>
    </row>
    <row r="50" spans="1:15" ht="18.600000000000001" customHeight="1">
      <c r="A50" s="482"/>
      <c r="B50" s="483"/>
      <c r="C50" s="483"/>
      <c r="D50" s="483"/>
      <c r="E50" s="487" t="s">
        <v>3943</v>
      </c>
      <c r="F50" s="486" t="s">
        <v>3944</v>
      </c>
      <c r="G50" s="487" t="s">
        <v>3945</v>
      </c>
      <c r="H50" s="488">
        <v>1200000</v>
      </c>
      <c r="K50" s="122"/>
      <c r="L50" s="123"/>
      <c r="M50" s="123"/>
      <c r="N50" s="125"/>
      <c r="O50" s="126"/>
    </row>
    <row r="51" spans="1:15" ht="18.600000000000001" customHeight="1">
      <c r="A51" s="489"/>
      <c r="B51" s="490"/>
      <c r="C51" s="490"/>
      <c r="D51" s="490"/>
      <c r="E51" s="491" t="s">
        <v>3946</v>
      </c>
      <c r="F51" s="492" t="s">
        <v>3947</v>
      </c>
      <c r="G51" s="491" t="s">
        <v>2271</v>
      </c>
      <c r="H51" s="498">
        <v>600000</v>
      </c>
      <c r="K51" s="122"/>
      <c r="L51" s="123"/>
      <c r="M51" s="123"/>
      <c r="N51" s="125"/>
      <c r="O51" s="126"/>
    </row>
    <row r="52" spans="1:15" ht="18.600000000000001" customHeight="1">
      <c r="A52" s="489"/>
      <c r="B52" s="490"/>
      <c r="C52" s="490"/>
      <c r="D52" s="490"/>
      <c r="E52" s="491" t="s">
        <v>3948</v>
      </c>
      <c r="F52" s="492" t="s">
        <v>2632</v>
      </c>
      <c r="G52" s="491" t="s">
        <v>2775</v>
      </c>
      <c r="H52" s="498">
        <v>1500000</v>
      </c>
      <c r="K52" s="122"/>
      <c r="L52" s="123"/>
      <c r="M52" s="123"/>
      <c r="N52" s="125"/>
      <c r="O52" s="126"/>
    </row>
    <row r="53" spans="1:15" ht="18.600000000000001" customHeight="1">
      <c r="A53" s="489"/>
      <c r="B53" s="490"/>
      <c r="C53" s="490"/>
      <c r="D53" s="490"/>
      <c r="E53" s="491" t="s">
        <v>196</v>
      </c>
      <c r="F53" s="492" t="s">
        <v>3949</v>
      </c>
      <c r="G53" s="491" t="s">
        <v>3950</v>
      </c>
      <c r="H53" s="498">
        <v>2100000</v>
      </c>
      <c r="K53" s="139"/>
      <c r="L53" s="140"/>
      <c r="M53" s="140"/>
      <c r="N53" s="141"/>
      <c r="O53" s="142"/>
    </row>
    <row r="54" spans="1:15" ht="18.600000000000001" customHeight="1">
      <c r="A54" s="493"/>
      <c r="B54" s="494"/>
      <c r="C54" s="494"/>
      <c r="D54" s="494"/>
      <c r="E54" s="494"/>
      <c r="F54" s="494"/>
      <c r="G54" s="494"/>
      <c r="H54" s="499"/>
      <c r="K54" s="143"/>
      <c r="L54" s="143"/>
      <c r="M54" s="143"/>
      <c r="N54" s="144"/>
    </row>
    <row r="55" spans="1:15" ht="18.600000000000001" customHeight="1">
      <c r="A55" s="493"/>
      <c r="B55" s="494"/>
      <c r="C55" s="494"/>
      <c r="D55" s="494"/>
      <c r="E55" s="494"/>
      <c r="F55" s="494"/>
      <c r="G55" s="494"/>
      <c r="H55" s="499"/>
      <c r="K55" s="143"/>
      <c r="L55" s="143"/>
      <c r="M55" s="143"/>
      <c r="N55" s="144"/>
    </row>
    <row r="56" spans="1:15" ht="18.600000000000001" customHeight="1">
      <c r="A56" s="495"/>
      <c r="B56" s="496"/>
      <c r="C56" s="496"/>
      <c r="D56" s="496"/>
      <c r="E56" s="496"/>
      <c r="F56" s="496"/>
      <c r="G56" s="496"/>
      <c r="H56" s="497">
        <f>SUM(H45:H53)</f>
        <v>12900000</v>
      </c>
    </row>
    <row r="57" spans="1:15" ht="18.600000000000001" customHeight="1"/>
    <row r="58" spans="1:15" ht="18.600000000000001" customHeight="1"/>
    <row r="59" spans="1:15" ht="18.600000000000001" customHeight="1"/>
    <row r="60" spans="1:15" ht="18.600000000000001" customHeight="1"/>
    <row r="61" spans="1:15" ht="18.600000000000001" customHeight="1"/>
    <row r="62" spans="1:15" ht="18.600000000000001" customHeight="1"/>
    <row r="63" spans="1:15" ht="18.600000000000001" customHeight="1"/>
    <row r="64" spans="1:15" ht="18.600000000000001" customHeight="1"/>
    <row r="65" ht="18.600000000000001" customHeight="1"/>
    <row r="66" ht="18.600000000000001" customHeight="1"/>
    <row r="67" ht="18.600000000000001" customHeight="1"/>
    <row r="68" ht="18.600000000000001" customHeight="1"/>
    <row r="69" ht="18.600000000000001" customHeight="1"/>
    <row r="70" ht="18.600000000000001" customHeight="1"/>
    <row r="71" ht="18.600000000000001" customHeight="1"/>
    <row r="72" ht="18.600000000000001" customHeight="1"/>
    <row r="73" ht="18.600000000000001" customHeight="1"/>
    <row r="74" ht="18.600000000000001" customHeight="1"/>
    <row r="75" ht="18.600000000000001" customHeight="1"/>
    <row r="76" ht="18.600000000000001" customHeight="1"/>
    <row r="77" ht="18.600000000000001" customHeight="1"/>
  </sheetData>
  <mergeCells count="38">
    <mergeCell ref="A2:H2"/>
    <mergeCell ref="K2:N2"/>
    <mergeCell ref="A3:A4"/>
    <mergeCell ref="B3:B4"/>
    <mergeCell ref="C3:C4"/>
    <mergeCell ref="D3:D4"/>
    <mergeCell ref="E3:E4"/>
    <mergeCell ref="F3:F4"/>
    <mergeCell ref="G3:G4"/>
    <mergeCell ref="K3:K4"/>
    <mergeCell ref="L3:L4"/>
    <mergeCell ref="M3:M4"/>
    <mergeCell ref="N3:N4"/>
    <mergeCell ref="O3:O4"/>
    <mergeCell ref="A15:H15"/>
    <mergeCell ref="F16:F17"/>
    <mergeCell ref="G16:G17"/>
    <mergeCell ref="A28:H28"/>
    <mergeCell ref="F29:F30"/>
    <mergeCell ref="G29:G30"/>
    <mergeCell ref="A16:A17"/>
    <mergeCell ref="B16:B17"/>
    <mergeCell ref="C16:C17"/>
    <mergeCell ref="D16:D17"/>
    <mergeCell ref="E16:E17"/>
    <mergeCell ref="A29:A30"/>
    <mergeCell ref="B29:B30"/>
    <mergeCell ref="C29:C30"/>
    <mergeCell ref="D29:D30"/>
    <mergeCell ref="E29:E30"/>
    <mergeCell ref="A42:H42"/>
    <mergeCell ref="A43:A44"/>
    <mergeCell ref="B43:B44"/>
    <mergeCell ref="C43:C44"/>
    <mergeCell ref="D43:D44"/>
    <mergeCell ref="E43:E44"/>
    <mergeCell ref="F43:F44"/>
    <mergeCell ref="G43:G44"/>
  </mergeCells>
  <hyperlinks>
    <hyperlink ref="B1" location="Name!A1" display="Name!A1" xr:uid="{F049F423-A787-4D3D-9CD9-098F6B0067AC}"/>
  </hyperlinks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3F0C-B9CE-412F-914B-E773B18821AD}">
  <dimension ref="A1:P116"/>
  <sheetViews>
    <sheetView workbookViewId="0">
      <selection activeCell="B1" sqref="B1"/>
    </sheetView>
  </sheetViews>
  <sheetFormatPr defaultColWidth="9.140625" defaultRowHeight="22.5"/>
  <cols>
    <col min="1" max="1" width="6.140625" style="51" customWidth="1"/>
    <col min="2" max="2" width="12.42578125" style="51" customWidth="1"/>
    <col min="3" max="4" width="15.42578125" style="51" customWidth="1"/>
    <col min="5" max="5" width="17.7109375" style="51" customWidth="1"/>
    <col min="6" max="6" width="22.42578125" style="51" customWidth="1"/>
    <col min="7" max="7" width="16.7109375" style="51" customWidth="1"/>
    <col min="8" max="8" width="13.42578125" style="51" customWidth="1"/>
    <col min="9" max="9" width="15.28515625" style="51" customWidth="1"/>
    <col min="10" max="10" width="26.28515625" style="51" customWidth="1"/>
    <col min="11" max="11" width="5" style="193" customWidth="1"/>
    <col min="12" max="12" width="14.28515625" style="562" customWidth="1"/>
    <col min="13" max="13" width="32.42578125" style="562" customWidth="1"/>
    <col min="14" max="14" width="19.5703125" style="563" customWidth="1"/>
    <col min="15" max="15" width="15.42578125" style="104" customWidth="1"/>
    <col min="16" max="16" width="17.5703125" style="51" customWidth="1"/>
    <col min="17" max="16384" width="9.140625" style="51"/>
  </cols>
  <sheetData>
    <row r="1" spans="1:16">
      <c r="B1" s="411" t="s">
        <v>648</v>
      </c>
    </row>
    <row r="2" spans="1:16" ht="21.75">
      <c r="A2" s="644" t="s">
        <v>3951</v>
      </c>
      <c r="B2" s="644"/>
      <c r="C2" s="644"/>
      <c r="D2" s="644"/>
      <c r="E2" s="644"/>
      <c r="F2" s="644"/>
      <c r="G2" s="644"/>
      <c r="H2" s="644"/>
      <c r="I2" s="644"/>
      <c r="J2" s="644"/>
      <c r="K2" s="169"/>
      <c r="L2" s="644" t="s">
        <v>973</v>
      </c>
      <c r="M2" s="644"/>
      <c r="N2" s="644"/>
      <c r="O2" s="644"/>
    </row>
    <row r="3" spans="1:16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2"/>
      <c r="G3" s="647" t="s">
        <v>974</v>
      </c>
      <c r="H3" s="645" t="s">
        <v>657</v>
      </c>
      <c r="I3" s="647" t="s">
        <v>658</v>
      </c>
      <c r="J3" s="3" t="s">
        <v>659</v>
      </c>
      <c r="K3" s="169"/>
      <c r="L3" s="772" t="s">
        <v>653</v>
      </c>
      <c r="M3" s="774" t="s">
        <v>974</v>
      </c>
      <c r="N3" s="776" t="s">
        <v>975</v>
      </c>
      <c r="O3" s="662" t="s">
        <v>976</v>
      </c>
      <c r="P3" s="729" t="s">
        <v>977</v>
      </c>
    </row>
    <row r="4" spans="1:16" ht="21.75">
      <c r="A4" s="646"/>
      <c r="B4" s="646"/>
      <c r="C4" s="646"/>
      <c r="D4" s="646"/>
      <c r="E4" s="648"/>
      <c r="F4" s="5"/>
      <c r="G4" s="648"/>
      <c r="H4" s="646"/>
      <c r="I4" s="646"/>
      <c r="J4" s="6" t="s">
        <v>660</v>
      </c>
      <c r="K4" s="169"/>
      <c r="L4" s="773"/>
      <c r="M4" s="775"/>
      <c r="N4" s="777"/>
      <c r="O4" s="663"/>
      <c r="P4" s="730"/>
    </row>
    <row r="5" spans="1:16">
      <c r="A5" s="7">
        <v>1</v>
      </c>
      <c r="B5" s="7" t="s">
        <v>152</v>
      </c>
      <c r="C5" s="8" t="s">
        <v>187</v>
      </c>
      <c r="D5" s="7" t="s">
        <v>3952</v>
      </c>
      <c r="E5" s="9" t="s">
        <v>703</v>
      </c>
      <c r="F5" s="9"/>
      <c r="G5" s="9" t="s">
        <v>3953</v>
      </c>
      <c r="H5" s="10" t="s">
        <v>3954</v>
      </c>
      <c r="I5" s="9">
        <v>200000</v>
      </c>
      <c r="J5" s="9"/>
      <c r="K5" s="169"/>
      <c r="L5" s="489"/>
      <c r="M5" s="490"/>
      <c r="N5" s="579"/>
      <c r="O5" s="125"/>
      <c r="P5" s="126"/>
    </row>
    <row r="6" spans="1:16">
      <c r="A6" s="7"/>
      <c r="B6" s="7"/>
      <c r="C6" s="7"/>
      <c r="D6" s="7"/>
      <c r="E6" s="9" t="s">
        <v>3955</v>
      </c>
      <c r="F6" s="9"/>
      <c r="G6" s="9" t="s">
        <v>3956</v>
      </c>
      <c r="H6" s="10"/>
      <c r="I6" s="9">
        <v>90000</v>
      </c>
      <c r="J6" s="9"/>
      <c r="K6" s="169"/>
      <c r="L6" s="489"/>
      <c r="M6" s="490"/>
      <c r="N6" s="579"/>
      <c r="O6" s="125"/>
      <c r="P6" s="126"/>
    </row>
    <row r="7" spans="1:16">
      <c r="A7" s="7"/>
      <c r="B7" s="7"/>
      <c r="C7" s="7"/>
      <c r="D7" s="7"/>
      <c r="E7" s="9" t="s">
        <v>1066</v>
      </c>
      <c r="F7" s="9"/>
      <c r="G7" s="9" t="s">
        <v>3956</v>
      </c>
      <c r="H7" s="10"/>
      <c r="I7" s="9">
        <v>-200000</v>
      </c>
      <c r="J7" s="9"/>
      <c r="K7" s="169"/>
      <c r="L7" s="489"/>
      <c r="M7" s="490"/>
      <c r="N7" s="579"/>
      <c r="O7" s="125"/>
      <c r="P7" s="126"/>
    </row>
    <row r="8" spans="1:16">
      <c r="A8" s="7"/>
      <c r="B8" s="7"/>
      <c r="C8" s="7"/>
      <c r="D8" s="7"/>
      <c r="E8" s="9"/>
      <c r="F8" s="9"/>
      <c r="G8" s="9"/>
      <c r="H8" s="10"/>
      <c r="I8" s="9"/>
      <c r="J8" s="9"/>
      <c r="K8" s="169"/>
      <c r="L8" s="489"/>
      <c r="M8" s="490"/>
      <c r="N8" s="580"/>
      <c r="O8" s="125"/>
      <c r="P8" s="126"/>
    </row>
    <row r="9" spans="1:16">
      <c r="A9" s="7"/>
      <c r="B9" s="7"/>
      <c r="C9" s="7"/>
      <c r="D9" s="7"/>
      <c r="E9" s="9"/>
      <c r="F9" s="9"/>
      <c r="G9" s="9"/>
      <c r="H9" s="10"/>
      <c r="I9" s="9"/>
      <c r="J9" s="9"/>
      <c r="K9" s="169"/>
      <c r="L9" s="489"/>
      <c r="M9" s="490"/>
      <c r="N9" s="579"/>
      <c r="O9" s="125"/>
      <c r="P9" s="126"/>
    </row>
    <row r="10" spans="1:16">
      <c r="A10" s="7"/>
      <c r="B10" s="7"/>
      <c r="C10" s="7"/>
      <c r="D10" s="7"/>
      <c r="E10" s="9"/>
      <c r="F10" s="9"/>
      <c r="G10" s="9"/>
      <c r="H10" s="10"/>
      <c r="I10" s="9"/>
      <c r="J10" s="9"/>
      <c r="K10" s="169"/>
      <c r="L10" s="489"/>
      <c r="M10" s="490"/>
      <c r="N10" s="579"/>
      <c r="O10" s="125"/>
      <c r="P10" s="126"/>
    </row>
    <row r="11" spans="1:16">
      <c r="A11" s="7"/>
      <c r="B11" s="7"/>
      <c r="C11" s="7"/>
      <c r="D11" s="7"/>
      <c r="E11" s="9"/>
      <c r="F11" s="9"/>
      <c r="G11" s="9"/>
      <c r="H11" s="10"/>
      <c r="I11" s="9"/>
      <c r="J11" s="9"/>
      <c r="K11" s="169"/>
      <c r="L11" s="489"/>
      <c r="M11" s="490"/>
      <c r="N11" s="579"/>
      <c r="O11" s="125"/>
      <c r="P11" s="126"/>
    </row>
    <row r="12" spans="1:16">
      <c r="A12" s="7"/>
      <c r="B12" s="7"/>
      <c r="C12" s="7"/>
      <c r="D12" s="7"/>
      <c r="E12" s="9"/>
      <c r="F12" s="9"/>
      <c r="G12" s="9"/>
      <c r="H12" s="10"/>
      <c r="I12" s="9"/>
      <c r="J12" s="9"/>
      <c r="K12" s="169"/>
      <c r="L12" s="489"/>
      <c r="M12" s="490"/>
      <c r="N12" s="579"/>
      <c r="O12" s="125"/>
      <c r="P12" s="126"/>
    </row>
    <row r="13" spans="1:16">
      <c r="A13" s="7"/>
      <c r="B13" s="7"/>
      <c r="C13" s="7"/>
      <c r="D13" s="7"/>
      <c r="E13" s="9"/>
      <c r="F13" s="9"/>
      <c r="G13" s="9"/>
      <c r="H13" s="10"/>
      <c r="I13" s="9"/>
      <c r="J13" s="9"/>
      <c r="K13" s="169"/>
      <c r="L13" s="489"/>
      <c r="M13" s="490"/>
      <c r="N13" s="579"/>
      <c r="O13" s="125"/>
      <c r="P13" s="126"/>
    </row>
    <row r="14" spans="1:16">
      <c r="A14" s="12"/>
      <c r="B14" s="12"/>
      <c r="C14" s="12"/>
      <c r="D14" s="12"/>
      <c r="E14" s="13"/>
      <c r="F14" s="13"/>
      <c r="G14" s="13"/>
      <c r="H14" s="14"/>
      <c r="I14" s="13">
        <f>SUM(I5:I13)</f>
        <v>90000</v>
      </c>
      <c r="J14" s="13"/>
      <c r="K14" s="169"/>
      <c r="L14" s="574"/>
      <c r="M14" s="575"/>
      <c r="N14" s="581"/>
      <c r="O14" s="185">
        <f>SUM(O5:O13)</f>
        <v>0</v>
      </c>
      <c r="P14" s="194">
        <f>I14-O14</f>
        <v>90000</v>
      </c>
    </row>
    <row r="15" spans="1:16">
      <c r="A15" s="644" t="s">
        <v>3957</v>
      </c>
      <c r="B15" s="644"/>
      <c r="C15" s="644"/>
      <c r="D15" s="644"/>
      <c r="E15" s="644"/>
      <c r="F15" s="644"/>
      <c r="G15" s="644"/>
      <c r="H15" s="644"/>
      <c r="I15" s="644"/>
      <c r="J15" s="644"/>
      <c r="K15" s="169"/>
      <c r="L15" s="489"/>
      <c r="M15" s="490"/>
      <c r="N15" s="579"/>
      <c r="O15" s="125"/>
      <c r="P15" s="126"/>
    </row>
    <row r="16" spans="1:16">
      <c r="A16" s="7">
        <v>2</v>
      </c>
      <c r="B16" s="7" t="s">
        <v>152</v>
      </c>
      <c r="C16" s="7" t="s">
        <v>187</v>
      </c>
      <c r="D16" s="7" t="s">
        <v>3952</v>
      </c>
      <c r="E16" s="9" t="s">
        <v>703</v>
      </c>
      <c r="F16" s="9"/>
      <c r="G16" s="9" t="s">
        <v>3911</v>
      </c>
      <c r="H16" s="10" t="s">
        <v>3958</v>
      </c>
      <c r="I16" s="9">
        <v>500000</v>
      </c>
      <c r="J16" s="9"/>
      <c r="K16" s="169"/>
      <c r="L16" s="489"/>
      <c r="M16" s="490"/>
      <c r="N16" s="579"/>
      <c r="O16" s="125"/>
      <c r="P16" s="126"/>
    </row>
    <row r="17" spans="1:16">
      <c r="A17" s="7"/>
      <c r="B17" s="7"/>
      <c r="C17" s="7"/>
      <c r="D17" s="7"/>
      <c r="E17" s="9" t="s">
        <v>3959</v>
      </c>
      <c r="F17" s="9"/>
      <c r="G17" s="9" t="s">
        <v>3911</v>
      </c>
      <c r="H17" s="10" t="s">
        <v>3958</v>
      </c>
      <c r="I17" s="9">
        <v>1000000</v>
      </c>
      <c r="J17" s="9"/>
      <c r="K17" s="169"/>
      <c r="L17" s="489"/>
      <c r="M17" s="490"/>
      <c r="N17" s="579"/>
      <c r="O17" s="125"/>
      <c r="P17" s="126"/>
    </row>
    <row r="18" spans="1:16">
      <c r="A18" s="7"/>
      <c r="B18" s="7"/>
      <c r="C18" s="7"/>
      <c r="D18" s="7"/>
      <c r="E18" s="9"/>
      <c r="F18" s="9"/>
      <c r="G18" s="9"/>
      <c r="H18" s="10"/>
      <c r="I18" s="9">
        <v>-500000</v>
      </c>
      <c r="J18" s="9"/>
      <c r="K18" s="169"/>
      <c r="L18" s="489"/>
      <c r="M18" s="490"/>
      <c r="N18" s="579"/>
      <c r="O18" s="125"/>
      <c r="P18" s="126"/>
    </row>
    <row r="19" spans="1:16">
      <c r="A19" s="12"/>
      <c r="B19" s="12"/>
      <c r="C19" s="12"/>
      <c r="D19" s="12"/>
      <c r="E19" s="13"/>
      <c r="F19" s="13"/>
      <c r="G19" s="13"/>
      <c r="H19" s="14"/>
      <c r="I19" s="13">
        <f>SUM(I16:I18)</f>
        <v>1000000</v>
      </c>
      <c r="J19" s="13"/>
      <c r="K19" s="169"/>
      <c r="L19" s="574"/>
      <c r="M19" s="575"/>
      <c r="N19" s="581"/>
      <c r="O19" s="185"/>
      <c r="P19" s="194"/>
    </row>
    <row r="20" spans="1:16" s="181" customFormat="1">
      <c r="A20" s="768" t="s">
        <v>3960</v>
      </c>
      <c r="B20" s="769"/>
      <c r="C20" s="769"/>
      <c r="D20" s="769"/>
      <c r="E20" s="769"/>
      <c r="F20" s="769"/>
      <c r="G20" s="769"/>
      <c r="H20" s="769"/>
      <c r="I20" s="769"/>
      <c r="J20" s="770"/>
      <c r="K20" s="25"/>
      <c r="L20" s="576"/>
      <c r="M20" s="573"/>
      <c r="N20" s="580"/>
      <c r="O20" s="137"/>
      <c r="P20" s="138"/>
    </row>
    <row r="21" spans="1:16">
      <c r="A21" s="7">
        <v>3</v>
      </c>
      <c r="B21" s="7" t="s">
        <v>152</v>
      </c>
      <c r="C21" s="7" t="s">
        <v>187</v>
      </c>
      <c r="D21" s="7" t="s">
        <v>3952</v>
      </c>
      <c r="E21" s="9" t="s">
        <v>3961</v>
      </c>
      <c r="F21" s="9"/>
      <c r="G21" s="9" t="s">
        <v>3962</v>
      </c>
      <c r="H21" s="10" t="s">
        <v>3963</v>
      </c>
      <c r="I21" s="9">
        <v>940000</v>
      </c>
      <c r="J21" s="9" t="s">
        <v>3964</v>
      </c>
      <c r="K21" s="169"/>
      <c r="L21" s="489"/>
      <c r="M21" s="490"/>
      <c r="N21" s="579"/>
      <c r="O21" s="125"/>
      <c r="P21" s="126"/>
    </row>
    <row r="22" spans="1:16" ht="22.5" customHeight="1">
      <c r="A22" s="7"/>
      <c r="B22" s="7"/>
      <c r="C22" s="7"/>
      <c r="D22" s="7"/>
      <c r="E22" s="9" t="s">
        <v>3965</v>
      </c>
      <c r="F22" s="9"/>
      <c r="G22" s="9" t="s">
        <v>3966</v>
      </c>
      <c r="H22" s="10" t="s">
        <v>3967</v>
      </c>
      <c r="I22" s="9">
        <v>940000</v>
      </c>
      <c r="J22" s="9" t="s">
        <v>3968</v>
      </c>
      <c r="K22" s="169"/>
      <c r="L22" s="489"/>
      <c r="M22" s="490"/>
      <c r="N22" s="579"/>
      <c r="O22" s="125"/>
      <c r="P22" s="126"/>
    </row>
    <row r="23" spans="1:16">
      <c r="A23" s="7"/>
      <c r="B23" s="7"/>
      <c r="C23" s="7"/>
      <c r="D23" s="7"/>
      <c r="E23" s="9" t="s">
        <v>3969</v>
      </c>
      <c r="F23" s="9"/>
      <c r="G23" s="9" t="s">
        <v>3970</v>
      </c>
      <c r="H23" s="10" t="s">
        <v>3971</v>
      </c>
      <c r="I23" s="9">
        <v>1410000</v>
      </c>
      <c r="J23" s="9" t="s">
        <v>3968</v>
      </c>
      <c r="K23" s="169"/>
      <c r="L23" s="489"/>
      <c r="M23" s="490"/>
      <c r="N23" s="579"/>
      <c r="O23" s="125"/>
      <c r="P23" s="126"/>
    </row>
    <row r="24" spans="1:16">
      <c r="A24" s="7"/>
      <c r="B24" s="7"/>
      <c r="C24" s="195" t="s">
        <v>3952</v>
      </c>
      <c r="D24" s="7" t="s">
        <v>3972</v>
      </c>
      <c r="E24" s="9" t="s">
        <v>3973</v>
      </c>
      <c r="F24" s="9">
        <f>470000*8</f>
        <v>3760000</v>
      </c>
      <c r="G24" s="9" t="s">
        <v>3973</v>
      </c>
      <c r="H24" s="10"/>
      <c r="I24" s="9">
        <f>470000*8</f>
        <v>3760000</v>
      </c>
      <c r="J24" s="722" t="s">
        <v>3974</v>
      </c>
      <c r="K24" s="169"/>
      <c r="L24" s="489"/>
      <c r="M24" s="490"/>
      <c r="N24" s="579"/>
      <c r="O24" s="125"/>
      <c r="P24" s="126"/>
    </row>
    <row r="25" spans="1:16">
      <c r="A25" s="7"/>
      <c r="B25" s="7"/>
      <c r="C25" s="7"/>
      <c r="D25" s="7" t="s">
        <v>3975</v>
      </c>
      <c r="E25" s="9" t="s">
        <v>3976</v>
      </c>
      <c r="F25" s="9">
        <f>12*470000</f>
        <v>5640000</v>
      </c>
      <c r="G25" s="9" t="s">
        <v>3976</v>
      </c>
      <c r="H25" s="10"/>
      <c r="I25" s="9">
        <f>12*470000</f>
        <v>5640000</v>
      </c>
      <c r="J25" s="771"/>
      <c r="K25" s="169"/>
      <c r="L25" s="489"/>
      <c r="M25" s="490"/>
      <c r="N25" s="579"/>
      <c r="O25" s="125"/>
      <c r="P25" s="126"/>
    </row>
    <row r="26" spans="1:16">
      <c r="A26" s="7"/>
      <c r="B26" s="7"/>
      <c r="C26" s="7"/>
      <c r="D26" s="7" t="s">
        <v>3977</v>
      </c>
      <c r="E26" s="9" t="s">
        <v>3978</v>
      </c>
      <c r="F26" s="9">
        <f>9*500000</f>
        <v>4500000</v>
      </c>
      <c r="G26" s="9" t="s">
        <v>3978</v>
      </c>
      <c r="H26" s="10"/>
      <c r="I26" s="9">
        <f>9*500000</f>
        <v>4500000</v>
      </c>
      <c r="J26" s="771"/>
      <c r="K26" s="169"/>
      <c r="L26" s="489"/>
      <c r="M26" s="490"/>
      <c r="N26" s="579"/>
      <c r="O26" s="125"/>
      <c r="P26" s="126"/>
    </row>
    <row r="27" spans="1:16">
      <c r="A27" s="7"/>
      <c r="B27" s="7"/>
      <c r="C27" s="7"/>
      <c r="D27" s="7"/>
      <c r="E27" s="9" t="s">
        <v>3979</v>
      </c>
      <c r="F27" s="9">
        <v>-1390000</v>
      </c>
      <c r="G27" s="9" t="s">
        <v>3979</v>
      </c>
      <c r="H27" s="10"/>
      <c r="I27" s="9">
        <v>-1390000</v>
      </c>
      <c r="J27" s="771"/>
      <c r="K27" s="169"/>
      <c r="L27" s="489"/>
      <c r="M27" s="490"/>
      <c r="N27" s="579"/>
      <c r="O27" s="125"/>
      <c r="P27" s="126"/>
    </row>
    <row r="28" spans="1:16">
      <c r="A28" s="7"/>
      <c r="B28" s="7"/>
      <c r="C28" s="7"/>
      <c r="D28" s="7"/>
      <c r="E28" s="9"/>
      <c r="F28" s="196"/>
      <c r="G28" s="9" t="s">
        <v>3980</v>
      </c>
      <c r="H28" s="10"/>
      <c r="I28" s="9">
        <v>500000</v>
      </c>
      <c r="J28" s="723"/>
      <c r="K28" s="169"/>
      <c r="L28" s="489"/>
      <c r="M28" s="490"/>
      <c r="N28" s="579"/>
      <c r="O28" s="125"/>
      <c r="P28" s="126"/>
    </row>
    <row r="29" spans="1:16" ht="23.25" thickBot="1">
      <c r="A29" s="7"/>
      <c r="B29" s="7"/>
      <c r="C29" s="7"/>
      <c r="D29" s="7"/>
      <c r="E29" s="9"/>
      <c r="F29" s="197">
        <f>SUM(F24:F28)</f>
        <v>12510000</v>
      </c>
      <c r="G29" s="9"/>
      <c r="H29" s="10"/>
      <c r="I29" s="9"/>
      <c r="J29" s="9"/>
      <c r="K29" s="169"/>
      <c r="L29" s="489"/>
      <c r="M29" s="490"/>
      <c r="N29" s="579"/>
      <c r="O29" s="125"/>
      <c r="P29" s="126"/>
    </row>
    <row r="30" spans="1:16" ht="23.25" thickTop="1">
      <c r="A30" s="7"/>
      <c r="B30" s="7"/>
      <c r="C30" s="7"/>
      <c r="D30" s="7"/>
      <c r="E30" s="9"/>
      <c r="F30" s="198"/>
      <c r="G30" s="9"/>
      <c r="H30" s="10"/>
      <c r="I30" s="9"/>
      <c r="J30" s="9"/>
      <c r="K30" s="169"/>
      <c r="L30" s="489"/>
      <c r="M30" s="490"/>
      <c r="N30" s="579"/>
      <c r="O30" s="125"/>
      <c r="P30" s="126"/>
    </row>
    <row r="31" spans="1:16">
      <c r="A31" s="7"/>
      <c r="B31" s="7"/>
      <c r="C31" s="7"/>
      <c r="D31" s="7"/>
      <c r="E31" s="9"/>
      <c r="F31" s="9"/>
      <c r="G31" s="9"/>
      <c r="H31" s="10"/>
      <c r="I31" s="9"/>
      <c r="J31" s="9"/>
      <c r="K31" s="169"/>
      <c r="L31" s="489"/>
      <c r="M31" s="490"/>
      <c r="N31" s="579"/>
      <c r="O31" s="125"/>
      <c r="P31" s="126"/>
    </row>
    <row r="32" spans="1:16">
      <c r="A32" s="7"/>
      <c r="B32" s="7"/>
      <c r="C32" s="7"/>
      <c r="D32" s="7"/>
      <c r="E32" s="9"/>
      <c r="F32" s="9"/>
      <c r="G32" s="9"/>
      <c r="H32" s="10"/>
      <c r="I32" s="9"/>
      <c r="J32" s="9"/>
      <c r="K32" s="169"/>
      <c r="L32" s="489"/>
      <c r="M32" s="490"/>
      <c r="N32" s="579"/>
      <c r="O32" s="125"/>
      <c r="P32" s="126"/>
    </row>
    <row r="33" spans="1:16">
      <c r="A33" s="7"/>
      <c r="B33" s="7"/>
      <c r="C33" s="7"/>
      <c r="D33" s="7"/>
      <c r="E33" s="9"/>
      <c r="F33" s="9"/>
      <c r="G33" s="9"/>
      <c r="H33" s="10"/>
      <c r="I33" s="9"/>
      <c r="J33" s="9"/>
      <c r="K33" s="169"/>
      <c r="L33" s="489"/>
      <c r="M33" s="490"/>
      <c r="N33" s="579"/>
      <c r="O33" s="125"/>
      <c r="P33" s="126"/>
    </row>
    <row r="34" spans="1:16">
      <c r="A34" s="7"/>
      <c r="B34" s="7"/>
      <c r="C34" s="7"/>
      <c r="D34" s="7"/>
      <c r="E34" s="9"/>
      <c r="F34" s="9"/>
      <c r="G34" s="9"/>
      <c r="H34" s="10"/>
      <c r="I34" s="9"/>
      <c r="J34" s="9"/>
      <c r="K34" s="169"/>
      <c r="L34" s="489"/>
      <c r="M34" s="490"/>
      <c r="N34" s="579"/>
      <c r="O34" s="125"/>
      <c r="P34" s="126"/>
    </row>
    <row r="35" spans="1:16">
      <c r="A35" s="7"/>
      <c r="B35" s="7"/>
      <c r="C35" s="7"/>
      <c r="D35" s="7"/>
      <c r="E35" s="9"/>
      <c r="F35" s="9"/>
      <c r="G35" s="9"/>
      <c r="H35" s="10"/>
      <c r="I35" s="9"/>
      <c r="J35" s="9"/>
      <c r="K35" s="169"/>
      <c r="L35" s="489"/>
      <c r="M35" s="490"/>
      <c r="N35" s="579"/>
      <c r="O35" s="125"/>
      <c r="P35" s="126"/>
    </row>
    <row r="36" spans="1:16">
      <c r="A36" s="7"/>
      <c r="B36" s="7"/>
      <c r="C36" s="7"/>
      <c r="D36" s="7"/>
      <c r="E36" s="9"/>
      <c r="F36" s="9"/>
      <c r="G36" s="9"/>
      <c r="H36" s="10"/>
      <c r="I36" s="9"/>
      <c r="J36" s="9"/>
      <c r="K36" s="169"/>
      <c r="L36" s="489"/>
      <c r="M36" s="490"/>
      <c r="N36" s="579"/>
      <c r="O36" s="125"/>
      <c r="P36" s="126"/>
    </row>
    <row r="37" spans="1:16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69"/>
      <c r="L37" s="489"/>
      <c r="M37" s="490"/>
      <c r="N37" s="579"/>
      <c r="O37" s="125"/>
      <c r="P37" s="126"/>
    </row>
    <row r="38" spans="1:16">
      <c r="A38" s="644" t="s">
        <v>3981</v>
      </c>
      <c r="B38" s="644"/>
      <c r="C38" s="644"/>
      <c r="D38" s="644"/>
      <c r="E38" s="644"/>
      <c r="F38" s="644"/>
      <c r="G38" s="644"/>
      <c r="H38" s="644"/>
      <c r="I38" s="644"/>
      <c r="J38" s="644"/>
      <c r="L38" s="489"/>
      <c r="M38" s="490"/>
      <c r="N38" s="579"/>
      <c r="O38" s="125"/>
      <c r="P38" s="126"/>
    </row>
    <row r="39" spans="1:16">
      <c r="A39" s="7">
        <v>2</v>
      </c>
      <c r="B39" s="7" t="s">
        <v>152</v>
      </c>
      <c r="C39" s="7" t="s">
        <v>187</v>
      </c>
      <c r="D39" s="7" t="s">
        <v>3952</v>
      </c>
      <c r="E39" s="9" t="s">
        <v>703</v>
      </c>
      <c r="F39" s="9"/>
      <c r="G39" s="9" t="s">
        <v>3436</v>
      </c>
      <c r="H39" s="10" t="s">
        <v>3982</v>
      </c>
      <c r="I39" s="9">
        <v>500000</v>
      </c>
      <c r="J39" s="9"/>
      <c r="L39" s="489"/>
      <c r="M39" s="490"/>
      <c r="N39" s="579"/>
      <c r="O39" s="125"/>
      <c r="P39" s="126"/>
    </row>
    <row r="40" spans="1:16">
      <c r="A40" s="7"/>
      <c r="B40" s="7"/>
      <c r="C40" s="7"/>
      <c r="D40" s="7" t="s">
        <v>876</v>
      </c>
      <c r="E40" s="9" t="s">
        <v>3983</v>
      </c>
      <c r="F40" s="9"/>
      <c r="G40" s="9" t="s">
        <v>3436</v>
      </c>
      <c r="H40" s="10" t="s">
        <v>3982</v>
      </c>
      <c r="I40" s="9">
        <v>500000</v>
      </c>
      <c r="J40" s="9"/>
      <c r="L40" s="489"/>
      <c r="M40" s="490"/>
      <c r="N40" s="579"/>
      <c r="O40" s="125"/>
      <c r="P40" s="126"/>
    </row>
    <row r="41" spans="1:16">
      <c r="A41" s="7"/>
      <c r="B41" s="7"/>
      <c r="C41" s="7"/>
      <c r="D41" s="199" t="s">
        <v>254</v>
      </c>
      <c r="E41" s="9" t="s">
        <v>3984</v>
      </c>
      <c r="F41" s="9"/>
      <c r="G41" s="9" t="s">
        <v>3985</v>
      </c>
      <c r="H41" s="10" t="s">
        <v>3986</v>
      </c>
      <c r="I41" s="9">
        <v>500000</v>
      </c>
      <c r="J41" s="9"/>
      <c r="L41" s="489"/>
      <c r="M41" s="490"/>
      <c r="N41" s="579"/>
      <c r="O41" s="125"/>
      <c r="P41" s="126"/>
    </row>
    <row r="42" spans="1:16">
      <c r="A42" s="7"/>
      <c r="B42" s="7"/>
      <c r="C42" s="7"/>
      <c r="D42" s="7"/>
      <c r="E42" s="9" t="s">
        <v>2824</v>
      </c>
      <c r="F42" s="9"/>
      <c r="G42" s="9" t="s">
        <v>3538</v>
      </c>
      <c r="H42" s="10" t="s">
        <v>3987</v>
      </c>
      <c r="I42" s="9">
        <v>1000000</v>
      </c>
      <c r="J42" s="9"/>
      <c r="L42" s="489"/>
      <c r="M42" s="490"/>
      <c r="N42" s="579"/>
      <c r="O42" s="125"/>
      <c r="P42" s="126"/>
    </row>
    <row r="43" spans="1:16">
      <c r="A43" s="7"/>
      <c r="B43" s="7"/>
      <c r="C43" s="7"/>
      <c r="D43" s="7"/>
      <c r="E43" s="9" t="s">
        <v>3988</v>
      </c>
      <c r="F43" s="9"/>
      <c r="G43" s="9"/>
      <c r="H43" s="10"/>
      <c r="I43" s="9">
        <v>500000</v>
      </c>
      <c r="J43" s="9"/>
      <c r="L43" s="489"/>
      <c r="M43" s="490"/>
      <c r="N43" s="579"/>
      <c r="O43" s="125"/>
      <c r="P43" s="126"/>
    </row>
    <row r="44" spans="1:16">
      <c r="A44" s="7"/>
      <c r="B44" s="7"/>
      <c r="C44" s="7"/>
      <c r="D44" s="7"/>
      <c r="E44" s="9" t="s">
        <v>3989</v>
      </c>
      <c r="F44" s="9"/>
      <c r="G44" s="9"/>
      <c r="H44" s="10"/>
      <c r="I44" s="9">
        <v>250000</v>
      </c>
      <c r="J44" s="9"/>
      <c r="L44" s="489"/>
      <c r="M44" s="490"/>
      <c r="N44" s="579"/>
      <c r="O44" s="125"/>
      <c r="P44" s="126"/>
    </row>
    <row r="45" spans="1:16">
      <c r="A45" s="7"/>
      <c r="B45" s="7"/>
      <c r="C45" s="7"/>
      <c r="D45" s="7"/>
      <c r="E45" s="9" t="s">
        <v>3990</v>
      </c>
      <c r="F45" s="9"/>
      <c r="G45" s="9"/>
      <c r="H45" s="10"/>
      <c r="I45" s="9">
        <v>-500000</v>
      </c>
      <c r="J45" s="9"/>
      <c r="L45" s="489"/>
      <c r="M45" s="490"/>
      <c r="N45" s="579"/>
      <c r="O45" s="125"/>
      <c r="P45" s="126"/>
    </row>
    <row r="46" spans="1:16">
      <c r="A46" s="7"/>
      <c r="B46" s="7"/>
      <c r="C46" s="7"/>
      <c r="D46" s="7"/>
      <c r="E46" s="9" t="s">
        <v>1646</v>
      </c>
      <c r="F46" s="9"/>
      <c r="G46" s="9"/>
      <c r="H46" s="10"/>
      <c r="I46" s="9">
        <v>250000</v>
      </c>
      <c r="J46" s="9"/>
      <c r="L46" s="489"/>
      <c r="M46" s="490"/>
      <c r="N46" s="579"/>
      <c r="O46" s="125"/>
      <c r="P46" s="126"/>
    </row>
    <row r="47" spans="1:16">
      <c r="A47" s="7"/>
      <c r="B47" s="7"/>
      <c r="C47" s="7"/>
      <c r="D47" s="7"/>
      <c r="E47" s="9"/>
      <c r="F47" s="9"/>
      <c r="G47" s="9"/>
      <c r="H47" s="10"/>
      <c r="I47" s="9"/>
      <c r="J47" s="9"/>
      <c r="L47" s="489"/>
      <c r="M47" s="490"/>
      <c r="N47" s="579"/>
      <c r="O47" s="125"/>
      <c r="P47" s="126"/>
    </row>
    <row r="48" spans="1:16">
      <c r="A48" s="7"/>
      <c r="B48" s="7"/>
      <c r="C48" s="7"/>
      <c r="D48" s="7"/>
      <c r="E48" s="9"/>
      <c r="F48" s="9"/>
      <c r="G48" s="9"/>
      <c r="H48" s="10"/>
      <c r="I48" s="9">
        <f>SUM(I39:I47)</f>
        <v>3000000</v>
      </c>
      <c r="J48" s="9"/>
      <c r="L48" s="489"/>
      <c r="M48" s="490"/>
      <c r="N48" s="579"/>
      <c r="O48" s="125"/>
      <c r="P48" s="126"/>
    </row>
    <row r="49" spans="1:16">
      <c r="A49" s="12"/>
      <c r="B49" s="12"/>
      <c r="C49" s="12"/>
      <c r="D49" s="12"/>
      <c r="E49" s="13"/>
      <c r="F49" s="13"/>
      <c r="G49" s="13"/>
      <c r="H49" s="14"/>
      <c r="I49" s="13"/>
      <c r="J49" s="13"/>
      <c r="L49" s="489"/>
      <c r="M49" s="490"/>
      <c r="N49" s="579"/>
      <c r="O49" s="125"/>
      <c r="P49" s="126"/>
    </row>
    <row r="50" spans="1:16">
      <c r="L50" s="489"/>
      <c r="M50" s="490"/>
      <c r="N50" s="579"/>
      <c r="O50" s="125"/>
      <c r="P50" s="126"/>
    </row>
    <row r="51" spans="1:16">
      <c r="A51" s="644" t="s">
        <v>3991</v>
      </c>
      <c r="B51" s="644"/>
      <c r="C51" s="644"/>
      <c r="D51" s="644"/>
      <c r="E51" s="644"/>
      <c r="F51" s="644"/>
      <c r="G51" s="644"/>
      <c r="H51" s="644"/>
      <c r="I51" s="644"/>
      <c r="J51" s="644"/>
      <c r="L51" s="489"/>
      <c r="M51" s="490"/>
      <c r="N51" s="579"/>
      <c r="O51" s="125"/>
      <c r="P51" s="126"/>
    </row>
    <row r="52" spans="1:16">
      <c r="A52" s="7">
        <v>2</v>
      </c>
      <c r="B52" s="7" t="s">
        <v>152</v>
      </c>
      <c r="C52" s="7" t="s">
        <v>187</v>
      </c>
      <c r="D52" s="7" t="s">
        <v>3952</v>
      </c>
      <c r="E52" s="9" t="s">
        <v>703</v>
      </c>
      <c r="F52" s="9"/>
      <c r="G52" s="9" t="s">
        <v>3992</v>
      </c>
      <c r="H52" s="10" t="s">
        <v>3993</v>
      </c>
      <c r="I52" s="9">
        <v>500000</v>
      </c>
      <c r="J52" s="9"/>
      <c r="L52" s="489"/>
      <c r="M52" s="490"/>
      <c r="N52" s="579"/>
      <c r="O52" s="125"/>
      <c r="P52" s="126"/>
    </row>
    <row r="53" spans="1:16">
      <c r="A53" s="7"/>
      <c r="B53" s="7"/>
      <c r="C53" s="7"/>
      <c r="D53" s="7"/>
      <c r="E53" s="9" t="s">
        <v>3994</v>
      </c>
      <c r="F53" s="9"/>
      <c r="G53" s="9" t="s">
        <v>3992</v>
      </c>
      <c r="H53" s="10" t="s">
        <v>3993</v>
      </c>
      <c r="I53" s="9">
        <v>500000</v>
      </c>
      <c r="J53" s="9"/>
      <c r="L53" s="489"/>
      <c r="M53" s="490"/>
      <c r="N53" s="579"/>
      <c r="O53" s="125"/>
      <c r="P53" s="126"/>
    </row>
    <row r="54" spans="1:16">
      <c r="A54" s="7"/>
      <c r="B54" s="7"/>
      <c r="C54" s="7"/>
      <c r="D54" s="200"/>
      <c r="E54" s="9" t="s">
        <v>1066</v>
      </c>
      <c r="F54" s="9"/>
      <c r="G54" s="9" t="s">
        <v>1341</v>
      </c>
      <c r="H54" s="10"/>
      <c r="I54" s="9">
        <v>-500000</v>
      </c>
      <c r="J54" s="9" t="s">
        <v>3995</v>
      </c>
      <c r="L54" s="489"/>
      <c r="M54" s="490"/>
      <c r="N54" s="579"/>
      <c r="O54" s="125"/>
      <c r="P54" s="126"/>
    </row>
    <row r="55" spans="1:16">
      <c r="A55" s="7"/>
      <c r="B55" s="7"/>
      <c r="C55" s="7"/>
      <c r="D55" s="7"/>
      <c r="E55" s="9"/>
      <c r="F55" s="9"/>
      <c r="G55" s="9"/>
      <c r="H55" s="10"/>
      <c r="I55" s="9"/>
      <c r="J55" s="9"/>
      <c r="L55" s="489"/>
      <c r="M55" s="490"/>
      <c r="N55" s="579"/>
      <c r="O55" s="125"/>
      <c r="P55" s="126"/>
    </row>
    <row r="56" spans="1:16">
      <c r="A56" s="7"/>
      <c r="B56" s="7"/>
      <c r="C56" s="7"/>
      <c r="D56" s="7"/>
      <c r="E56" s="9"/>
      <c r="F56" s="9"/>
      <c r="G56" s="9"/>
      <c r="H56" s="10"/>
      <c r="I56" s="9"/>
      <c r="J56" s="9"/>
      <c r="L56" s="577"/>
      <c r="M56" s="578"/>
      <c r="N56" s="582"/>
      <c r="O56" s="141"/>
      <c r="P56" s="142"/>
    </row>
    <row r="57" spans="1:16">
      <c r="A57" s="7"/>
      <c r="B57" s="7"/>
      <c r="C57" s="7"/>
      <c r="D57" s="7"/>
      <c r="E57" s="9"/>
      <c r="F57" s="9"/>
      <c r="G57" s="9"/>
      <c r="H57" s="10"/>
      <c r="I57" s="9">
        <f>SUM(I52:I56)</f>
        <v>500000</v>
      </c>
      <c r="J57" s="9"/>
    </row>
    <row r="58" spans="1:16">
      <c r="A58" s="12"/>
      <c r="B58" s="12"/>
      <c r="C58" s="12"/>
      <c r="D58" s="12"/>
      <c r="E58" s="13"/>
      <c r="F58" s="13"/>
      <c r="G58" s="13"/>
      <c r="H58" s="14"/>
      <c r="I58" s="13"/>
      <c r="J58" s="13"/>
    </row>
    <row r="61" spans="1:16">
      <c r="A61" s="644" t="s">
        <v>1315</v>
      </c>
      <c r="B61" s="644"/>
      <c r="C61" s="644"/>
      <c r="D61" s="644"/>
      <c r="E61" s="644"/>
      <c r="F61" s="644"/>
      <c r="G61" s="644"/>
      <c r="H61" s="644"/>
      <c r="I61" s="644"/>
      <c r="J61" s="644"/>
    </row>
    <row r="62" spans="1:16">
      <c r="A62" s="7">
        <v>2</v>
      </c>
      <c r="B62" s="7" t="s">
        <v>152</v>
      </c>
      <c r="C62" s="7" t="s">
        <v>187</v>
      </c>
      <c r="D62" s="7" t="s">
        <v>3952</v>
      </c>
      <c r="E62" s="9" t="s">
        <v>703</v>
      </c>
      <c r="F62" s="9" t="s">
        <v>703</v>
      </c>
      <c r="G62" s="9" t="s">
        <v>3996</v>
      </c>
      <c r="H62" s="10" t="s">
        <v>3997</v>
      </c>
      <c r="I62" s="9">
        <v>500000</v>
      </c>
      <c r="J62" s="9"/>
    </row>
    <row r="63" spans="1:16">
      <c r="A63" s="7"/>
      <c r="B63" s="7"/>
      <c r="C63" s="7"/>
      <c r="D63" s="7"/>
      <c r="E63" s="9"/>
      <c r="F63" s="9" t="s">
        <v>3998</v>
      </c>
      <c r="G63" s="9" t="s">
        <v>3996</v>
      </c>
      <c r="H63" s="10" t="s">
        <v>3997</v>
      </c>
      <c r="I63" s="9">
        <v>500000</v>
      </c>
      <c r="J63" s="9"/>
    </row>
    <row r="64" spans="1:16">
      <c r="A64" s="7"/>
      <c r="B64" s="7"/>
      <c r="C64" s="7"/>
      <c r="D64" s="200"/>
      <c r="E64" s="9"/>
      <c r="F64" s="9"/>
      <c r="G64" s="9"/>
      <c r="H64" s="10"/>
      <c r="I64" s="9"/>
      <c r="J64" s="9"/>
    </row>
    <row r="65" spans="1:10">
      <c r="A65" s="7"/>
      <c r="B65" s="7"/>
      <c r="C65" s="7"/>
      <c r="D65" s="7"/>
      <c r="E65" s="9"/>
      <c r="F65" s="9"/>
      <c r="G65" s="9"/>
      <c r="H65" s="10"/>
      <c r="I65" s="9"/>
      <c r="J65" s="9"/>
    </row>
    <row r="66" spans="1:10">
      <c r="A66" s="7"/>
      <c r="B66" s="7"/>
      <c r="C66" s="7"/>
      <c r="D66" s="7"/>
      <c r="E66" s="9"/>
      <c r="F66" s="9"/>
      <c r="G66" s="9"/>
      <c r="H66" s="10"/>
      <c r="I66" s="9"/>
      <c r="J66" s="9"/>
    </row>
    <row r="67" spans="1:10">
      <c r="A67" s="7"/>
      <c r="B67" s="7"/>
      <c r="C67" s="7"/>
      <c r="D67" s="7"/>
      <c r="E67" s="9"/>
      <c r="F67" s="9"/>
      <c r="G67" s="9"/>
      <c r="H67" s="10"/>
      <c r="I67" s="9">
        <f>SUM(I62:I66)</f>
        <v>1000000</v>
      </c>
      <c r="J67" s="9"/>
    </row>
    <row r="68" spans="1:10">
      <c r="A68" s="12"/>
      <c r="B68" s="12"/>
      <c r="C68" s="12"/>
      <c r="D68" s="12"/>
      <c r="E68" s="13"/>
      <c r="F68" s="13"/>
      <c r="G68" s="13"/>
      <c r="H68" s="14"/>
      <c r="I68" s="13"/>
      <c r="J68" s="13"/>
    </row>
    <row r="72" spans="1:10">
      <c r="A72" s="644" t="s">
        <v>3999</v>
      </c>
      <c r="B72" s="644"/>
      <c r="C72" s="644"/>
      <c r="D72" s="644"/>
      <c r="E72" s="644"/>
      <c r="F72" s="644"/>
      <c r="G72" s="644"/>
      <c r="H72" s="644"/>
      <c r="I72" s="644"/>
      <c r="J72" s="644"/>
    </row>
    <row r="73" spans="1:10">
      <c r="A73" s="7">
        <v>2</v>
      </c>
      <c r="B73" s="7" t="s">
        <v>152</v>
      </c>
      <c r="C73" s="7" t="s">
        <v>187</v>
      </c>
      <c r="D73" s="7" t="s">
        <v>3952</v>
      </c>
      <c r="E73" s="9" t="s">
        <v>703</v>
      </c>
      <c r="F73" s="9" t="s">
        <v>703</v>
      </c>
      <c r="G73" s="9" t="s">
        <v>2748</v>
      </c>
      <c r="H73" s="10" t="s">
        <v>4000</v>
      </c>
      <c r="I73" s="9">
        <v>500000</v>
      </c>
      <c r="J73" s="9"/>
    </row>
    <row r="74" spans="1:10">
      <c r="A74" s="7"/>
      <c r="B74" s="7"/>
      <c r="C74" s="7"/>
      <c r="D74" s="7"/>
      <c r="E74" s="9"/>
      <c r="F74" s="9" t="s">
        <v>4001</v>
      </c>
      <c r="G74" s="9" t="s">
        <v>2748</v>
      </c>
      <c r="H74" s="10" t="s">
        <v>4000</v>
      </c>
      <c r="I74" s="9">
        <v>500000</v>
      </c>
      <c r="J74" s="9"/>
    </row>
    <row r="75" spans="1:10">
      <c r="A75" s="7"/>
      <c r="B75" s="7"/>
      <c r="C75" s="7"/>
      <c r="D75" s="200"/>
      <c r="E75" s="9"/>
      <c r="F75" s="9"/>
      <c r="G75" s="9"/>
      <c r="H75" s="10"/>
      <c r="I75" s="9"/>
      <c r="J75" s="9"/>
    </row>
    <row r="76" spans="1:10">
      <c r="A76" s="7"/>
      <c r="B76" s="7"/>
      <c r="C76" s="7"/>
      <c r="D76" s="7"/>
      <c r="E76" s="9"/>
      <c r="F76" s="9"/>
      <c r="G76" s="9"/>
      <c r="H76" s="10"/>
      <c r="I76" s="9"/>
      <c r="J76" s="9"/>
    </row>
    <row r="77" spans="1:10">
      <c r="A77" s="7"/>
      <c r="B77" s="7"/>
      <c r="C77" s="7"/>
      <c r="D77" s="7"/>
      <c r="E77" s="9"/>
      <c r="F77" s="9"/>
      <c r="G77" s="9"/>
      <c r="H77" s="10"/>
      <c r="I77" s="9"/>
      <c r="J77" s="9"/>
    </row>
    <row r="78" spans="1:10">
      <c r="A78" s="7"/>
      <c r="B78" s="7"/>
      <c r="C78" s="7"/>
      <c r="D78" s="7"/>
      <c r="E78" s="9"/>
      <c r="F78" s="9"/>
      <c r="G78" s="9"/>
      <c r="H78" s="10"/>
      <c r="I78" s="9">
        <f>SUM(I73:I77)</f>
        <v>1000000</v>
      </c>
      <c r="J78" s="9"/>
    </row>
    <row r="79" spans="1:10">
      <c r="A79" s="12"/>
      <c r="B79" s="12"/>
      <c r="C79" s="12"/>
      <c r="D79" s="12"/>
      <c r="E79" s="13"/>
      <c r="F79" s="13"/>
      <c r="G79" s="13"/>
      <c r="H79" s="14"/>
      <c r="I79" s="13"/>
      <c r="J79" s="13"/>
    </row>
    <row r="83" spans="1:12">
      <c r="A83" s="644" t="s">
        <v>4002</v>
      </c>
      <c r="B83" s="644"/>
      <c r="C83" s="644"/>
      <c r="D83" s="644"/>
      <c r="E83" s="644"/>
      <c r="F83" s="644"/>
      <c r="G83" s="644"/>
      <c r="H83" s="644"/>
      <c r="I83" s="644"/>
      <c r="J83" s="644"/>
    </row>
    <row r="84" spans="1:12">
      <c r="A84" s="7">
        <v>2</v>
      </c>
      <c r="B84" s="7" t="s">
        <v>152</v>
      </c>
      <c r="C84" s="7" t="s">
        <v>187</v>
      </c>
      <c r="D84" s="7" t="s">
        <v>3952</v>
      </c>
      <c r="E84" s="9" t="s">
        <v>703</v>
      </c>
      <c r="F84" s="9" t="s">
        <v>703</v>
      </c>
      <c r="G84" s="9" t="s">
        <v>4003</v>
      </c>
      <c r="H84" s="10" t="s">
        <v>4004</v>
      </c>
      <c r="I84" s="9">
        <v>600000</v>
      </c>
      <c r="J84" s="9"/>
    </row>
    <row r="85" spans="1:12">
      <c r="A85" s="7"/>
      <c r="B85" s="7"/>
      <c r="C85" s="7"/>
      <c r="D85" s="7"/>
      <c r="E85" s="9"/>
      <c r="F85" s="9" t="s">
        <v>4005</v>
      </c>
      <c r="G85" s="9" t="s">
        <v>4003</v>
      </c>
      <c r="H85" s="10" t="s">
        <v>4004</v>
      </c>
      <c r="I85" s="9">
        <v>600000</v>
      </c>
      <c r="J85" s="9"/>
    </row>
    <row r="86" spans="1:12">
      <c r="A86" s="7"/>
      <c r="B86" s="7"/>
      <c r="C86" s="7"/>
      <c r="D86" s="200"/>
      <c r="E86" s="9"/>
      <c r="F86" s="9" t="s">
        <v>4006</v>
      </c>
      <c r="G86" s="9" t="s">
        <v>2629</v>
      </c>
      <c r="H86" s="10" t="s">
        <v>4007</v>
      </c>
      <c r="I86" s="9">
        <v>600000</v>
      </c>
      <c r="J86" s="9"/>
    </row>
    <row r="87" spans="1:12">
      <c r="A87" s="7"/>
      <c r="B87" s="7"/>
      <c r="C87" s="7"/>
      <c r="D87" s="7"/>
      <c r="E87" s="9"/>
      <c r="F87" s="9" t="s">
        <v>4008</v>
      </c>
      <c r="G87" s="147" t="s">
        <v>4009</v>
      </c>
      <c r="H87" s="10" t="s">
        <v>4010</v>
      </c>
      <c r="I87" s="9">
        <v>1200000</v>
      </c>
      <c r="J87" s="9"/>
    </row>
    <row r="88" spans="1:12">
      <c r="A88" s="7"/>
      <c r="B88" s="7"/>
      <c r="C88" s="7"/>
      <c r="D88" s="7"/>
      <c r="E88" s="9"/>
      <c r="F88" s="9" t="s">
        <v>4011</v>
      </c>
      <c r="G88" s="9" t="s">
        <v>4012</v>
      </c>
      <c r="H88" s="10" t="s">
        <v>1953</v>
      </c>
      <c r="I88" s="9">
        <v>600000</v>
      </c>
      <c r="J88" s="9"/>
      <c r="L88" s="562" t="s">
        <v>4013</v>
      </c>
    </row>
    <row r="89" spans="1:12">
      <c r="A89" s="7"/>
      <c r="B89" s="7"/>
      <c r="C89" s="7"/>
      <c r="D89" s="7"/>
      <c r="E89" s="9"/>
      <c r="F89" s="9" t="s">
        <v>4014</v>
      </c>
      <c r="G89" s="9" t="s">
        <v>914</v>
      </c>
      <c r="H89" s="10" t="s">
        <v>4015</v>
      </c>
      <c r="I89" s="9">
        <v>600000</v>
      </c>
      <c r="J89" s="9"/>
      <c r="L89" s="562" t="s">
        <v>4013</v>
      </c>
    </row>
    <row r="90" spans="1:12">
      <c r="A90" s="7"/>
      <c r="B90" s="7"/>
      <c r="C90" s="7"/>
      <c r="D90" s="7"/>
      <c r="E90" s="9"/>
      <c r="F90" s="9"/>
      <c r="G90" s="9"/>
      <c r="H90" s="10"/>
      <c r="I90" s="9"/>
      <c r="J90" s="9"/>
    </row>
    <row r="91" spans="1:12">
      <c r="A91" s="7"/>
      <c r="B91" s="7"/>
      <c r="C91" s="7"/>
      <c r="D91" s="7"/>
      <c r="E91" s="9"/>
      <c r="F91" s="9"/>
      <c r="G91" s="9"/>
      <c r="H91" s="10"/>
      <c r="I91" s="9"/>
      <c r="J91" s="9"/>
    </row>
    <row r="92" spans="1:12">
      <c r="A92" s="7"/>
      <c r="B92" s="7"/>
      <c r="C92" s="7"/>
      <c r="D92" s="7"/>
      <c r="E92" s="9"/>
      <c r="F92" s="9"/>
      <c r="G92" s="9"/>
      <c r="H92" s="10"/>
      <c r="I92" s="9"/>
      <c r="J92" s="9"/>
    </row>
    <row r="93" spans="1:12">
      <c r="A93" s="7"/>
      <c r="B93" s="7"/>
      <c r="C93" s="7"/>
      <c r="D93" s="7"/>
      <c r="E93" s="9"/>
      <c r="F93" s="9"/>
      <c r="G93" s="9"/>
      <c r="H93" s="10"/>
      <c r="I93" s="9"/>
      <c r="J93" s="9"/>
    </row>
    <row r="94" spans="1:12">
      <c r="A94" s="7"/>
      <c r="B94" s="7"/>
      <c r="C94" s="7"/>
      <c r="D94" s="7"/>
      <c r="E94" s="9"/>
      <c r="F94" s="9"/>
      <c r="G94" s="9"/>
      <c r="H94" s="10"/>
      <c r="I94" s="9"/>
      <c r="J94" s="9"/>
    </row>
    <row r="95" spans="1:12">
      <c r="A95" s="7"/>
      <c r="B95" s="7"/>
      <c r="C95" s="7"/>
      <c r="D95" s="7"/>
      <c r="E95" s="9"/>
      <c r="F95" s="9"/>
      <c r="G95" s="9"/>
      <c r="H95" s="10"/>
      <c r="I95" s="9"/>
      <c r="J95" s="9"/>
    </row>
    <row r="96" spans="1:12">
      <c r="A96" s="7"/>
      <c r="B96" s="7"/>
      <c r="C96" s="7"/>
      <c r="D96" s="7"/>
      <c r="E96" s="9"/>
      <c r="F96" s="9"/>
      <c r="G96" s="9"/>
      <c r="H96" s="10"/>
      <c r="I96" s="9"/>
      <c r="J96" s="9"/>
    </row>
    <row r="97" spans="1:14">
      <c r="A97" s="7"/>
      <c r="B97" s="7"/>
      <c r="C97" s="7"/>
      <c r="D97" s="7"/>
      <c r="E97" s="9"/>
      <c r="F97" s="9"/>
      <c r="G97" s="9"/>
      <c r="H97" s="10"/>
      <c r="I97" s="9">
        <f>SUM(I84:I95)</f>
        <v>4200000</v>
      </c>
      <c r="J97" s="9"/>
    </row>
    <row r="98" spans="1:14">
      <c r="A98" s="12"/>
      <c r="B98" s="12"/>
      <c r="C98" s="12"/>
      <c r="D98" s="12"/>
      <c r="E98" s="13"/>
      <c r="F98" s="13"/>
      <c r="G98" s="13"/>
      <c r="H98" s="14"/>
      <c r="I98" s="13"/>
      <c r="J98" s="13"/>
    </row>
    <row r="100" spans="1:14">
      <c r="B100" s="411" t="s">
        <v>648</v>
      </c>
    </row>
    <row r="101" spans="1:14">
      <c r="A101" s="644" t="s">
        <v>3930</v>
      </c>
      <c r="B101" s="644"/>
      <c r="C101" s="644"/>
      <c r="D101" s="644"/>
      <c r="E101" s="644"/>
      <c r="F101" s="644"/>
      <c r="G101" s="644"/>
      <c r="H101" s="644"/>
      <c r="I101" s="644"/>
      <c r="J101" s="644"/>
    </row>
    <row r="102" spans="1:14">
      <c r="A102" s="7">
        <v>2</v>
      </c>
      <c r="B102" s="7" t="s">
        <v>152</v>
      </c>
      <c r="C102" s="7" t="s">
        <v>187</v>
      </c>
      <c r="D102" s="7" t="s">
        <v>3952</v>
      </c>
      <c r="E102" s="9" t="s">
        <v>703</v>
      </c>
      <c r="F102" s="9" t="s">
        <v>661</v>
      </c>
      <c r="G102" s="9" t="s">
        <v>4016</v>
      </c>
      <c r="H102" s="10" t="s">
        <v>4017</v>
      </c>
      <c r="I102" s="9">
        <v>800000</v>
      </c>
      <c r="J102" s="9"/>
      <c r="L102" s="583" t="s">
        <v>807</v>
      </c>
      <c r="M102" s="583" t="s">
        <v>651</v>
      </c>
      <c r="N102" s="584" t="s">
        <v>652</v>
      </c>
    </row>
    <row r="103" spans="1:14">
      <c r="A103" s="7"/>
      <c r="B103" s="7"/>
      <c r="C103" s="7"/>
      <c r="D103" s="7"/>
      <c r="E103" s="9"/>
      <c r="F103" s="9" t="s">
        <v>4018</v>
      </c>
      <c r="G103" s="9" t="s">
        <v>4016</v>
      </c>
      <c r="H103" s="10" t="s">
        <v>4017</v>
      </c>
      <c r="I103" s="9">
        <v>800000</v>
      </c>
      <c r="J103" s="9"/>
      <c r="L103" s="562" t="s">
        <v>1154</v>
      </c>
      <c r="M103" s="562" t="s">
        <v>4019</v>
      </c>
      <c r="N103" s="563">
        <v>100000</v>
      </c>
    </row>
    <row r="104" spans="1:14">
      <c r="A104" s="7"/>
      <c r="B104" s="7"/>
      <c r="C104" s="7"/>
      <c r="D104" s="200"/>
      <c r="E104" s="9"/>
      <c r="F104" s="9" t="s">
        <v>4020</v>
      </c>
      <c r="G104" s="9" t="s">
        <v>3493</v>
      </c>
      <c r="H104" s="10" t="s">
        <v>4021</v>
      </c>
      <c r="I104" s="9">
        <v>2400000</v>
      </c>
      <c r="J104" s="9" t="s">
        <v>664</v>
      </c>
      <c r="L104" s="562" t="s">
        <v>1154</v>
      </c>
      <c r="M104" s="562" t="s">
        <v>4022</v>
      </c>
      <c r="N104" s="563">
        <v>146000</v>
      </c>
    </row>
    <row r="105" spans="1:14">
      <c r="A105" s="7"/>
      <c r="B105" s="7"/>
      <c r="C105" s="7"/>
      <c r="D105" s="7"/>
      <c r="E105" s="9"/>
      <c r="F105" s="9" t="s">
        <v>4023</v>
      </c>
      <c r="G105" s="147" t="s">
        <v>1463</v>
      </c>
      <c r="H105" s="10" t="s">
        <v>4024</v>
      </c>
      <c r="I105" s="9">
        <v>1600000</v>
      </c>
      <c r="J105" s="9" t="s">
        <v>664</v>
      </c>
      <c r="L105" s="562" t="s">
        <v>1154</v>
      </c>
      <c r="M105" s="562" t="s">
        <v>4025</v>
      </c>
      <c r="N105" s="563">
        <v>20000</v>
      </c>
    </row>
    <row r="106" spans="1:14">
      <c r="A106" s="7"/>
      <c r="B106" s="7"/>
      <c r="C106" s="7"/>
      <c r="D106" s="7"/>
      <c r="E106" s="9"/>
      <c r="F106" s="9" t="s">
        <v>4026</v>
      </c>
      <c r="G106" s="9" t="s">
        <v>1463</v>
      </c>
      <c r="H106" s="10"/>
      <c r="I106" s="9">
        <v>-204000</v>
      </c>
      <c r="J106" s="9"/>
    </row>
    <row r="107" spans="1:14">
      <c r="A107" s="7"/>
      <c r="B107" s="7"/>
      <c r="C107" s="7"/>
      <c r="D107" s="7"/>
      <c r="E107" s="9"/>
      <c r="F107" s="9"/>
      <c r="G107" s="9"/>
      <c r="H107" s="10"/>
      <c r="I107" s="9"/>
      <c r="J107" s="9"/>
    </row>
    <row r="108" spans="1:14">
      <c r="A108" s="7"/>
      <c r="B108" s="7"/>
      <c r="C108" s="7"/>
      <c r="D108" s="7"/>
      <c r="E108" s="9"/>
      <c r="F108" s="9"/>
      <c r="G108" s="9"/>
      <c r="H108" s="10"/>
      <c r="I108" s="9"/>
      <c r="J108" s="9"/>
    </row>
    <row r="109" spans="1:14">
      <c r="A109" s="7"/>
      <c r="B109" s="7"/>
      <c r="C109" s="7"/>
      <c r="D109" s="7"/>
      <c r="E109" s="9"/>
      <c r="F109" s="9"/>
      <c r="G109" s="9"/>
      <c r="H109" s="10"/>
      <c r="I109" s="9"/>
      <c r="J109" s="9"/>
    </row>
    <row r="110" spans="1:14">
      <c r="A110" s="7"/>
      <c r="B110" s="7"/>
      <c r="C110" s="7"/>
      <c r="D110" s="7"/>
      <c r="E110" s="9"/>
      <c r="F110" s="9"/>
      <c r="G110" s="9"/>
      <c r="H110" s="10"/>
      <c r="I110" s="9"/>
      <c r="J110" s="9"/>
    </row>
    <row r="111" spans="1:14">
      <c r="A111" s="7"/>
      <c r="B111" s="7"/>
      <c r="C111" s="7"/>
      <c r="D111" s="7"/>
      <c r="E111" s="9"/>
      <c r="F111" s="9"/>
      <c r="G111" s="9"/>
      <c r="H111" s="10"/>
      <c r="I111" s="9"/>
      <c r="J111" s="9"/>
    </row>
    <row r="112" spans="1:14">
      <c r="A112" s="7"/>
      <c r="B112" s="7"/>
      <c r="C112" s="7"/>
      <c r="D112" s="7"/>
      <c r="E112" s="9"/>
      <c r="F112" s="9"/>
      <c r="G112" s="9"/>
      <c r="H112" s="10"/>
      <c r="I112" s="9"/>
      <c r="J112" s="9"/>
    </row>
    <row r="113" spans="1:14">
      <c r="A113" s="7"/>
      <c r="B113" s="7"/>
      <c r="C113" s="7"/>
      <c r="D113" s="7"/>
      <c r="E113" s="9"/>
      <c r="F113" s="9"/>
      <c r="G113" s="9"/>
      <c r="H113" s="10"/>
      <c r="I113" s="9"/>
      <c r="J113" s="9"/>
    </row>
    <row r="114" spans="1:14">
      <c r="A114" s="7"/>
      <c r="B114" s="7"/>
      <c r="C114" s="7"/>
      <c r="D114" s="7"/>
      <c r="E114" s="9"/>
      <c r="F114" s="9"/>
      <c r="G114" s="9"/>
      <c r="H114" s="10"/>
      <c r="I114" s="9"/>
      <c r="J114" s="9"/>
    </row>
    <row r="115" spans="1:14">
      <c r="A115" s="7"/>
      <c r="B115" s="7"/>
      <c r="C115" s="7"/>
      <c r="D115" s="7"/>
      <c r="E115" s="9"/>
      <c r="F115" s="9"/>
      <c r="G115" s="9"/>
      <c r="H115" s="10"/>
      <c r="I115" s="9">
        <f>SUM(I102:I113)</f>
        <v>5396000</v>
      </c>
      <c r="J115" s="9"/>
      <c r="L115" s="565"/>
      <c r="M115" s="565" t="s">
        <v>665</v>
      </c>
      <c r="N115" s="566">
        <f>SUM(N103:N112)</f>
        <v>266000</v>
      </c>
    </row>
    <row r="116" spans="1:14">
      <c r="A116" s="12"/>
      <c r="B116" s="12"/>
      <c r="C116" s="12"/>
      <c r="D116" s="12"/>
      <c r="E116" s="13"/>
      <c r="F116" s="13"/>
      <c r="G116" s="13"/>
      <c r="H116" s="14"/>
      <c r="I116" s="13"/>
      <c r="J116" s="13"/>
    </row>
  </sheetData>
  <mergeCells count="24">
    <mergeCell ref="A2:J2"/>
    <mergeCell ref="L2:O2"/>
    <mergeCell ref="A3:A4"/>
    <mergeCell ref="B3:B4"/>
    <mergeCell ref="C3:C4"/>
    <mergeCell ref="D3:D4"/>
    <mergeCell ref="E3:E4"/>
    <mergeCell ref="G3:G4"/>
    <mergeCell ref="H3:H4"/>
    <mergeCell ref="I3:I4"/>
    <mergeCell ref="L3:L4"/>
    <mergeCell ref="M3:M4"/>
    <mergeCell ref="N3:N4"/>
    <mergeCell ref="O3:O4"/>
    <mergeCell ref="P3:P4"/>
    <mergeCell ref="A83:J83"/>
    <mergeCell ref="A101:J101"/>
    <mergeCell ref="A20:J20"/>
    <mergeCell ref="J24:J28"/>
    <mergeCell ref="A38:J38"/>
    <mergeCell ref="A51:J51"/>
    <mergeCell ref="A61:J61"/>
    <mergeCell ref="A72:J72"/>
    <mergeCell ref="A15:J15"/>
  </mergeCells>
  <hyperlinks>
    <hyperlink ref="B1" location="Name!A1" display="Name!A1" xr:uid="{395D6350-811F-40D1-899B-BA060152BF5A}"/>
    <hyperlink ref="B100" location="Name!A1" display="Name!A1" xr:uid="{49E27AC2-AB88-4CC6-87C1-017C5D58792D}"/>
  </hyperlinks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7B65-5CFD-45DE-B244-8BC115BC3694}">
  <dimension ref="A1:Q59"/>
  <sheetViews>
    <sheetView workbookViewId="0">
      <selection activeCell="B1" sqref="B1"/>
    </sheetView>
  </sheetViews>
  <sheetFormatPr defaultColWidth="9.140625" defaultRowHeight="18"/>
  <cols>
    <col min="1" max="1" width="6.140625" style="51" customWidth="1"/>
    <col min="2" max="3" width="15.42578125" style="51" customWidth="1"/>
    <col min="4" max="4" width="15.5703125" style="51" customWidth="1"/>
    <col min="5" max="6" width="27" style="51" customWidth="1"/>
    <col min="7" max="7" width="13.42578125" style="51" customWidth="1"/>
    <col min="8" max="8" width="12.7109375" style="51" customWidth="1"/>
    <col min="9" max="9" width="14" style="51" customWidth="1"/>
    <col min="10" max="10" width="32.140625" style="51" customWidth="1"/>
    <col min="11" max="11" width="70.5703125" style="51" customWidth="1"/>
    <col min="12" max="12" width="5" style="193" customWidth="1"/>
    <col min="13" max="14" width="9.140625" style="51"/>
    <col min="15" max="15" width="35.42578125" style="51" customWidth="1"/>
    <col min="16" max="16" width="15.42578125" style="104" customWidth="1"/>
    <col min="17" max="17" width="39.28515625" style="51" customWidth="1"/>
    <col min="18" max="16384" width="9.140625" style="51"/>
  </cols>
  <sheetData>
    <row r="1" spans="1:17">
      <c r="B1" s="411" t="s">
        <v>648</v>
      </c>
    </row>
    <row r="2" spans="1:17" ht="21.75">
      <c r="A2" s="644" t="s">
        <v>4027</v>
      </c>
      <c r="B2" s="644"/>
      <c r="C2" s="644"/>
      <c r="D2" s="644"/>
      <c r="E2" s="644"/>
      <c r="F2" s="644"/>
      <c r="G2" s="644"/>
      <c r="H2" s="644"/>
      <c r="I2" s="644"/>
      <c r="J2" s="174"/>
      <c r="K2" s="174"/>
      <c r="L2" s="169"/>
      <c r="M2" s="644" t="s">
        <v>4028</v>
      </c>
      <c r="N2" s="644"/>
      <c r="O2" s="644"/>
      <c r="P2" s="644"/>
    </row>
    <row r="3" spans="1:17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7" t="s">
        <v>974</v>
      </c>
      <c r="G3" s="645" t="s">
        <v>657</v>
      </c>
      <c r="H3" s="647" t="s">
        <v>658</v>
      </c>
      <c r="I3" s="3" t="s">
        <v>659</v>
      </c>
      <c r="J3" s="175"/>
      <c r="K3" s="175"/>
      <c r="L3" s="169"/>
      <c r="M3" s="654" t="s">
        <v>653</v>
      </c>
      <c r="N3" s="659" t="s">
        <v>974</v>
      </c>
      <c r="O3" s="661" t="s">
        <v>975</v>
      </c>
      <c r="P3" s="662" t="s">
        <v>976</v>
      </c>
    </row>
    <row r="4" spans="1:17" ht="21.75">
      <c r="A4" s="646"/>
      <c r="B4" s="646"/>
      <c r="C4" s="646"/>
      <c r="D4" s="646"/>
      <c r="E4" s="648"/>
      <c r="F4" s="648"/>
      <c r="G4" s="646"/>
      <c r="H4" s="646"/>
      <c r="I4" s="6" t="s">
        <v>660</v>
      </c>
      <c r="J4" s="175"/>
      <c r="K4" s="175"/>
      <c r="L4" s="169"/>
      <c r="M4" s="655"/>
      <c r="N4" s="710"/>
      <c r="O4" s="660"/>
      <c r="P4" s="663"/>
    </row>
    <row r="5" spans="1:17" ht="21.75">
      <c r="A5" s="7">
        <v>1</v>
      </c>
      <c r="B5" s="7" t="s">
        <v>152</v>
      </c>
      <c r="C5" s="8" t="s">
        <v>180</v>
      </c>
      <c r="D5" s="7" t="s">
        <v>178</v>
      </c>
      <c r="E5" s="9" t="s">
        <v>703</v>
      </c>
      <c r="F5" s="9" t="s">
        <v>4029</v>
      </c>
      <c r="G5" s="10" t="s">
        <v>4030</v>
      </c>
      <c r="H5" s="9" t="s">
        <v>4029</v>
      </c>
      <c r="I5" s="9">
        <v>400000</v>
      </c>
      <c r="J5" s="176"/>
      <c r="K5" s="176"/>
      <c r="L5" s="169"/>
      <c r="M5" s="122">
        <v>1</v>
      </c>
      <c r="N5" s="123"/>
      <c r="O5" s="123" t="s">
        <v>4031</v>
      </c>
      <c r="P5" s="125">
        <v>500000</v>
      </c>
    </row>
    <row r="6" spans="1:17" ht="21.75">
      <c r="A6" s="7"/>
      <c r="B6" s="7"/>
      <c r="C6" s="7"/>
      <c r="D6" s="7"/>
      <c r="E6" s="9" t="s">
        <v>4032</v>
      </c>
      <c r="F6" s="9"/>
      <c r="G6" s="10" t="s">
        <v>4030</v>
      </c>
      <c r="H6" s="9" t="s">
        <v>4029</v>
      </c>
      <c r="I6" s="9">
        <v>500000</v>
      </c>
      <c r="J6" s="176"/>
      <c r="K6" s="176"/>
      <c r="L6" s="169"/>
      <c r="M6" s="122">
        <v>2</v>
      </c>
      <c r="N6" s="123"/>
      <c r="O6" s="123" t="s">
        <v>4033</v>
      </c>
      <c r="P6" s="125">
        <v>500000</v>
      </c>
    </row>
    <row r="7" spans="1:17" ht="21.75">
      <c r="A7" s="7"/>
      <c r="B7" s="7"/>
      <c r="C7" s="7"/>
      <c r="D7" s="7"/>
      <c r="E7" s="9"/>
      <c r="F7" s="9"/>
      <c r="G7" s="10"/>
      <c r="H7" s="9" t="s">
        <v>1495</v>
      </c>
      <c r="I7" s="9">
        <v>-400000</v>
      </c>
      <c r="J7" s="176"/>
      <c r="K7" s="176"/>
      <c r="L7" s="169"/>
      <c r="M7" s="122"/>
      <c r="N7" s="123"/>
      <c r="O7" s="123"/>
      <c r="P7" s="125"/>
    </row>
    <row r="8" spans="1:17" ht="21.75">
      <c r="A8" s="12"/>
      <c r="B8" s="12"/>
      <c r="C8" s="12"/>
      <c r="D8" s="12"/>
      <c r="E8" s="13"/>
      <c r="F8" s="13"/>
      <c r="G8" s="14"/>
      <c r="H8" s="13">
        <f>SUM(H5:H7)</f>
        <v>0</v>
      </c>
      <c r="I8" s="13">
        <f>SUM(I5:I7)</f>
        <v>500000</v>
      </c>
      <c r="J8" s="182"/>
      <c r="K8" s="182"/>
      <c r="L8" s="169"/>
      <c r="M8" s="183"/>
      <c r="N8" s="184"/>
      <c r="O8" s="184"/>
      <c r="P8" s="185">
        <f>SUM(P5:P7)</f>
        <v>1000000</v>
      </c>
      <c r="Q8" s="51" t="s">
        <v>4034</v>
      </c>
    </row>
    <row r="9" spans="1:17" ht="21.75">
      <c r="A9" s="644" t="s">
        <v>4035</v>
      </c>
      <c r="B9" s="644"/>
      <c r="C9" s="644"/>
      <c r="D9" s="644"/>
      <c r="E9" s="644"/>
      <c r="F9" s="644"/>
      <c r="G9" s="644"/>
      <c r="H9" s="644"/>
      <c r="I9" s="644"/>
      <c r="J9" s="174"/>
      <c r="K9" s="174"/>
      <c r="L9" s="169"/>
      <c r="M9" s="122">
        <v>3</v>
      </c>
      <c r="N9" s="123"/>
      <c r="O9" s="123" t="s">
        <v>4036</v>
      </c>
      <c r="P9" s="125">
        <v>500000</v>
      </c>
      <c r="Q9" s="51" t="s">
        <v>4037</v>
      </c>
    </row>
    <row r="10" spans="1:17" ht="21.75">
      <c r="A10" s="7">
        <v>1</v>
      </c>
      <c r="B10" s="7" t="s">
        <v>152</v>
      </c>
      <c r="C10" s="8" t="s">
        <v>180</v>
      </c>
      <c r="D10" s="7" t="s">
        <v>178</v>
      </c>
      <c r="E10" s="9" t="s">
        <v>703</v>
      </c>
      <c r="F10" s="9" t="s">
        <v>4038</v>
      </c>
      <c r="G10" s="10" t="s">
        <v>4039</v>
      </c>
      <c r="H10" s="9" t="s">
        <v>4038</v>
      </c>
      <c r="I10" s="9">
        <v>500000</v>
      </c>
      <c r="J10" s="176"/>
      <c r="K10" s="176" t="s">
        <v>4040</v>
      </c>
      <c r="L10" s="169"/>
      <c r="M10" s="122">
        <v>4</v>
      </c>
      <c r="N10" s="123"/>
      <c r="O10" s="123" t="s">
        <v>4041</v>
      </c>
      <c r="P10" s="125">
        <v>500000</v>
      </c>
      <c r="Q10" s="51" t="s">
        <v>4042</v>
      </c>
    </row>
    <row r="11" spans="1:17" ht="21.75">
      <c r="A11" s="7"/>
      <c r="B11" s="7"/>
      <c r="C11" s="7"/>
      <c r="D11" s="7"/>
      <c r="E11" s="9" t="s">
        <v>4043</v>
      </c>
      <c r="F11" s="9"/>
      <c r="G11" s="10" t="s">
        <v>4039</v>
      </c>
      <c r="H11" s="9" t="s">
        <v>4038</v>
      </c>
      <c r="I11" s="9">
        <v>500000</v>
      </c>
      <c r="J11" s="176"/>
      <c r="K11" s="176" t="s">
        <v>4040</v>
      </c>
      <c r="L11" s="169"/>
      <c r="M11" s="122">
        <v>5</v>
      </c>
      <c r="N11" s="123"/>
      <c r="O11" s="123" t="s">
        <v>4044</v>
      </c>
      <c r="P11" s="125">
        <v>500000</v>
      </c>
      <c r="Q11" s="51" t="s">
        <v>4042</v>
      </c>
    </row>
    <row r="12" spans="1:17" ht="21.75">
      <c r="A12" s="7"/>
      <c r="B12" s="7"/>
      <c r="C12" s="7"/>
      <c r="D12" s="7"/>
      <c r="E12" s="9" t="s">
        <v>4045</v>
      </c>
      <c r="F12" s="9"/>
      <c r="G12" s="10" t="s">
        <v>4046</v>
      </c>
      <c r="H12" s="9" t="s">
        <v>4047</v>
      </c>
      <c r="I12" s="9">
        <v>1000000</v>
      </c>
      <c r="J12" s="176"/>
      <c r="K12" s="176" t="s">
        <v>4048</v>
      </c>
      <c r="L12" s="169"/>
      <c r="M12" s="122">
        <v>6</v>
      </c>
      <c r="N12" s="123"/>
      <c r="O12" s="123" t="s">
        <v>4049</v>
      </c>
      <c r="P12" s="125">
        <v>500000</v>
      </c>
      <c r="Q12" s="778" t="s">
        <v>4050</v>
      </c>
    </row>
    <row r="13" spans="1:17" ht="21.75">
      <c r="A13" s="7"/>
      <c r="B13" s="7"/>
      <c r="C13" s="7"/>
      <c r="D13" s="7"/>
      <c r="E13" s="9" t="s">
        <v>4051</v>
      </c>
      <c r="F13" s="9"/>
      <c r="G13" s="10" t="s">
        <v>4052</v>
      </c>
      <c r="H13" s="9" t="s">
        <v>4053</v>
      </c>
      <c r="I13" s="9">
        <v>500000</v>
      </c>
      <c r="J13" s="176"/>
      <c r="K13" s="176"/>
      <c r="L13" s="169"/>
      <c r="M13" s="122">
        <v>7</v>
      </c>
      <c r="N13" s="123"/>
      <c r="O13" s="123" t="s">
        <v>4054</v>
      </c>
      <c r="P13" s="125">
        <v>500000</v>
      </c>
      <c r="Q13" s="778"/>
    </row>
    <row r="14" spans="1:17" ht="21.75">
      <c r="A14" s="7"/>
      <c r="B14" s="7"/>
      <c r="C14" s="7"/>
      <c r="D14" s="7"/>
      <c r="E14" s="9" t="s">
        <v>1646</v>
      </c>
      <c r="F14" s="9"/>
      <c r="G14" s="10" t="s">
        <v>4052</v>
      </c>
      <c r="H14" s="9" t="s">
        <v>4053</v>
      </c>
      <c r="I14" s="9">
        <v>150000</v>
      </c>
      <c r="J14" s="176"/>
      <c r="K14" s="176"/>
      <c r="L14" s="169"/>
      <c r="M14" s="122">
        <v>8</v>
      </c>
      <c r="N14" s="123"/>
      <c r="O14" s="123" t="s">
        <v>4055</v>
      </c>
      <c r="P14" s="125">
        <v>500000</v>
      </c>
      <c r="Q14" s="778"/>
    </row>
    <row r="15" spans="1:17" ht="22.5" customHeight="1">
      <c r="A15" s="7"/>
      <c r="B15" s="7"/>
      <c r="C15" s="7"/>
      <c r="D15" s="7"/>
      <c r="E15" s="9" t="s">
        <v>1006</v>
      </c>
      <c r="F15" s="9"/>
      <c r="G15" s="10" t="s">
        <v>4052</v>
      </c>
      <c r="H15" s="9" t="s">
        <v>4053</v>
      </c>
      <c r="I15" s="9">
        <v>-50000</v>
      </c>
      <c r="J15" s="176"/>
      <c r="K15" s="176"/>
      <c r="L15" s="169"/>
      <c r="M15" s="122">
        <v>9</v>
      </c>
      <c r="N15" s="123"/>
      <c r="O15" s="123" t="s">
        <v>4056</v>
      </c>
      <c r="P15" s="125">
        <v>500000</v>
      </c>
      <c r="Q15" s="778"/>
    </row>
    <row r="16" spans="1:17" ht="21.75">
      <c r="A16" s="7"/>
      <c r="B16" s="7"/>
      <c r="C16" s="7"/>
      <c r="D16" s="7"/>
      <c r="E16" s="9" t="s">
        <v>4057</v>
      </c>
      <c r="F16" s="9" t="s">
        <v>4058</v>
      </c>
      <c r="G16" s="10"/>
      <c r="H16" s="9" t="s">
        <v>4059</v>
      </c>
      <c r="I16" s="9">
        <v>-500000</v>
      </c>
      <c r="J16" s="176"/>
      <c r="K16" s="176"/>
      <c r="L16" s="169"/>
      <c r="M16" s="122">
        <v>10</v>
      </c>
      <c r="N16" s="123"/>
      <c r="O16" s="123" t="s">
        <v>4060</v>
      </c>
      <c r="P16" s="125">
        <v>500000</v>
      </c>
      <c r="Q16" s="778"/>
    </row>
    <row r="17" spans="1:17" ht="21.75">
      <c r="A17" s="7"/>
      <c r="B17" s="7"/>
      <c r="C17" s="7"/>
      <c r="D17" s="7"/>
      <c r="E17" s="9"/>
      <c r="F17" s="9"/>
      <c r="G17" s="10"/>
      <c r="H17" s="9"/>
      <c r="I17" s="9"/>
      <c r="J17" s="176"/>
      <c r="K17" s="176"/>
      <c r="L17" s="169"/>
      <c r="M17" s="122"/>
      <c r="N17" s="123"/>
      <c r="O17" s="123"/>
      <c r="P17" s="125"/>
    </row>
    <row r="18" spans="1:17" ht="21.75">
      <c r="A18" s="12"/>
      <c r="B18" s="12"/>
      <c r="C18" s="12"/>
      <c r="D18" s="12"/>
      <c r="E18" s="13"/>
      <c r="F18" s="13"/>
      <c r="G18" s="14"/>
      <c r="H18" s="13">
        <f>SUM(H15:H17)</f>
        <v>0</v>
      </c>
      <c r="I18" s="13">
        <f>SUM(I10:I17)</f>
        <v>2100000</v>
      </c>
      <c r="J18" s="182"/>
      <c r="K18" s="182"/>
      <c r="L18" s="169"/>
      <c r="M18" s="183"/>
      <c r="N18" s="184"/>
      <c r="O18" s="184"/>
      <c r="P18" s="185">
        <f>SUM(P9:P16)</f>
        <v>4000000</v>
      </c>
    </row>
    <row r="19" spans="1:17" ht="21.75">
      <c r="A19" s="644" t="s">
        <v>1489</v>
      </c>
      <c r="B19" s="644"/>
      <c r="C19" s="644"/>
      <c r="D19" s="644"/>
      <c r="E19" s="644"/>
      <c r="F19" s="644"/>
      <c r="G19" s="644"/>
      <c r="H19" s="644"/>
      <c r="I19" s="644"/>
      <c r="J19" s="174"/>
      <c r="K19" s="176"/>
      <c r="L19" s="169"/>
      <c r="M19" s="122"/>
      <c r="N19" s="123"/>
      <c r="O19" s="123"/>
      <c r="P19" s="125"/>
    </row>
    <row r="20" spans="1:17" ht="21.75">
      <c r="A20" s="7">
        <v>1</v>
      </c>
      <c r="B20" s="26" t="s">
        <v>152</v>
      </c>
      <c r="C20" s="186" t="s">
        <v>180</v>
      </c>
      <c r="D20" s="26" t="s">
        <v>178</v>
      </c>
      <c r="E20" s="28" t="s">
        <v>4061</v>
      </c>
      <c r="F20" s="28" t="s">
        <v>1423</v>
      </c>
      <c r="G20" s="151" t="s">
        <v>4062</v>
      </c>
      <c r="H20" s="28" t="s">
        <v>1423</v>
      </c>
      <c r="I20" s="28">
        <v>1000000</v>
      </c>
      <c r="J20" s="176"/>
      <c r="K20" s="176"/>
      <c r="L20" s="169"/>
      <c r="M20" s="122">
        <v>11</v>
      </c>
      <c r="N20" s="737" t="s">
        <v>2544</v>
      </c>
      <c r="O20" s="123" t="s">
        <v>4063</v>
      </c>
      <c r="P20" s="125">
        <v>500000</v>
      </c>
      <c r="Q20" s="781" t="s">
        <v>4064</v>
      </c>
    </row>
    <row r="21" spans="1:17" ht="14.45" customHeight="1">
      <c r="A21" s="7"/>
      <c r="B21" s="26"/>
      <c r="C21" s="26"/>
      <c r="D21" s="26"/>
      <c r="E21" s="28" t="s">
        <v>1006</v>
      </c>
      <c r="F21" s="28" t="s">
        <v>1423</v>
      </c>
      <c r="G21" s="151" t="s">
        <v>4062</v>
      </c>
      <c r="H21" s="28" t="s">
        <v>1423</v>
      </c>
      <c r="I21" s="28">
        <v>-100000</v>
      </c>
      <c r="J21" s="176"/>
      <c r="K21" s="176"/>
      <c r="L21" s="169"/>
      <c r="M21" s="122">
        <v>12</v>
      </c>
      <c r="N21" s="738"/>
      <c r="O21" s="123" t="s">
        <v>4065</v>
      </c>
      <c r="P21" s="125">
        <v>500000</v>
      </c>
      <c r="Q21" s="781"/>
    </row>
    <row r="22" spans="1:17" ht="14.45" customHeight="1">
      <c r="A22" s="7"/>
      <c r="B22" s="26"/>
      <c r="C22" s="26"/>
      <c r="D22" s="26"/>
      <c r="E22" s="28" t="s">
        <v>4066</v>
      </c>
      <c r="F22" s="28" t="s">
        <v>4067</v>
      </c>
      <c r="G22" s="151" t="s">
        <v>4068</v>
      </c>
      <c r="H22" s="28" t="s">
        <v>4067</v>
      </c>
      <c r="I22" s="28">
        <v>3000000</v>
      </c>
      <c r="J22" s="176"/>
      <c r="K22" s="176"/>
      <c r="L22" s="169"/>
      <c r="M22" s="122">
        <v>13</v>
      </c>
      <c r="N22" s="738"/>
      <c r="O22" s="123" t="s">
        <v>706</v>
      </c>
      <c r="P22" s="125">
        <v>500000</v>
      </c>
      <c r="Q22" s="781"/>
    </row>
    <row r="23" spans="1:17" ht="14.45" customHeight="1">
      <c r="A23" s="7"/>
      <c r="B23" s="26"/>
      <c r="C23" s="26"/>
      <c r="D23" s="26"/>
      <c r="E23" s="28" t="s">
        <v>1006</v>
      </c>
      <c r="F23" s="28"/>
      <c r="G23" s="151"/>
      <c r="H23" s="28"/>
      <c r="I23" s="28">
        <v>-50000</v>
      </c>
      <c r="J23" s="176"/>
      <c r="K23" s="176"/>
      <c r="L23" s="169"/>
      <c r="M23" s="122">
        <v>14</v>
      </c>
      <c r="N23" s="738"/>
      <c r="O23" s="123" t="s">
        <v>4069</v>
      </c>
      <c r="P23" s="125">
        <v>500000</v>
      </c>
      <c r="Q23" s="781"/>
    </row>
    <row r="24" spans="1:17" ht="14.45" customHeight="1">
      <c r="A24" s="7"/>
      <c r="B24" s="26"/>
      <c r="C24" s="26"/>
      <c r="D24" s="26"/>
      <c r="E24" s="28" t="s">
        <v>4070</v>
      </c>
      <c r="F24" s="28" t="s">
        <v>4071</v>
      </c>
      <c r="G24" s="151" t="s">
        <v>4072</v>
      </c>
      <c r="H24" s="28" t="s">
        <v>4073</v>
      </c>
      <c r="I24" s="28">
        <v>1450000</v>
      </c>
      <c r="J24" s="176"/>
      <c r="K24" s="176"/>
      <c r="L24" s="169"/>
      <c r="M24" s="122">
        <v>15</v>
      </c>
      <c r="N24" s="738"/>
      <c r="O24" s="123" t="s">
        <v>1905</v>
      </c>
      <c r="P24" s="125">
        <v>500000</v>
      </c>
      <c r="Q24" s="781"/>
    </row>
    <row r="25" spans="1:17" ht="14.45" customHeight="1">
      <c r="A25" s="7"/>
      <c r="B25" s="26"/>
      <c r="C25" s="26"/>
      <c r="D25" s="26"/>
      <c r="E25" s="779" t="s">
        <v>4074</v>
      </c>
      <c r="F25" s="28" t="s">
        <v>4075</v>
      </c>
      <c r="G25" s="151" t="s">
        <v>4076</v>
      </c>
      <c r="H25" s="28" t="s">
        <v>4077</v>
      </c>
      <c r="I25" s="28">
        <v>2000000</v>
      </c>
      <c r="J25" s="176"/>
      <c r="K25" s="176"/>
      <c r="L25" s="169"/>
      <c r="M25" s="122">
        <v>16</v>
      </c>
      <c r="N25" s="739"/>
      <c r="O25" s="123" t="s">
        <v>4078</v>
      </c>
      <c r="P25" s="125">
        <v>500000</v>
      </c>
      <c r="Q25" s="781"/>
    </row>
    <row r="26" spans="1:17" ht="21.75">
      <c r="A26" s="7"/>
      <c r="B26" s="26"/>
      <c r="C26" s="26"/>
      <c r="D26" s="26"/>
      <c r="E26" s="779"/>
      <c r="F26" s="28" t="s">
        <v>4079</v>
      </c>
      <c r="G26" s="151" t="s">
        <v>4080</v>
      </c>
      <c r="H26" s="28" t="s">
        <v>4079</v>
      </c>
      <c r="I26" s="28">
        <v>2000000</v>
      </c>
      <c r="J26" s="176"/>
      <c r="K26" s="176" t="s">
        <v>4081</v>
      </c>
      <c r="L26" s="169"/>
      <c r="M26" s="122"/>
      <c r="N26" s="123"/>
      <c r="O26" s="123" t="s">
        <v>1913</v>
      </c>
      <c r="P26" s="125">
        <v>500000</v>
      </c>
      <c r="Q26" s="781"/>
    </row>
    <row r="27" spans="1:17" ht="21.75">
      <c r="A27" s="7"/>
      <c r="B27" s="26"/>
      <c r="C27" s="26"/>
      <c r="D27" s="26"/>
      <c r="E27" s="779"/>
      <c r="F27" s="28" t="s">
        <v>707</v>
      </c>
      <c r="G27" s="151" t="s">
        <v>4082</v>
      </c>
      <c r="H27" s="28" t="s">
        <v>707</v>
      </c>
      <c r="I27" s="28">
        <v>2000000</v>
      </c>
      <c r="J27" s="176"/>
      <c r="K27" s="176" t="s">
        <v>4083</v>
      </c>
      <c r="L27" s="169"/>
      <c r="M27" s="265"/>
      <c r="N27" s="266"/>
      <c r="O27" s="344" t="s">
        <v>4084</v>
      </c>
      <c r="P27" s="125">
        <v>500000</v>
      </c>
    </row>
    <row r="28" spans="1:17" ht="21.75">
      <c r="A28" s="7"/>
      <c r="B28" s="26"/>
      <c r="C28" s="26"/>
      <c r="D28" s="26"/>
      <c r="E28" s="187" t="s">
        <v>4085</v>
      </c>
      <c r="F28" s="28" t="s">
        <v>1634</v>
      </c>
      <c r="G28" s="151" t="s">
        <v>4086</v>
      </c>
      <c r="H28" s="28" t="s">
        <v>1634</v>
      </c>
      <c r="I28" s="28">
        <v>3000000</v>
      </c>
      <c r="J28" s="176"/>
      <c r="K28" s="176" t="s">
        <v>4087</v>
      </c>
      <c r="L28" s="169"/>
      <c r="M28" s="122"/>
      <c r="N28" s="123"/>
      <c r="O28" s="123" t="s">
        <v>4088</v>
      </c>
      <c r="P28" s="125">
        <v>500000</v>
      </c>
    </row>
    <row r="29" spans="1:17" ht="21.75">
      <c r="A29" s="7"/>
      <c r="B29" s="26"/>
      <c r="C29" s="26"/>
      <c r="D29" s="26"/>
      <c r="E29" s="187" t="s">
        <v>4089</v>
      </c>
      <c r="F29" s="28" t="s">
        <v>4090</v>
      </c>
      <c r="G29" s="151" t="s">
        <v>4091</v>
      </c>
      <c r="H29" s="28" t="s">
        <v>4090</v>
      </c>
      <c r="I29" s="28">
        <v>500000</v>
      </c>
      <c r="J29" s="780" t="s">
        <v>4092</v>
      </c>
      <c r="K29" s="176"/>
      <c r="L29" s="169"/>
      <c r="M29" s="122"/>
      <c r="N29" s="123"/>
      <c r="O29" s="123" t="s">
        <v>4093</v>
      </c>
      <c r="P29" s="125">
        <v>500000</v>
      </c>
    </row>
    <row r="30" spans="1:17" ht="21.75">
      <c r="A30" s="7"/>
      <c r="B30" s="26"/>
      <c r="C30" s="26"/>
      <c r="D30" s="26"/>
      <c r="E30" s="187" t="s">
        <v>4094</v>
      </c>
      <c r="F30" s="28" t="s">
        <v>4090</v>
      </c>
      <c r="G30" s="151" t="s">
        <v>4091</v>
      </c>
      <c r="H30" s="28" t="s">
        <v>4090</v>
      </c>
      <c r="I30" s="28">
        <v>250000</v>
      </c>
      <c r="J30" s="780"/>
      <c r="K30" s="176"/>
      <c r="L30" s="169"/>
      <c r="M30" s="122"/>
      <c r="N30" s="123"/>
      <c r="O30" s="123" t="s">
        <v>4095</v>
      </c>
      <c r="P30" s="125">
        <v>500000</v>
      </c>
    </row>
    <row r="31" spans="1:17" ht="21.75">
      <c r="A31" s="7"/>
      <c r="B31" s="26"/>
      <c r="C31" s="26"/>
      <c r="D31" s="26"/>
      <c r="E31" s="187" t="s">
        <v>1646</v>
      </c>
      <c r="F31" s="28" t="s">
        <v>4090</v>
      </c>
      <c r="G31" s="151" t="s">
        <v>4091</v>
      </c>
      <c r="H31" s="28" t="s">
        <v>4090</v>
      </c>
      <c r="I31" s="28">
        <v>1150000</v>
      </c>
      <c r="J31" s="780"/>
      <c r="K31" s="176"/>
      <c r="L31" s="169"/>
      <c r="M31" s="122"/>
      <c r="N31" s="123"/>
      <c r="O31" s="123" t="s">
        <v>4096</v>
      </c>
      <c r="P31" s="125">
        <v>500000</v>
      </c>
    </row>
    <row r="32" spans="1:17" s="114" customFormat="1" ht="21.75">
      <c r="A32" s="12"/>
      <c r="B32" s="188"/>
      <c r="C32" s="188"/>
      <c r="D32" s="188"/>
      <c r="E32" s="189"/>
      <c r="F32" s="190"/>
      <c r="G32" s="191"/>
      <c r="H32" s="190"/>
      <c r="I32" s="190"/>
      <c r="J32" s="182"/>
      <c r="K32" s="182"/>
      <c r="L32" s="121"/>
      <c r="M32" s="122"/>
      <c r="N32" s="123"/>
      <c r="O32" s="123" t="s">
        <v>4097</v>
      </c>
      <c r="P32" s="125">
        <v>500000</v>
      </c>
    </row>
    <row r="33" spans="1:16" ht="21.75">
      <c r="A33" s="644" t="s">
        <v>4098</v>
      </c>
      <c r="B33" s="644"/>
      <c r="C33" s="644"/>
      <c r="D33" s="644"/>
      <c r="E33" s="644"/>
      <c r="F33" s="644"/>
      <c r="G33" s="644"/>
      <c r="H33" s="644"/>
      <c r="I33" s="644"/>
      <c r="J33" s="176"/>
      <c r="K33" s="176"/>
      <c r="L33" s="169"/>
      <c r="M33" s="122"/>
      <c r="N33" s="123"/>
      <c r="O33" s="123"/>
      <c r="P33" s="125"/>
    </row>
    <row r="34" spans="1:16" ht="19.149999999999999" customHeight="1">
      <c r="A34" s="7">
        <v>1</v>
      </c>
      <c r="B34" s="26" t="s">
        <v>152</v>
      </c>
      <c r="C34" s="186" t="s">
        <v>180</v>
      </c>
      <c r="D34" s="26" t="s">
        <v>178</v>
      </c>
      <c r="E34" s="28"/>
      <c r="F34" s="28" t="s">
        <v>703</v>
      </c>
      <c r="G34" s="151" t="s">
        <v>3947</v>
      </c>
      <c r="H34" s="28" t="s">
        <v>4090</v>
      </c>
      <c r="I34" s="28">
        <v>600000</v>
      </c>
      <c r="J34" s="176"/>
      <c r="K34" s="176"/>
      <c r="L34" s="169"/>
      <c r="M34" s="122"/>
      <c r="N34" s="123"/>
      <c r="O34" s="266" t="s">
        <v>665</v>
      </c>
      <c r="P34" s="267">
        <f>SUM(P20:P32)</f>
        <v>6500000</v>
      </c>
    </row>
    <row r="35" spans="1:16" ht="19.149999999999999" customHeight="1">
      <c r="A35" s="7"/>
      <c r="B35" s="26"/>
      <c r="C35" s="26"/>
      <c r="D35" s="26"/>
      <c r="E35" s="28"/>
      <c r="F35" s="28" t="s">
        <v>4099</v>
      </c>
      <c r="G35" s="151" t="s">
        <v>3947</v>
      </c>
      <c r="H35" s="28" t="s">
        <v>4090</v>
      </c>
      <c r="I35" s="28">
        <v>600000</v>
      </c>
      <c r="J35" s="176"/>
      <c r="K35" s="176"/>
      <c r="L35" s="169"/>
      <c r="M35" s="122"/>
      <c r="N35" s="123"/>
      <c r="O35" s="123"/>
      <c r="P35" s="125"/>
    </row>
    <row r="36" spans="1:16" ht="19.149999999999999" customHeight="1">
      <c r="A36" s="7"/>
      <c r="B36" s="26"/>
      <c r="C36" s="26"/>
      <c r="D36" s="26"/>
      <c r="E36" s="187"/>
      <c r="F36" s="28" t="s">
        <v>4100</v>
      </c>
      <c r="G36" s="151" t="s">
        <v>4101</v>
      </c>
      <c r="H36" s="28" t="s">
        <v>1119</v>
      </c>
      <c r="I36" s="28">
        <v>1200000</v>
      </c>
      <c r="J36" s="176" t="s">
        <v>4102</v>
      </c>
      <c r="K36" s="176"/>
      <c r="L36" s="169"/>
      <c r="M36" s="122"/>
      <c r="N36" s="123"/>
      <c r="O36" s="123"/>
      <c r="P36" s="125"/>
    </row>
    <row r="37" spans="1:16" ht="19.149999999999999" customHeight="1">
      <c r="A37" s="7"/>
      <c r="B37" s="26"/>
      <c r="C37" s="26"/>
      <c r="D37" s="26"/>
      <c r="E37" s="187"/>
      <c r="F37" s="28" t="s">
        <v>4103</v>
      </c>
      <c r="G37" s="151" t="s">
        <v>4104</v>
      </c>
      <c r="H37" s="28" t="s">
        <v>928</v>
      </c>
      <c r="I37" s="424">
        <v>6000000</v>
      </c>
      <c r="J37" s="593" t="s">
        <v>4105</v>
      </c>
      <c r="K37" s="176"/>
      <c r="L37" s="169"/>
      <c r="M37" s="122"/>
      <c r="N37" s="123"/>
      <c r="O37" s="123"/>
      <c r="P37" s="125"/>
    </row>
    <row r="38" spans="1:16" ht="19.149999999999999" customHeight="1">
      <c r="A38" s="7"/>
      <c r="B38" s="26"/>
      <c r="C38" s="26"/>
      <c r="D38" s="26"/>
      <c r="E38" s="187"/>
      <c r="F38" s="28" t="s">
        <v>182</v>
      </c>
      <c r="G38" s="151" t="s">
        <v>4106</v>
      </c>
      <c r="H38" s="28" t="s">
        <v>4107</v>
      </c>
      <c r="I38" s="28">
        <v>1600000</v>
      </c>
      <c r="J38" s="176" t="s">
        <v>664</v>
      </c>
      <c r="K38" s="176"/>
      <c r="L38" s="169"/>
      <c r="M38" s="122"/>
      <c r="N38" s="123"/>
      <c r="O38" s="123"/>
      <c r="P38" s="125"/>
    </row>
    <row r="39" spans="1:16" ht="19.149999999999999" customHeight="1">
      <c r="A39" s="7"/>
      <c r="B39" s="26"/>
      <c r="C39" s="26"/>
      <c r="D39" s="26"/>
      <c r="E39" s="187"/>
      <c r="F39" s="28"/>
      <c r="G39" s="151"/>
      <c r="H39" s="28"/>
      <c r="I39" s="28"/>
      <c r="J39" s="176"/>
      <c r="K39" s="176"/>
      <c r="L39" s="169"/>
      <c r="M39" s="122"/>
      <c r="N39" s="123"/>
      <c r="O39" s="123"/>
      <c r="P39" s="125"/>
    </row>
    <row r="40" spans="1:16" ht="19.149999999999999" customHeight="1">
      <c r="A40" s="7"/>
      <c r="B40" s="26"/>
      <c r="C40" s="26"/>
      <c r="D40" s="26"/>
      <c r="E40" s="187"/>
      <c r="F40" s="28"/>
      <c r="G40" s="151"/>
      <c r="H40" s="28"/>
      <c r="I40" s="28"/>
      <c r="J40" s="176"/>
      <c r="K40" s="176"/>
      <c r="L40" s="169"/>
      <c r="M40" s="122"/>
      <c r="N40" s="123"/>
      <c r="O40" s="123"/>
      <c r="P40" s="125"/>
    </row>
    <row r="41" spans="1:16" ht="19.149999999999999" customHeight="1">
      <c r="A41" s="7"/>
      <c r="B41" s="26"/>
      <c r="C41" s="26"/>
      <c r="D41" s="26"/>
      <c r="E41" s="28"/>
      <c r="F41" s="28"/>
      <c r="G41" s="151"/>
      <c r="H41" s="28"/>
      <c r="I41" s="28"/>
      <c r="J41" s="176"/>
      <c r="K41" s="176"/>
      <c r="L41" s="169"/>
      <c r="M41" s="122"/>
      <c r="N41" s="123"/>
      <c r="O41" s="123"/>
      <c r="P41" s="125"/>
    </row>
    <row r="42" spans="1:16" ht="21" customHeight="1">
      <c r="A42" s="7"/>
      <c r="B42" s="26"/>
      <c r="C42" s="26"/>
      <c r="D42" s="26"/>
      <c r="E42" s="28"/>
      <c r="F42" s="28"/>
      <c r="G42" s="151"/>
      <c r="H42" s="28"/>
      <c r="I42" s="192">
        <f>SUM(I34:I41)</f>
        <v>10000000</v>
      </c>
      <c r="J42" s="176"/>
      <c r="K42" s="176"/>
      <c r="L42" s="169"/>
      <c r="M42" s="122"/>
      <c r="N42" s="123"/>
      <c r="O42" s="123"/>
      <c r="P42" s="125"/>
    </row>
    <row r="43" spans="1:16" ht="21.75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69"/>
      <c r="M43" s="122"/>
      <c r="N43" s="123"/>
      <c r="O43" s="123"/>
      <c r="P43" s="125"/>
    </row>
    <row r="44" spans="1:16" ht="21.75">
      <c r="M44" s="122"/>
      <c r="N44" s="123"/>
      <c r="O44" s="123"/>
      <c r="P44" s="125"/>
    </row>
    <row r="45" spans="1:16" ht="21.75">
      <c r="M45" s="122"/>
      <c r="N45" s="123"/>
      <c r="O45" s="123"/>
      <c r="P45" s="125"/>
    </row>
    <row r="46" spans="1:16" ht="21.75">
      <c r="M46" s="122"/>
      <c r="N46" s="123"/>
      <c r="O46" s="123"/>
      <c r="P46" s="125"/>
    </row>
    <row r="47" spans="1:16" ht="21.75">
      <c r="M47" s="122"/>
      <c r="N47" s="123"/>
      <c r="O47" s="123"/>
      <c r="P47" s="125"/>
    </row>
    <row r="48" spans="1:16" ht="21.75">
      <c r="M48" s="122"/>
      <c r="N48" s="123"/>
      <c r="O48" s="123"/>
      <c r="P48" s="125"/>
    </row>
    <row r="49" spans="8:16" ht="21.75">
      <c r="M49" s="122"/>
      <c r="N49" s="123"/>
      <c r="O49" s="123"/>
      <c r="P49" s="125"/>
    </row>
    <row r="50" spans="8:16" ht="21.75">
      <c r="M50" s="122"/>
      <c r="N50" s="123"/>
      <c r="O50" s="123"/>
      <c r="P50" s="125"/>
    </row>
    <row r="51" spans="8:16" ht="21.75">
      <c r="M51" s="122"/>
      <c r="N51" s="123"/>
      <c r="O51" s="123"/>
      <c r="P51" s="125"/>
    </row>
    <row r="52" spans="8:16" ht="21.75">
      <c r="M52" s="122"/>
      <c r="N52" s="123"/>
      <c r="O52" s="123"/>
      <c r="P52" s="125"/>
    </row>
    <row r="53" spans="8:16" ht="21.75">
      <c r="M53" s="122"/>
      <c r="N53" s="123"/>
      <c r="O53" s="123"/>
      <c r="P53" s="125"/>
    </row>
    <row r="54" spans="8:16" ht="21.75">
      <c r="M54" s="122"/>
      <c r="N54" s="123"/>
      <c r="O54" s="123"/>
      <c r="P54" s="125"/>
    </row>
    <row r="55" spans="8:16" ht="21.75">
      <c r="M55" s="122"/>
      <c r="N55" s="123"/>
      <c r="O55" s="123"/>
      <c r="P55" s="125"/>
    </row>
    <row r="56" spans="8:16" ht="21.75">
      <c r="M56" s="122"/>
      <c r="N56" s="123"/>
      <c r="O56" s="123"/>
      <c r="P56" s="125"/>
    </row>
    <row r="57" spans="8:16" ht="21.75">
      <c r="M57" s="122"/>
      <c r="N57" s="123"/>
      <c r="O57" s="123"/>
      <c r="P57" s="125"/>
    </row>
    <row r="58" spans="8:16" ht="21.75">
      <c r="M58" s="122"/>
      <c r="N58" s="123"/>
      <c r="O58" s="123"/>
      <c r="P58" s="125"/>
    </row>
    <row r="59" spans="8:16" ht="21.75">
      <c r="H59" s="90"/>
      <c r="M59" s="139"/>
      <c r="N59" s="140"/>
      <c r="O59" s="140"/>
      <c r="P59" s="141"/>
    </row>
  </sheetData>
  <mergeCells count="22">
    <mergeCell ref="A2:I2"/>
    <mergeCell ref="M2:P2"/>
    <mergeCell ref="A3:A4"/>
    <mergeCell ref="B3:B4"/>
    <mergeCell ref="C3:C4"/>
    <mergeCell ref="D3:D4"/>
    <mergeCell ref="E3:E4"/>
    <mergeCell ref="F3:F4"/>
    <mergeCell ref="G3:G4"/>
    <mergeCell ref="H3:H4"/>
    <mergeCell ref="N3:N4"/>
    <mergeCell ref="O3:O4"/>
    <mergeCell ref="P3:P4"/>
    <mergeCell ref="A33:I33"/>
    <mergeCell ref="M3:M4"/>
    <mergeCell ref="A9:I9"/>
    <mergeCell ref="Q12:Q16"/>
    <mergeCell ref="A19:I19"/>
    <mergeCell ref="E25:E27"/>
    <mergeCell ref="J29:J31"/>
    <mergeCell ref="N20:N25"/>
    <mergeCell ref="Q20:Q26"/>
  </mergeCells>
  <hyperlinks>
    <hyperlink ref="B1" location="Name!A1" display="Name!A1" xr:uid="{8C980CCC-8E55-421B-8AEC-0F1BEC345907}"/>
  </hyperlinks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BED9-6186-46DD-83BE-31D756E61B1B}">
  <dimension ref="A1:O78"/>
  <sheetViews>
    <sheetView topLeftCell="A46" workbookViewId="0">
      <selection activeCell="A60" sqref="A60"/>
    </sheetView>
  </sheetViews>
  <sheetFormatPr defaultColWidth="9.140625" defaultRowHeight="18"/>
  <cols>
    <col min="1" max="1" width="6.140625" style="51" customWidth="1"/>
    <col min="2" max="3" width="15.42578125" style="51" customWidth="1"/>
    <col min="4" max="4" width="27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33" style="51" customWidth="1"/>
    <col min="10" max="10" width="2.5703125" style="51" customWidth="1"/>
    <col min="11" max="12" width="9.140625" style="51"/>
    <col min="13" max="13" width="40.5703125" style="51" customWidth="1"/>
    <col min="14" max="15" width="18.140625" style="51" customWidth="1"/>
    <col min="16" max="16384" width="9.140625" style="51"/>
  </cols>
  <sheetData>
    <row r="1" spans="1:15">
      <c r="A1" s="411" t="s">
        <v>648</v>
      </c>
    </row>
    <row r="2" spans="1:15" ht="21.75">
      <c r="A2" s="644" t="s">
        <v>4108</v>
      </c>
      <c r="B2" s="644"/>
      <c r="C2" s="644"/>
      <c r="D2" s="644"/>
      <c r="E2" s="644"/>
      <c r="F2" s="644"/>
      <c r="G2" s="644"/>
      <c r="H2" s="644"/>
      <c r="I2" s="174"/>
      <c r="J2" s="121"/>
      <c r="K2" s="644" t="s">
        <v>973</v>
      </c>
      <c r="L2" s="644"/>
      <c r="M2" s="644"/>
      <c r="N2" s="644"/>
    </row>
    <row r="3" spans="1:15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I3" s="175"/>
      <c r="J3" s="121"/>
      <c r="K3" s="654" t="s">
        <v>653</v>
      </c>
      <c r="L3" s="659" t="s">
        <v>974</v>
      </c>
      <c r="M3" s="661" t="s">
        <v>975</v>
      </c>
      <c r="N3" s="662" t="s">
        <v>976</v>
      </c>
      <c r="O3" s="664" t="s">
        <v>977</v>
      </c>
    </row>
    <row r="4" spans="1:15" ht="21.75">
      <c r="A4" s="646"/>
      <c r="B4" s="646"/>
      <c r="C4" s="646"/>
      <c r="D4" s="646"/>
      <c r="E4" s="648"/>
      <c r="F4" s="646"/>
      <c r="G4" s="646"/>
      <c r="H4" s="6" t="s">
        <v>660</v>
      </c>
      <c r="I4" s="175"/>
      <c r="J4" s="121"/>
      <c r="K4" s="655"/>
      <c r="L4" s="660"/>
      <c r="M4" s="660"/>
      <c r="N4" s="663"/>
      <c r="O4" s="665"/>
    </row>
    <row r="5" spans="1:15" ht="21.75">
      <c r="A5" s="7">
        <v>1</v>
      </c>
      <c r="B5" s="7" t="s">
        <v>152</v>
      </c>
      <c r="C5" s="7" t="s">
        <v>167</v>
      </c>
      <c r="D5" s="7" t="s">
        <v>4109</v>
      </c>
      <c r="E5" s="9" t="s">
        <v>703</v>
      </c>
      <c r="F5" s="10" t="s">
        <v>1757</v>
      </c>
      <c r="G5" s="9" t="s">
        <v>4110</v>
      </c>
      <c r="H5" s="9">
        <v>500000</v>
      </c>
      <c r="I5" s="176"/>
      <c r="J5" s="121"/>
      <c r="K5" s="122"/>
      <c r="L5" s="123" t="s">
        <v>4110</v>
      </c>
      <c r="M5" s="127" t="s">
        <v>998</v>
      </c>
      <c r="N5" s="125">
        <v>168580</v>
      </c>
      <c r="O5" s="126"/>
    </row>
    <row r="6" spans="1:15" ht="21.75">
      <c r="A6" s="7"/>
      <c r="B6" s="7"/>
      <c r="C6" s="7" t="s">
        <v>679</v>
      </c>
      <c r="D6" s="7"/>
      <c r="E6" s="9" t="s">
        <v>4111</v>
      </c>
      <c r="F6" s="10" t="s">
        <v>1757</v>
      </c>
      <c r="G6" s="9" t="s">
        <v>4110</v>
      </c>
      <c r="H6" s="9">
        <v>1000000</v>
      </c>
      <c r="I6" s="176"/>
      <c r="J6" s="121"/>
      <c r="K6" s="122"/>
      <c r="L6" s="123"/>
      <c r="M6" s="127"/>
      <c r="N6" s="125"/>
      <c r="O6" s="126"/>
    </row>
    <row r="7" spans="1:15" ht="21.75">
      <c r="A7" s="7"/>
      <c r="B7" s="7"/>
      <c r="C7" s="7"/>
      <c r="D7" s="7"/>
      <c r="E7" s="9" t="s">
        <v>4112</v>
      </c>
      <c r="F7" s="10" t="s">
        <v>4113</v>
      </c>
      <c r="G7" s="9" t="s">
        <v>4114</v>
      </c>
      <c r="H7" s="9">
        <v>1500000</v>
      </c>
      <c r="I7" s="176" t="s">
        <v>4115</v>
      </c>
      <c r="J7" s="121"/>
      <c r="K7" s="122"/>
      <c r="L7" s="123"/>
      <c r="M7" s="127"/>
      <c r="N7" s="125"/>
      <c r="O7" s="126"/>
    </row>
    <row r="8" spans="1:15" ht="21.75">
      <c r="A8" s="7"/>
      <c r="B8" s="7"/>
      <c r="C8" s="7"/>
      <c r="D8" s="7"/>
      <c r="E8" s="9" t="s">
        <v>4116</v>
      </c>
      <c r="F8" s="10" t="s">
        <v>4117</v>
      </c>
      <c r="G8" s="9" t="s">
        <v>1509</v>
      </c>
      <c r="H8" s="9">
        <v>1500000</v>
      </c>
      <c r="I8" s="176"/>
      <c r="J8" s="121"/>
      <c r="K8" s="122"/>
      <c r="L8" s="123"/>
      <c r="M8" s="127"/>
      <c r="N8" s="125"/>
      <c r="O8" s="126"/>
    </row>
    <row r="9" spans="1:15" ht="21.75">
      <c r="A9" s="7"/>
      <c r="B9" s="7"/>
      <c r="C9" s="7"/>
      <c r="D9" s="7"/>
      <c r="E9" s="9" t="s">
        <v>4118</v>
      </c>
      <c r="F9" s="10" t="s">
        <v>4119</v>
      </c>
      <c r="G9" s="9" t="s">
        <v>4120</v>
      </c>
      <c r="H9" s="9">
        <v>2000000</v>
      </c>
      <c r="I9" s="176"/>
      <c r="J9" s="121"/>
      <c r="K9" s="122"/>
      <c r="L9" s="123"/>
      <c r="M9" s="127"/>
      <c r="N9" s="125"/>
      <c r="O9" s="126"/>
    </row>
    <row r="10" spans="1:15" ht="21.75">
      <c r="A10" s="7"/>
      <c r="B10" s="7"/>
      <c r="C10" s="7"/>
      <c r="D10" s="7"/>
      <c r="E10" s="9" t="s">
        <v>1006</v>
      </c>
      <c r="F10" s="10" t="s">
        <v>4119</v>
      </c>
      <c r="G10" s="9" t="s">
        <v>4120</v>
      </c>
      <c r="H10" s="9">
        <v>-250000</v>
      </c>
      <c r="I10" s="176"/>
      <c r="J10" s="121"/>
      <c r="K10" s="122"/>
      <c r="L10" s="123"/>
      <c r="M10" s="25"/>
      <c r="N10" s="125"/>
      <c r="O10" s="126"/>
    </row>
    <row r="11" spans="1:15" ht="21.75">
      <c r="A11" s="7"/>
      <c r="B11" s="7"/>
      <c r="C11" s="7"/>
      <c r="D11" s="7"/>
      <c r="E11" s="9" t="s">
        <v>4121</v>
      </c>
      <c r="F11" s="10" t="s">
        <v>4122</v>
      </c>
      <c r="G11" s="9" t="s">
        <v>4123</v>
      </c>
      <c r="H11" s="9">
        <v>1500000</v>
      </c>
      <c r="I11" s="176"/>
      <c r="J11" s="121"/>
      <c r="K11" s="122"/>
      <c r="L11" s="123"/>
      <c r="M11" s="25"/>
      <c r="N11" s="125"/>
      <c r="O11" s="126"/>
    </row>
    <row r="12" spans="1:15" ht="21.75">
      <c r="A12" s="7"/>
      <c r="B12" s="7"/>
      <c r="C12" s="7"/>
      <c r="D12" s="7"/>
      <c r="E12" s="9" t="s">
        <v>4124</v>
      </c>
      <c r="F12" s="10" t="s">
        <v>4125</v>
      </c>
      <c r="G12" s="9" t="s">
        <v>4126</v>
      </c>
      <c r="H12" s="9">
        <v>2000000</v>
      </c>
      <c r="I12" s="176"/>
      <c r="J12" s="121"/>
      <c r="K12" s="122"/>
      <c r="L12" s="123"/>
      <c r="M12" s="25"/>
      <c r="N12" s="125"/>
      <c r="O12" s="126"/>
    </row>
    <row r="13" spans="1:15" ht="21.75">
      <c r="A13" s="7"/>
      <c r="B13" s="7"/>
      <c r="C13" s="7"/>
      <c r="D13" s="7"/>
      <c r="E13" s="9" t="s">
        <v>1066</v>
      </c>
      <c r="F13" s="10"/>
      <c r="G13" s="9"/>
      <c r="H13" s="9"/>
      <c r="I13" s="176" t="s">
        <v>4127</v>
      </c>
      <c r="J13" s="121"/>
      <c r="K13" s="122"/>
      <c r="L13" s="123"/>
      <c r="M13" s="25"/>
      <c r="N13" s="125"/>
      <c r="O13" s="126"/>
    </row>
    <row r="14" spans="1:15" ht="21.75">
      <c r="A14" s="7"/>
      <c r="B14" s="7"/>
      <c r="C14" s="7"/>
      <c r="D14" s="7"/>
      <c r="E14" s="9"/>
      <c r="F14" s="10"/>
      <c r="G14" s="9"/>
      <c r="H14" s="9"/>
      <c r="I14" s="176"/>
      <c r="J14" s="121"/>
      <c r="K14" s="122"/>
      <c r="L14" s="123"/>
      <c r="M14" s="25"/>
      <c r="N14" s="125"/>
      <c r="O14" s="126"/>
    </row>
    <row r="15" spans="1:15" ht="21.75">
      <c r="A15" s="7"/>
      <c r="B15" s="7"/>
      <c r="C15" s="7"/>
      <c r="D15" s="7"/>
      <c r="E15" s="9"/>
      <c r="F15" s="10"/>
      <c r="G15" s="9"/>
      <c r="H15" s="9"/>
      <c r="I15" s="176"/>
      <c r="J15" s="121"/>
      <c r="K15" s="122"/>
      <c r="L15" s="123"/>
      <c r="M15" s="25"/>
      <c r="N15" s="125"/>
      <c r="O15" s="126"/>
    </row>
    <row r="16" spans="1:15" ht="21.75">
      <c r="A16" s="7"/>
      <c r="B16" s="7"/>
      <c r="C16" s="7"/>
      <c r="D16" s="7"/>
      <c r="E16" s="9"/>
      <c r="F16" s="10"/>
      <c r="G16" s="9"/>
      <c r="H16" s="9"/>
      <c r="I16" s="176"/>
      <c r="J16" s="121"/>
      <c r="K16" s="122"/>
      <c r="L16" s="123"/>
      <c r="M16" s="25"/>
      <c r="N16" s="125"/>
      <c r="O16" s="126"/>
    </row>
    <row r="17" spans="1:15" ht="21.75">
      <c r="A17" s="7"/>
      <c r="B17" s="7"/>
      <c r="C17" s="7"/>
      <c r="D17" s="7"/>
      <c r="E17" s="9"/>
      <c r="F17" s="10"/>
      <c r="G17" s="9"/>
      <c r="H17" s="9"/>
      <c r="I17" s="176"/>
      <c r="J17" s="121"/>
      <c r="K17" s="122"/>
      <c r="L17" s="123"/>
      <c r="M17" s="25"/>
      <c r="N17" s="125"/>
      <c r="O17" s="126"/>
    </row>
    <row r="18" spans="1:15" ht="21.75">
      <c r="A18" s="7"/>
      <c r="B18" s="7"/>
      <c r="C18" s="7"/>
      <c r="D18" s="7"/>
      <c r="E18" s="9"/>
      <c r="F18" s="10"/>
      <c r="G18" s="9"/>
      <c r="H18" s="9"/>
      <c r="I18" s="176"/>
      <c r="J18" s="121"/>
      <c r="K18" s="122"/>
      <c r="L18" s="123"/>
      <c r="M18" s="25"/>
      <c r="N18" s="125"/>
      <c r="O18" s="126"/>
    </row>
    <row r="19" spans="1:15" ht="21.75">
      <c r="A19" s="177"/>
      <c r="B19" s="177"/>
      <c r="C19" s="177"/>
      <c r="D19" s="177"/>
      <c r="E19" s="178"/>
      <c r="F19" s="179"/>
      <c r="G19" s="178"/>
      <c r="H19" s="178">
        <f>SUM(H5:H12)</f>
        <v>9750000</v>
      </c>
      <c r="I19" s="180"/>
      <c r="J19" s="130"/>
      <c r="K19" s="131"/>
      <c r="L19" s="132"/>
      <c r="M19" s="133"/>
      <c r="N19" s="134">
        <f>SUM(N5:N9)</f>
        <v>168580</v>
      </c>
      <c r="O19" s="135">
        <f>H19-N19</f>
        <v>9581420</v>
      </c>
    </row>
    <row r="20" spans="1:15" ht="21.75">
      <c r="A20" s="143"/>
      <c r="B20" s="143"/>
      <c r="C20" s="143"/>
      <c r="D20" s="143"/>
      <c r="E20" s="143"/>
      <c r="F20" s="143"/>
      <c r="G20" s="143"/>
      <c r="H20" s="143"/>
      <c r="I20" s="143"/>
      <c r="J20" s="121"/>
      <c r="K20" s="122"/>
      <c r="L20" s="123"/>
      <c r="M20" s="127"/>
      <c r="N20" s="125"/>
      <c r="O20" s="126"/>
    </row>
    <row r="21" spans="1:15" ht="21.75">
      <c r="A21" s="644" t="s">
        <v>4128</v>
      </c>
      <c r="B21" s="644"/>
      <c r="C21" s="644"/>
      <c r="D21" s="644"/>
      <c r="E21" s="644"/>
      <c r="F21" s="644"/>
      <c r="G21" s="644"/>
      <c r="H21" s="644"/>
      <c r="J21" s="121"/>
      <c r="K21" s="122"/>
      <c r="L21" s="123"/>
      <c r="M21" s="127"/>
      <c r="N21" s="125"/>
      <c r="O21" s="126"/>
    </row>
    <row r="22" spans="1:15" ht="21.75">
      <c r="A22" s="645" t="s">
        <v>653</v>
      </c>
      <c r="B22" s="647" t="s">
        <v>654</v>
      </c>
      <c r="C22" s="645" t="s">
        <v>655</v>
      </c>
      <c r="D22" s="645" t="s">
        <v>12</v>
      </c>
      <c r="E22" s="647" t="s">
        <v>656</v>
      </c>
      <c r="F22" s="645" t="s">
        <v>657</v>
      </c>
      <c r="G22" s="647" t="s">
        <v>658</v>
      </c>
      <c r="H22" s="3" t="s">
        <v>659</v>
      </c>
      <c r="J22" s="121"/>
      <c r="K22" s="122"/>
      <c r="L22" s="123"/>
      <c r="M22" s="123"/>
      <c r="N22" s="125"/>
      <c r="O22" s="126"/>
    </row>
    <row r="23" spans="1:15" s="181" customFormat="1" ht="21.75">
      <c r="A23" s="646"/>
      <c r="B23" s="646"/>
      <c r="C23" s="646"/>
      <c r="D23" s="646"/>
      <c r="E23" s="648"/>
      <c r="F23" s="646"/>
      <c r="G23" s="646"/>
      <c r="H23" s="6" t="s">
        <v>660</v>
      </c>
      <c r="J23" s="121"/>
      <c r="K23" s="136"/>
      <c r="L23" s="127"/>
      <c r="M23" s="127"/>
      <c r="N23" s="137"/>
      <c r="O23" s="138"/>
    </row>
    <row r="24" spans="1:15" ht="21.75">
      <c r="A24" s="7">
        <v>1</v>
      </c>
      <c r="B24" s="7" t="s">
        <v>152</v>
      </c>
      <c r="C24" s="7" t="s">
        <v>167</v>
      </c>
      <c r="D24" s="7" t="s">
        <v>4109</v>
      </c>
      <c r="E24" s="9" t="s">
        <v>703</v>
      </c>
      <c r="F24" s="10" t="s">
        <v>4129</v>
      </c>
      <c r="G24" s="9" t="s">
        <v>4130</v>
      </c>
      <c r="H24" s="9">
        <v>500000</v>
      </c>
      <c r="J24" s="121"/>
      <c r="K24" s="122"/>
      <c r="L24" s="123"/>
      <c r="M24" s="123"/>
      <c r="N24" s="125"/>
      <c r="O24" s="126"/>
    </row>
    <row r="25" spans="1:15" ht="21.75">
      <c r="A25" s="7"/>
      <c r="B25" s="7"/>
      <c r="C25" s="7" t="s">
        <v>679</v>
      </c>
      <c r="D25" s="7"/>
      <c r="E25" s="9" t="s">
        <v>4131</v>
      </c>
      <c r="F25" s="10" t="s">
        <v>4129</v>
      </c>
      <c r="G25" s="9" t="s">
        <v>4130</v>
      </c>
      <c r="H25" s="9">
        <v>500000</v>
      </c>
      <c r="J25" s="121"/>
      <c r="K25" s="122"/>
      <c r="L25" s="123"/>
      <c r="M25" s="123"/>
      <c r="N25" s="125"/>
      <c r="O25" s="126"/>
    </row>
    <row r="26" spans="1:15" ht="21.75">
      <c r="A26" s="7"/>
      <c r="B26" s="7"/>
      <c r="C26" s="7"/>
      <c r="D26" s="7"/>
      <c r="E26" s="9" t="s">
        <v>4132</v>
      </c>
      <c r="F26" s="10" t="s">
        <v>4133</v>
      </c>
      <c r="G26" s="9" t="s">
        <v>4134</v>
      </c>
      <c r="H26" s="9">
        <v>500000</v>
      </c>
      <c r="J26" s="121"/>
      <c r="K26" s="136"/>
      <c r="L26" s="127"/>
      <c r="M26" s="127"/>
      <c r="N26" s="137"/>
      <c r="O26" s="138"/>
    </row>
    <row r="27" spans="1:15" ht="21.75">
      <c r="A27" s="7"/>
      <c r="B27" s="7"/>
      <c r="C27" s="7"/>
      <c r="D27" s="7"/>
      <c r="E27" s="9" t="s">
        <v>1066</v>
      </c>
      <c r="F27" s="10"/>
      <c r="G27" s="9" t="s">
        <v>3530</v>
      </c>
      <c r="H27" s="9">
        <v>-500000</v>
      </c>
      <c r="J27" s="121"/>
      <c r="K27" s="122"/>
      <c r="L27" s="123"/>
      <c r="M27" s="123"/>
      <c r="N27" s="125"/>
      <c r="O27" s="126"/>
    </row>
    <row r="28" spans="1:15" ht="21.75">
      <c r="A28" s="7"/>
      <c r="B28" s="7"/>
      <c r="C28" s="7"/>
      <c r="D28" s="7"/>
      <c r="E28" s="9"/>
      <c r="F28" s="10"/>
      <c r="G28" s="9"/>
      <c r="H28" s="9"/>
      <c r="J28" s="121"/>
      <c r="K28" s="122"/>
      <c r="L28" s="123"/>
      <c r="M28" s="123"/>
      <c r="N28" s="125"/>
      <c r="O28" s="126"/>
    </row>
    <row r="29" spans="1:15" ht="21.75">
      <c r="A29" s="7"/>
      <c r="B29" s="7"/>
      <c r="C29" s="7"/>
      <c r="D29" s="7"/>
      <c r="E29" s="9"/>
      <c r="F29" s="10"/>
      <c r="G29" s="9"/>
      <c r="H29" s="9"/>
      <c r="J29" s="121"/>
      <c r="K29" s="122"/>
      <c r="L29" s="123"/>
      <c r="M29" s="123"/>
      <c r="N29" s="125"/>
      <c r="O29" s="126"/>
    </row>
    <row r="30" spans="1:15" ht="21.75">
      <c r="A30" s="7"/>
      <c r="B30" s="7"/>
      <c r="C30" s="7"/>
      <c r="D30" s="7"/>
      <c r="E30" s="9"/>
      <c r="F30" s="10"/>
      <c r="G30" s="9"/>
      <c r="H30" s="9"/>
      <c r="J30" s="121"/>
      <c r="K30" s="122"/>
      <c r="L30" s="123"/>
      <c r="M30" s="123"/>
      <c r="N30" s="125"/>
      <c r="O30" s="126"/>
    </row>
    <row r="31" spans="1:15" ht="21.75">
      <c r="A31" s="7"/>
      <c r="B31" s="7"/>
      <c r="C31" s="7"/>
      <c r="D31" s="7"/>
      <c r="E31" s="9"/>
      <c r="F31" s="10"/>
      <c r="G31" s="9"/>
      <c r="H31" s="9"/>
      <c r="J31" s="121"/>
      <c r="K31" s="122"/>
      <c r="L31" s="123"/>
      <c r="M31" s="123"/>
      <c r="N31" s="125"/>
      <c r="O31" s="126"/>
    </row>
    <row r="32" spans="1:15" ht="21.75">
      <c r="A32" s="7"/>
      <c r="B32" s="7"/>
      <c r="C32" s="7"/>
      <c r="D32" s="7"/>
      <c r="E32" s="9"/>
      <c r="F32" s="10"/>
      <c r="G32" s="9"/>
      <c r="H32" s="9"/>
      <c r="J32" s="121"/>
      <c r="K32" s="122"/>
      <c r="L32" s="123"/>
      <c r="M32" s="123"/>
      <c r="N32" s="125"/>
      <c r="O32" s="126"/>
    </row>
    <row r="33" spans="1:15" ht="21.75">
      <c r="A33" s="7"/>
      <c r="B33" s="7"/>
      <c r="C33" s="7"/>
      <c r="D33" s="7"/>
      <c r="E33" s="9"/>
      <c r="F33" s="10"/>
      <c r="G33" s="9"/>
      <c r="H33" s="9"/>
      <c r="J33" s="121"/>
      <c r="K33" s="122"/>
      <c r="L33" s="123"/>
      <c r="M33" s="123"/>
      <c r="N33" s="125"/>
      <c r="O33" s="126"/>
    </row>
    <row r="34" spans="1:15" ht="21.75">
      <c r="A34" s="7"/>
      <c r="B34" s="7"/>
      <c r="C34" s="7"/>
      <c r="D34" s="7"/>
      <c r="E34" s="9"/>
      <c r="F34" s="10"/>
      <c r="G34" s="9"/>
      <c r="H34" s="9"/>
      <c r="J34" s="121"/>
      <c r="K34" s="122"/>
      <c r="L34" s="123"/>
      <c r="M34" s="123"/>
      <c r="N34" s="125"/>
      <c r="O34" s="126"/>
    </row>
    <row r="35" spans="1:15" ht="21.75">
      <c r="A35" s="7"/>
      <c r="B35" s="7"/>
      <c r="C35" s="7"/>
      <c r="D35" s="7"/>
      <c r="E35" s="9"/>
      <c r="F35" s="10"/>
      <c r="G35" s="9"/>
      <c r="H35" s="9"/>
      <c r="J35" s="121"/>
      <c r="K35" s="122"/>
      <c r="L35" s="123"/>
      <c r="M35" s="123"/>
      <c r="N35" s="125"/>
      <c r="O35" s="126"/>
    </row>
    <row r="36" spans="1:15" ht="21.75">
      <c r="A36" s="7"/>
      <c r="B36" s="7"/>
      <c r="C36" s="7"/>
      <c r="D36" s="7"/>
      <c r="E36" s="9"/>
      <c r="F36" s="10"/>
      <c r="G36" s="9"/>
      <c r="H36" s="9"/>
      <c r="J36" s="121"/>
      <c r="K36" s="122"/>
      <c r="L36" s="123"/>
      <c r="M36" s="123"/>
      <c r="N36" s="125"/>
      <c r="O36" s="126"/>
    </row>
    <row r="37" spans="1:15" ht="21.75">
      <c r="A37" s="7"/>
      <c r="B37" s="7"/>
      <c r="C37" s="7"/>
      <c r="D37" s="7"/>
      <c r="E37" s="9"/>
      <c r="F37" s="10"/>
      <c r="G37" s="9"/>
      <c r="H37" s="9"/>
      <c r="J37" s="121"/>
      <c r="K37" s="122"/>
      <c r="L37" s="123"/>
      <c r="M37" s="123"/>
      <c r="N37" s="125"/>
      <c r="O37" s="126"/>
    </row>
    <row r="38" spans="1:15" ht="21.75">
      <c r="A38" s="177"/>
      <c r="B38" s="177"/>
      <c r="C38" s="177"/>
      <c r="D38" s="177"/>
      <c r="E38" s="178"/>
      <c r="F38" s="179"/>
      <c r="G38" s="178"/>
      <c r="H38" s="178">
        <f>SUM(H24:H31)</f>
        <v>1000000</v>
      </c>
      <c r="J38" s="121"/>
      <c r="K38" s="122"/>
      <c r="L38" s="123"/>
      <c r="M38" s="123"/>
      <c r="N38" s="125"/>
      <c r="O38" s="126"/>
    </row>
    <row r="39" spans="1:15" ht="21.75">
      <c r="J39" s="121"/>
      <c r="K39" s="122"/>
      <c r="L39" s="123"/>
      <c r="M39" s="123"/>
      <c r="N39" s="125"/>
      <c r="O39" s="126"/>
    </row>
    <row r="40" spans="1:15" ht="21.75">
      <c r="A40" s="644" t="s">
        <v>4135</v>
      </c>
      <c r="B40" s="644"/>
      <c r="C40" s="644"/>
      <c r="D40" s="644"/>
      <c r="E40" s="644"/>
      <c r="F40" s="644"/>
      <c r="G40" s="644"/>
      <c r="H40" s="644"/>
      <c r="J40" s="121"/>
      <c r="K40" s="122"/>
      <c r="L40" s="123"/>
      <c r="M40" s="123"/>
      <c r="N40" s="125"/>
      <c r="O40" s="126"/>
    </row>
    <row r="41" spans="1:15" ht="21.75">
      <c r="A41" s="645" t="s">
        <v>653</v>
      </c>
      <c r="B41" s="647" t="s">
        <v>654</v>
      </c>
      <c r="C41" s="645" t="s">
        <v>655</v>
      </c>
      <c r="D41" s="645" t="s">
        <v>12</v>
      </c>
      <c r="E41" s="647" t="s">
        <v>656</v>
      </c>
      <c r="F41" s="645" t="s">
        <v>657</v>
      </c>
      <c r="G41" s="647" t="s">
        <v>658</v>
      </c>
      <c r="H41" s="3" t="s">
        <v>659</v>
      </c>
      <c r="J41" s="121"/>
      <c r="K41" s="139"/>
      <c r="L41" s="140"/>
      <c r="M41" s="140"/>
      <c r="N41" s="141"/>
      <c r="O41" s="142"/>
    </row>
    <row r="42" spans="1:15" ht="21.75">
      <c r="A42" s="646"/>
      <c r="B42" s="646"/>
      <c r="C42" s="646"/>
      <c r="D42" s="646"/>
      <c r="E42" s="648"/>
      <c r="F42" s="646"/>
      <c r="G42" s="646"/>
      <c r="H42" s="6" t="s">
        <v>660</v>
      </c>
    </row>
    <row r="43" spans="1:15" ht="21.75">
      <c r="A43" s="7">
        <v>1</v>
      </c>
      <c r="B43" s="7" t="s">
        <v>152</v>
      </c>
      <c r="C43" s="7" t="s">
        <v>167</v>
      </c>
      <c r="D43" s="7" t="s">
        <v>4109</v>
      </c>
      <c r="E43" s="9" t="s">
        <v>703</v>
      </c>
      <c r="F43" s="10" t="s">
        <v>4136</v>
      </c>
      <c r="G43" s="9" t="s">
        <v>1902</v>
      </c>
      <c r="H43" s="9">
        <v>500000</v>
      </c>
    </row>
    <row r="44" spans="1:15" ht="21.75">
      <c r="A44" s="7"/>
      <c r="B44" s="7"/>
      <c r="C44" s="7" t="s">
        <v>679</v>
      </c>
      <c r="D44" s="7"/>
      <c r="E44" s="9" t="s">
        <v>4137</v>
      </c>
      <c r="F44" s="10" t="s">
        <v>4136</v>
      </c>
      <c r="G44" s="9" t="s">
        <v>1902</v>
      </c>
      <c r="H44" s="9">
        <v>500000</v>
      </c>
    </row>
    <row r="45" spans="1:15" ht="21.75">
      <c r="A45" s="7"/>
      <c r="B45" s="7"/>
      <c r="C45" s="7"/>
      <c r="D45" s="7"/>
      <c r="E45" s="9" t="s">
        <v>4138</v>
      </c>
      <c r="F45" s="10" t="s">
        <v>4139</v>
      </c>
      <c r="G45" s="9" t="s">
        <v>4140</v>
      </c>
      <c r="H45" s="9">
        <v>500000</v>
      </c>
    </row>
    <row r="46" spans="1:15" ht="21.75">
      <c r="A46" s="7"/>
      <c r="B46" s="7"/>
      <c r="C46" s="7"/>
      <c r="D46" s="7"/>
      <c r="E46" s="9" t="s">
        <v>3634</v>
      </c>
      <c r="F46" s="10" t="s">
        <v>1056</v>
      </c>
      <c r="G46" s="9" t="s">
        <v>1907</v>
      </c>
      <c r="H46" s="9">
        <v>500000</v>
      </c>
      <c r="I46" s="51" t="s">
        <v>4141</v>
      </c>
    </row>
    <row r="47" spans="1:15" ht="21.75">
      <c r="A47" s="7"/>
      <c r="B47" s="7"/>
      <c r="C47" s="7"/>
      <c r="D47" s="7"/>
      <c r="E47" s="9" t="s">
        <v>4142</v>
      </c>
      <c r="F47" s="10" t="s">
        <v>2369</v>
      </c>
      <c r="G47" s="9" t="s">
        <v>1347</v>
      </c>
      <c r="H47" s="9">
        <v>2000000</v>
      </c>
      <c r="I47" s="51" t="s">
        <v>4143</v>
      </c>
    </row>
    <row r="48" spans="1:15" ht="21.75">
      <c r="A48" s="7"/>
      <c r="B48" s="7"/>
      <c r="C48" s="7"/>
      <c r="D48" s="7"/>
      <c r="E48" s="9" t="s">
        <v>4144</v>
      </c>
      <c r="F48" s="10" t="s">
        <v>3800</v>
      </c>
      <c r="G48" s="9" t="s">
        <v>2437</v>
      </c>
      <c r="H48" s="9">
        <v>2400000</v>
      </c>
    </row>
    <row r="49" spans="1:8" ht="21.75">
      <c r="A49" s="7"/>
      <c r="B49" s="7"/>
      <c r="C49" s="7"/>
      <c r="D49" s="7"/>
      <c r="E49" s="9" t="s">
        <v>4145</v>
      </c>
      <c r="F49" s="10" t="s">
        <v>4146</v>
      </c>
      <c r="G49" s="9" t="s">
        <v>4147</v>
      </c>
      <c r="H49" s="9">
        <v>2400000</v>
      </c>
    </row>
    <row r="50" spans="1:8" ht="21.75">
      <c r="A50" s="7"/>
      <c r="B50" s="7"/>
      <c r="C50" s="7"/>
      <c r="D50" s="7"/>
      <c r="E50" s="9" t="s">
        <v>1066</v>
      </c>
      <c r="F50" s="10" t="s">
        <v>4146</v>
      </c>
      <c r="G50" s="9" t="s">
        <v>4147</v>
      </c>
      <c r="H50" s="9">
        <v>-500000</v>
      </c>
    </row>
    <row r="51" spans="1:8" ht="21.75">
      <c r="A51" s="7"/>
      <c r="B51" s="7"/>
      <c r="C51" s="7"/>
      <c r="D51" s="7"/>
      <c r="E51" s="9"/>
      <c r="F51" s="10"/>
      <c r="G51" s="9"/>
      <c r="H51" s="9"/>
    </row>
    <row r="52" spans="1:8" ht="21.75">
      <c r="A52" s="7"/>
      <c r="B52" s="7"/>
      <c r="C52" s="7"/>
      <c r="D52" s="7"/>
      <c r="E52" s="9"/>
      <c r="F52" s="10"/>
      <c r="G52" s="9"/>
      <c r="H52" s="9"/>
    </row>
    <row r="53" spans="1:8" ht="21.75">
      <c r="A53" s="7"/>
      <c r="B53" s="7"/>
      <c r="C53" s="7"/>
      <c r="D53" s="7"/>
      <c r="E53" s="9"/>
      <c r="F53" s="10"/>
      <c r="G53" s="9"/>
      <c r="H53" s="9"/>
    </row>
    <row r="54" spans="1:8" ht="21.75">
      <c r="A54" s="7"/>
      <c r="B54" s="7"/>
      <c r="C54" s="7"/>
      <c r="D54" s="7"/>
      <c r="E54" s="9"/>
      <c r="F54" s="10"/>
      <c r="G54" s="9"/>
      <c r="H54" s="9"/>
    </row>
    <row r="55" spans="1:8" ht="21.75">
      <c r="A55" s="7"/>
      <c r="B55" s="7"/>
      <c r="C55" s="7"/>
      <c r="D55" s="7"/>
      <c r="E55" s="9"/>
      <c r="F55" s="10"/>
      <c r="G55" s="9"/>
      <c r="H55" s="9"/>
    </row>
    <row r="56" spans="1:8" ht="21.75">
      <c r="A56" s="7"/>
      <c r="B56" s="7"/>
      <c r="C56" s="7"/>
      <c r="D56" s="7"/>
      <c r="E56" s="9"/>
      <c r="F56" s="10"/>
      <c r="G56" s="9"/>
      <c r="H56" s="9"/>
    </row>
    <row r="57" spans="1:8" ht="21.75">
      <c r="A57" s="177"/>
      <c r="B57" s="177"/>
      <c r="C57" s="177"/>
      <c r="D57" s="177"/>
      <c r="E57" s="178"/>
      <c r="F57" s="179"/>
      <c r="G57" s="178"/>
      <c r="H57" s="178">
        <f>SUM(H43:H50)</f>
        <v>8300000</v>
      </c>
    </row>
    <row r="60" spans="1:8">
      <c r="A60" s="411" t="s">
        <v>648</v>
      </c>
    </row>
    <row r="61" spans="1:8" ht="21.75">
      <c r="A61" s="644" t="s">
        <v>4148</v>
      </c>
      <c r="B61" s="644"/>
      <c r="C61" s="644"/>
      <c r="D61" s="644"/>
      <c r="E61" s="644"/>
      <c r="F61" s="644"/>
      <c r="G61" s="644"/>
      <c r="H61" s="644"/>
    </row>
    <row r="62" spans="1:8" ht="21.75">
      <c r="A62" s="645" t="s">
        <v>653</v>
      </c>
      <c r="B62" s="647" t="s">
        <v>654</v>
      </c>
      <c r="C62" s="645" t="s">
        <v>655</v>
      </c>
      <c r="D62" s="645" t="s">
        <v>12</v>
      </c>
      <c r="E62" s="647" t="s">
        <v>656</v>
      </c>
      <c r="F62" s="645" t="s">
        <v>657</v>
      </c>
      <c r="G62" s="647" t="s">
        <v>658</v>
      </c>
      <c r="H62" s="3" t="s">
        <v>659</v>
      </c>
    </row>
    <row r="63" spans="1:8" ht="21.75">
      <c r="A63" s="646"/>
      <c r="B63" s="646"/>
      <c r="C63" s="646"/>
      <c r="D63" s="646"/>
      <c r="E63" s="648"/>
      <c r="F63" s="646"/>
      <c r="G63" s="646"/>
      <c r="H63" s="6" t="s">
        <v>660</v>
      </c>
    </row>
    <row r="64" spans="1:8" ht="21.75">
      <c r="A64" s="7">
        <v>1</v>
      </c>
      <c r="B64" s="7" t="s">
        <v>152</v>
      </c>
      <c r="C64" s="7" t="s">
        <v>167</v>
      </c>
      <c r="D64" s="7" t="s">
        <v>4109</v>
      </c>
      <c r="E64" s="9" t="s">
        <v>4149</v>
      </c>
      <c r="F64" s="10" t="s">
        <v>4150</v>
      </c>
      <c r="G64" s="9" t="s">
        <v>2532</v>
      </c>
      <c r="H64" s="9">
        <f>800000*4</f>
        <v>3200000</v>
      </c>
    </row>
    <row r="65" spans="1:9" ht="21.75">
      <c r="A65" s="7"/>
      <c r="B65" s="7"/>
      <c r="C65" s="7" t="s">
        <v>679</v>
      </c>
      <c r="D65" s="7"/>
      <c r="E65" s="9" t="s">
        <v>4151</v>
      </c>
      <c r="F65" s="10" t="s">
        <v>4152</v>
      </c>
      <c r="G65" s="9" t="s">
        <v>793</v>
      </c>
      <c r="H65" s="9">
        <v>2400000</v>
      </c>
    </row>
    <row r="66" spans="1:9" ht="21.75">
      <c r="A66" s="7"/>
      <c r="B66" s="7"/>
      <c r="C66" s="7"/>
      <c r="D66" s="7"/>
      <c r="E66" s="9" t="s">
        <v>170</v>
      </c>
      <c r="F66" s="10" t="s">
        <v>4153</v>
      </c>
      <c r="G66" s="9" t="s">
        <v>3384</v>
      </c>
      <c r="H66" s="9">
        <v>2400000</v>
      </c>
      <c r="I66" s="51" t="s">
        <v>664</v>
      </c>
    </row>
    <row r="67" spans="1:9" ht="21.75">
      <c r="A67" s="7"/>
      <c r="B67" s="7"/>
      <c r="C67" s="7"/>
      <c r="D67" s="7"/>
      <c r="E67" s="9"/>
      <c r="F67" s="10"/>
      <c r="G67" s="9"/>
      <c r="H67" s="9"/>
    </row>
    <row r="68" spans="1:9" ht="21.75">
      <c r="A68" s="7"/>
      <c r="B68" s="7"/>
      <c r="C68" s="7"/>
      <c r="D68" s="7"/>
      <c r="E68" s="9"/>
      <c r="F68" s="10"/>
      <c r="G68" s="9"/>
      <c r="H68" s="9"/>
    </row>
    <row r="69" spans="1:9" ht="21.75">
      <c r="A69" s="7"/>
      <c r="B69" s="7"/>
      <c r="C69" s="7"/>
      <c r="D69" s="7"/>
      <c r="E69" s="9"/>
      <c r="F69" s="10"/>
      <c r="G69" s="9"/>
      <c r="H69" s="9"/>
    </row>
    <row r="70" spans="1:9" ht="21.75">
      <c r="A70" s="7"/>
      <c r="B70" s="7"/>
      <c r="C70" s="7"/>
      <c r="D70" s="7"/>
      <c r="E70" s="9"/>
      <c r="F70" s="10"/>
      <c r="G70" s="9"/>
      <c r="H70" s="9"/>
    </row>
    <row r="71" spans="1:9" ht="21.75">
      <c r="A71" s="7"/>
      <c r="B71" s="7"/>
      <c r="C71" s="7"/>
      <c r="D71" s="7"/>
      <c r="E71" s="9"/>
      <c r="F71" s="10"/>
      <c r="G71" s="9"/>
      <c r="H71" s="9"/>
    </row>
    <row r="72" spans="1:9" ht="21.75">
      <c r="A72" s="7"/>
      <c r="B72" s="7"/>
      <c r="C72" s="7"/>
      <c r="D72" s="7"/>
      <c r="E72" s="9"/>
      <c r="F72" s="10"/>
      <c r="G72" s="9"/>
      <c r="H72" s="9"/>
    </row>
    <row r="73" spans="1:9" ht="21.75">
      <c r="A73" s="7"/>
      <c r="B73" s="7"/>
      <c r="C73" s="7"/>
      <c r="D73" s="7"/>
      <c r="E73" s="9"/>
      <c r="F73" s="10"/>
      <c r="G73" s="9"/>
      <c r="H73" s="9"/>
    </row>
    <row r="74" spans="1:9" ht="21.75">
      <c r="A74" s="7"/>
      <c r="B74" s="7"/>
      <c r="C74" s="7"/>
      <c r="D74" s="7"/>
      <c r="E74" s="9"/>
      <c r="F74" s="10"/>
      <c r="G74" s="9"/>
      <c r="H74" s="9"/>
    </row>
    <row r="75" spans="1:9" ht="21.75">
      <c r="A75" s="7"/>
      <c r="B75" s="7"/>
      <c r="C75" s="7"/>
      <c r="D75" s="7"/>
      <c r="E75" s="9"/>
      <c r="F75" s="10"/>
      <c r="G75" s="9"/>
      <c r="H75" s="9"/>
    </row>
    <row r="76" spans="1:9" ht="21.75">
      <c r="A76" s="7"/>
      <c r="B76" s="7"/>
      <c r="C76" s="7"/>
      <c r="D76" s="7"/>
      <c r="E76" s="9"/>
      <c r="F76" s="10"/>
      <c r="G76" s="9"/>
      <c r="H76" s="9"/>
    </row>
    <row r="77" spans="1:9" ht="21.75">
      <c r="A77" s="7"/>
      <c r="B77" s="7"/>
      <c r="C77" s="7"/>
      <c r="D77" s="7"/>
      <c r="E77" s="9"/>
      <c r="F77" s="10"/>
      <c r="G77" s="9"/>
      <c r="H77" s="9"/>
    </row>
    <row r="78" spans="1:9" ht="21.75">
      <c r="A78" s="177"/>
      <c r="B78" s="177"/>
      <c r="C78" s="177"/>
      <c r="D78" s="177"/>
      <c r="E78" s="178"/>
      <c r="F78" s="179"/>
      <c r="G78" s="178"/>
      <c r="H78" s="178">
        <f>SUM(H64:H71)</f>
        <v>8000000</v>
      </c>
    </row>
  </sheetData>
  <mergeCells count="38">
    <mergeCell ref="A2:H2"/>
    <mergeCell ref="K2:N2"/>
    <mergeCell ref="A3:A4"/>
    <mergeCell ref="B3:B4"/>
    <mergeCell ref="C3:C4"/>
    <mergeCell ref="D3:D4"/>
    <mergeCell ref="E3:E4"/>
    <mergeCell ref="F3:F4"/>
    <mergeCell ref="G3:G4"/>
    <mergeCell ref="K3:K4"/>
    <mergeCell ref="L3:L4"/>
    <mergeCell ref="M3:M4"/>
    <mergeCell ref="N3:N4"/>
    <mergeCell ref="O3:O4"/>
    <mergeCell ref="A21:H21"/>
    <mergeCell ref="F22:F23"/>
    <mergeCell ref="G22:G23"/>
    <mergeCell ref="A40:H40"/>
    <mergeCell ref="F41:F42"/>
    <mergeCell ref="G41:G42"/>
    <mergeCell ref="A22:A23"/>
    <mergeCell ref="B22:B23"/>
    <mergeCell ref="C22:C23"/>
    <mergeCell ref="D22:D23"/>
    <mergeCell ref="E22:E23"/>
    <mergeCell ref="A41:A42"/>
    <mergeCell ref="B41:B42"/>
    <mergeCell ref="C41:C42"/>
    <mergeCell ref="D41:D42"/>
    <mergeCell ref="E41:E42"/>
    <mergeCell ref="A61:H61"/>
    <mergeCell ref="A62:A63"/>
    <mergeCell ref="B62:B63"/>
    <mergeCell ref="C62:C63"/>
    <mergeCell ref="D62:D63"/>
    <mergeCell ref="E62:E63"/>
    <mergeCell ref="F62:F63"/>
    <mergeCell ref="G62:G63"/>
  </mergeCells>
  <hyperlinks>
    <hyperlink ref="A1" location="Name!A1" display="Name!A1" xr:uid="{EDAA2254-46E7-4290-9984-747D06D4F7D9}"/>
    <hyperlink ref="A60" location="Name!A1" display="Name!A1" xr:uid="{63F6C858-4677-4F63-86A4-CE8ECA118D16}"/>
  </hyperlinks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311B-DA5D-403D-A231-1227A3145531}">
  <dimension ref="A1:R40"/>
  <sheetViews>
    <sheetView workbookViewId="0">
      <selection activeCell="B1" sqref="B1"/>
    </sheetView>
  </sheetViews>
  <sheetFormatPr defaultColWidth="9.140625" defaultRowHeight="18"/>
  <cols>
    <col min="1" max="1" width="6.140625" style="51" customWidth="1"/>
    <col min="2" max="3" width="15.42578125" style="51" customWidth="1"/>
    <col min="4" max="4" width="27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4" style="51" customWidth="1"/>
    <col min="10" max="12" width="9.140625" style="51"/>
    <col min="13" max="13" width="2.5703125" style="51" customWidth="1"/>
    <col min="14" max="15" width="9.140625" style="51"/>
    <col min="16" max="16" width="40.5703125" style="51" customWidth="1"/>
    <col min="17" max="18" width="18.140625" style="51" customWidth="1"/>
    <col min="19" max="16384" width="9.140625" style="51"/>
  </cols>
  <sheetData>
    <row r="1" spans="1:18">
      <c r="B1" s="411" t="s">
        <v>648</v>
      </c>
    </row>
    <row r="2" spans="1:18" ht="21.75">
      <c r="A2" s="644" t="s">
        <v>4154</v>
      </c>
      <c r="B2" s="644"/>
      <c r="C2" s="644"/>
      <c r="D2" s="644"/>
      <c r="E2" s="644"/>
      <c r="F2" s="644"/>
      <c r="G2" s="644"/>
      <c r="H2" s="644"/>
      <c r="I2" s="143"/>
      <c r="J2" s="143"/>
      <c r="K2" s="143"/>
      <c r="L2" s="143"/>
      <c r="M2" s="121"/>
      <c r="N2" s="644" t="s">
        <v>973</v>
      </c>
      <c r="O2" s="644"/>
      <c r="P2" s="644"/>
      <c r="Q2" s="644"/>
    </row>
    <row r="3" spans="1:18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I3" s="143"/>
      <c r="J3" s="143"/>
      <c r="K3" s="143"/>
      <c r="L3" s="143"/>
      <c r="M3" s="121"/>
      <c r="N3" s="654" t="s">
        <v>653</v>
      </c>
      <c r="O3" s="659" t="s">
        <v>974</v>
      </c>
      <c r="P3" s="661" t="s">
        <v>975</v>
      </c>
      <c r="Q3" s="662" t="s">
        <v>976</v>
      </c>
      <c r="R3" s="664" t="s">
        <v>977</v>
      </c>
    </row>
    <row r="4" spans="1:18" ht="21.75">
      <c r="A4" s="646"/>
      <c r="B4" s="646"/>
      <c r="C4" s="646"/>
      <c r="D4" s="646"/>
      <c r="E4" s="648"/>
      <c r="F4" s="646"/>
      <c r="G4" s="646"/>
      <c r="H4" s="6" t="s">
        <v>660</v>
      </c>
      <c r="I4" s="143"/>
      <c r="J4" s="143"/>
      <c r="K4" s="143"/>
      <c r="L4" s="143"/>
      <c r="M4" s="121"/>
      <c r="N4" s="655"/>
      <c r="O4" s="660"/>
      <c r="P4" s="660"/>
      <c r="Q4" s="663"/>
      <c r="R4" s="665"/>
    </row>
    <row r="5" spans="1:18" ht="21.75">
      <c r="A5" s="7">
        <v>1</v>
      </c>
      <c r="B5" s="7" t="s">
        <v>152</v>
      </c>
      <c r="C5" s="7" t="s">
        <v>160</v>
      </c>
      <c r="D5" s="7" t="s">
        <v>4155</v>
      </c>
      <c r="E5" s="9" t="s">
        <v>4156</v>
      </c>
      <c r="F5" s="10" t="s">
        <v>4157</v>
      </c>
      <c r="G5" s="9" t="s">
        <v>4158</v>
      </c>
      <c r="H5" s="9">
        <v>3000000</v>
      </c>
      <c r="I5" s="143" t="s">
        <v>4159</v>
      </c>
      <c r="J5" s="143"/>
      <c r="K5" s="143"/>
      <c r="L5" s="143"/>
      <c r="M5" s="121"/>
      <c r="N5" s="122"/>
      <c r="O5" s="123" t="s">
        <v>1572</v>
      </c>
      <c r="P5" s="165" t="s">
        <v>4160</v>
      </c>
      <c r="Q5" s="125">
        <v>3000</v>
      </c>
      <c r="R5" s="126"/>
    </row>
    <row r="6" spans="1:18" ht="21.75">
      <c r="A6" s="7"/>
      <c r="B6" s="7"/>
      <c r="C6" s="7" t="s">
        <v>679</v>
      </c>
      <c r="D6" s="7"/>
      <c r="E6" s="9" t="s">
        <v>4161</v>
      </c>
      <c r="F6" s="10" t="s">
        <v>4162</v>
      </c>
      <c r="G6" s="9" t="s">
        <v>4163</v>
      </c>
      <c r="H6" s="9">
        <v>500000</v>
      </c>
      <c r="I6" s="143" t="s">
        <v>4164</v>
      </c>
      <c r="J6" s="143"/>
      <c r="K6" s="143"/>
      <c r="L6" s="143"/>
      <c r="M6" s="121"/>
      <c r="N6" s="122"/>
      <c r="O6" s="123" t="s">
        <v>988</v>
      </c>
      <c r="P6" s="127" t="s">
        <v>4165</v>
      </c>
      <c r="Q6" s="125">
        <v>10000</v>
      </c>
      <c r="R6" s="126"/>
    </row>
    <row r="7" spans="1:18" ht="21.75">
      <c r="A7" s="7"/>
      <c r="B7" s="7"/>
      <c r="C7" s="7"/>
      <c r="D7" s="7"/>
      <c r="E7" s="9" t="s">
        <v>4166</v>
      </c>
      <c r="F7" s="10" t="s">
        <v>4167</v>
      </c>
      <c r="G7" s="9" t="s">
        <v>4168</v>
      </c>
      <c r="H7" s="9">
        <v>1500000</v>
      </c>
      <c r="I7" s="143" t="s">
        <v>4169</v>
      </c>
      <c r="J7" s="143"/>
      <c r="K7" s="143"/>
      <c r="L7" s="143"/>
      <c r="M7" s="121"/>
      <c r="N7" s="122"/>
      <c r="O7" s="123" t="s">
        <v>988</v>
      </c>
      <c r="P7" s="127" t="s">
        <v>4170</v>
      </c>
      <c r="Q7" s="125">
        <v>165000</v>
      </c>
      <c r="R7" s="126"/>
    </row>
    <row r="8" spans="1:18" ht="21.75">
      <c r="A8" s="7"/>
      <c r="B8" s="7"/>
      <c r="C8" s="7"/>
      <c r="D8" s="7"/>
      <c r="E8" s="9" t="s">
        <v>4171</v>
      </c>
      <c r="F8" s="10" t="s">
        <v>4172</v>
      </c>
      <c r="G8" s="9" t="s">
        <v>3058</v>
      </c>
      <c r="H8" s="9">
        <v>2000000</v>
      </c>
      <c r="I8" s="143" t="s">
        <v>3691</v>
      </c>
      <c r="J8" s="143"/>
      <c r="K8" s="143"/>
      <c r="L8" s="143"/>
      <c r="M8" s="121"/>
      <c r="N8" s="122"/>
      <c r="O8" s="123" t="s">
        <v>4173</v>
      </c>
      <c r="P8" s="127" t="s">
        <v>4174</v>
      </c>
      <c r="Q8" s="125">
        <v>5000</v>
      </c>
      <c r="R8" s="126"/>
    </row>
    <row r="9" spans="1:18" ht="21.75">
      <c r="A9" s="7"/>
      <c r="B9" s="7"/>
      <c r="C9" s="7"/>
      <c r="D9" s="7"/>
      <c r="E9" s="9" t="s">
        <v>4175</v>
      </c>
      <c r="F9" s="10" t="s">
        <v>4176</v>
      </c>
      <c r="G9" s="9" t="s">
        <v>705</v>
      </c>
      <c r="H9" s="9">
        <v>500000</v>
      </c>
      <c r="I9" s="143"/>
      <c r="J9" s="143"/>
      <c r="K9" s="143"/>
      <c r="L9" s="143"/>
      <c r="M9" s="121"/>
      <c r="N9" s="122"/>
      <c r="O9" s="123" t="s">
        <v>1568</v>
      </c>
      <c r="P9" s="123" t="s">
        <v>1399</v>
      </c>
      <c r="Q9" s="125">
        <v>81000</v>
      </c>
      <c r="R9" s="126"/>
    </row>
    <row r="10" spans="1:18" ht="21.75">
      <c r="A10" s="7"/>
      <c r="B10" s="7"/>
      <c r="C10" s="7"/>
      <c r="D10" s="7"/>
      <c r="E10" s="9"/>
      <c r="F10" s="10"/>
      <c r="G10" s="9"/>
      <c r="H10" s="9"/>
      <c r="I10" s="143"/>
      <c r="J10" s="143"/>
      <c r="K10" s="143"/>
      <c r="L10" s="143"/>
      <c r="M10" s="121"/>
      <c r="N10" s="122"/>
      <c r="O10" s="123" t="s">
        <v>4110</v>
      </c>
      <c r="P10" s="123" t="s">
        <v>998</v>
      </c>
      <c r="Q10" s="125">
        <v>175080</v>
      </c>
      <c r="R10" s="126"/>
    </row>
    <row r="11" spans="1:18" ht="21.75">
      <c r="A11" s="7"/>
      <c r="B11" s="7"/>
      <c r="C11" s="7"/>
      <c r="D11" s="7"/>
      <c r="E11" s="9"/>
      <c r="F11" s="10"/>
      <c r="G11" s="9"/>
      <c r="H11" s="9"/>
      <c r="I11" s="143"/>
      <c r="J11" s="143"/>
      <c r="K11" s="143"/>
      <c r="L11" s="143"/>
      <c r="M11" s="121"/>
      <c r="N11" s="122"/>
      <c r="O11" s="123" t="s">
        <v>4110</v>
      </c>
      <c r="P11" s="123" t="s">
        <v>4177</v>
      </c>
      <c r="Q11" s="125">
        <v>10000</v>
      </c>
      <c r="R11" s="126"/>
    </row>
    <row r="12" spans="1:18" ht="21.75">
      <c r="A12" s="7"/>
      <c r="B12" s="7"/>
      <c r="C12" s="7"/>
      <c r="D12" s="7"/>
      <c r="E12" s="9"/>
      <c r="F12" s="10"/>
      <c r="G12" s="9"/>
      <c r="H12" s="9"/>
      <c r="I12" s="143"/>
      <c r="J12" s="143"/>
      <c r="K12" s="143"/>
      <c r="L12" s="143"/>
      <c r="M12" s="121"/>
      <c r="N12" s="122"/>
      <c r="O12" s="123"/>
      <c r="P12" s="123"/>
      <c r="Q12" s="125"/>
      <c r="R12" s="126"/>
    </row>
    <row r="13" spans="1:18" ht="21.75">
      <c r="A13" s="166"/>
      <c r="B13" s="166"/>
      <c r="C13" s="166"/>
      <c r="D13" s="166"/>
      <c r="E13" s="167"/>
      <c r="F13" s="168"/>
      <c r="G13" s="167"/>
      <c r="H13" s="167">
        <f>SUM(H5:H9)</f>
        <v>7500000</v>
      </c>
      <c r="I13" s="169"/>
      <c r="J13" s="169"/>
      <c r="K13" s="169"/>
      <c r="L13" s="169"/>
      <c r="M13" s="121"/>
      <c r="N13" s="170"/>
      <c r="O13" s="171"/>
      <c r="P13" s="171"/>
      <c r="Q13" s="172">
        <f>SUM(Q5:Q12)</f>
        <v>449080</v>
      </c>
      <c r="R13" s="173">
        <f>H13-Q13</f>
        <v>7050920</v>
      </c>
    </row>
    <row r="14" spans="1:18" ht="21.75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21"/>
      <c r="N14" s="122"/>
      <c r="O14" s="123"/>
      <c r="P14" s="123"/>
      <c r="Q14" s="125"/>
      <c r="R14" s="126"/>
    </row>
    <row r="15" spans="1:18" ht="21.75">
      <c r="M15" s="121"/>
      <c r="N15" s="122"/>
      <c r="O15" s="123"/>
      <c r="P15" s="123"/>
      <c r="Q15" s="125"/>
      <c r="R15" s="126"/>
    </row>
    <row r="16" spans="1:18" ht="21.75">
      <c r="A16" s="644" t="s">
        <v>4178</v>
      </c>
      <c r="B16" s="644"/>
      <c r="C16" s="644"/>
      <c r="D16" s="644"/>
      <c r="E16" s="644"/>
      <c r="F16" s="644"/>
      <c r="G16" s="644"/>
      <c r="H16" s="644"/>
      <c r="M16" s="121"/>
      <c r="N16" s="122"/>
      <c r="O16" s="123"/>
      <c r="P16" s="123"/>
      <c r="Q16" s="125"/>
      <c r="R16" s="126"/>
    </row>
    <row r="17" spans="1:18" ht="21.75">
      <c r="A17" s="645" t="s">
        <v>653</v>
      </c>
      <c r="B17" s="647" t="s">
        <v>654</v>
      </c>
      <c r="C17" s="645" t="s">
        <v>655</v>
      </c>
      <c r="D17" s="645" t="s">
        <v>12</v>
      </c>
      <c r="E17" s="647" t="s">
        <v>656</v>
      </c>
      <c r="F17" s="645" t="s">
        <v>657</v>
      </c>
      <c r="G17" s="647" t="s">
        <v>658</v>
      </c>
      <c r="H17" s="3" t="s">
        <v>659</v>
      </c>
      <c r="M17" s="121"/>
      <c r="N17" s="122"/>
      <c r="O17" s="123"/>
      <c r="P17" s="123"/>
      <c r="Q17" s="125"/>
      <c r="R17" s="126"/>
    </row>
    <row r="18" spans="1:18" ht="21.75">
      <c r="A18" s="646"/>
      <c r="B18" s="646"/>
      <c r="C18" s="646"/>
      <c r="D18" s="646"/>
      <c r="E18" s="648"/>
      <c r="F18" s="646"/>
      <c r="G18" s="646"/>
      <c r="H18" s="6" t="s">
        <v>660</v>
      </c>
      <c r="M18" s="121"/>
      <c r="N18" s="122"/>
      <c r="O18" s="123"/>
      <c r="P18" s="123"/>
      <c r="Q18" s="125"/>
      <c r="R18" s="126"/>
    </row>
    <row r="19" spans="1:18" ht="21.75">
      <c r="A19" s="7">
        <v>1</v>
      </c>
      <c r="B19" s="7" t="s">
        <v>152</v>
      </c>
      <c r="C19" s="7" t="s">
        <v>160</v>
      </c>
      <c r="D19" s="7" t="s">
        <v>4155</v>
      </c>
      <c r="E19" s="9" t="s">
        <v>703</v>
      </c>
      <c r="F19" s="10" t="s">
        <v>4179</v>
      </c>
      <c r="G19" s="9" t="s">
        <v>4180</v>
      </c>
      <c r="H19" s="9">
        <v>500000</v>
      </c>
      <c r="M19" s="121"/>
      <c r="N19" s="122"/>
      <c r="O19" s="123"/>
      <c r="P19" s="123"/>
      <c r="Q19" s="125"/>
      <c r="R19" s="126"/>
    </row>
    <row r="20" spans="1:18" ht="21.75">
      <c r="A20" s="7"/>
      <c r="B20" s="7"/>
      <c r="C20" s="7" t="s">
        <v>679</v>
      </c>
      <c r="D20" s="7"/>
      <c r="E20" s="9" t="s">
        <v>2917</v>
      </c>
      <c r="F20" s="10" t="s">
        <v>4179</v>
      </c>
      <c r="G20" s="9" t="s">
        <v>4180</v>
      </c>
      <c r="H20" s="9">
        <v>500000</v>
      </c>
      <c r="M20" s="121"/>
      <c r="N20" s="122"/>
      <c r="O20" s="123"/>
      <c r="P20" s="123"/>
      <c r="Q20" s="125"/>
      <c r="R20" s="126"/>
    </row>
    <row r="21" spans="1:18" ht="21.75">
      <c r="A21" s="7"/>
      <c r="B21" s="7"/>
      <c r="C21" s="7"/>
      <c r="D21" s="7"/>
      <c r="E21" s="9" t="s">
        <v>4181</v>
      </c>
      <c r="F21" s="10" t="s">
        <v>4182</v>
      </c>
      <c r="G21" s="9" t="s">
        <v>3042</v>
      </c>
      <c r="H21" s="9">
        <v>1000000</v>
      </c>
      <c r="M21" s="121"/>
      <c r="N21" s="122"/>
      <c r="O21" s="123"/>
      <c r="P21" s="123"/>
      <c r="Q21" s="125"/>
      <c r="R21" s="126"/>
    </row>
    <row r="22" spans="1:18" ht="21.75">
      <c r="A22" s="7"/>
      <c r="B22" s="7"/>
      <c r="C22" s="7"/>
      <c r="D22" s="7"/>
      <c r="E22" s="9"/>
      <c r="F22" s="10"/>
      <c r="G22" s="9"/>
      <c r="H22" s="9"/>
      <c r="M22" s="121"/>
      <c r="N22" s="122"/>
      <c r="O22" s="123"/>
      <c r="P22" s="123"/>
      <c r="Q22" s="125"/>
      <c r="R22" s="126"/>
    </row>
    <row r="23" spans="1:18" ht="21.75">
      <c r="A23" s="7"/>
      <c r="B23" s="7"/>
      <c r="C23" s="7"/>
      <c r="D23" s="7"/>
      <c r="E23" s="9"/>
      <c r="F23" s="10"/>
      <c r="G23" s="9"/>
      <c r="H23" s="9"/>
      <c r="M23" s="121"/>
      <c r="N23" s="122"/>
      <c r="O23" s="123"/>
      <c r="P23" s="123"/>
      <c r="Q23" s="125"/>
      <c r="R23" s="126"/>
    </row>
    <row r="24" spans="1:18" ht="21.75">
      <c r="A24" s="7"/>
      <c r="B24" s="7"/>
      <c r="C24" s="7"/>
      <c r="D24" s="7"/>
      <c r="E24" s="9"/>
      <c r="F24" s="10"/>
      <c r="G24" s="9"/>
      <c r="H24" s="9"/>
      <c r="M24" s="121"/>
      <c r="N24" s="122"/>
      <c r="O24" s="123"/>
      <c r="P24" s="123"/>
      <c r="Q24" s="125"/>
      <c r="R24" s="126"/>
    </row>
    <row r="25" spans="1:18" ht="21.75">
      <c r="A25" s="7"/>
      <c r="B25" s="7"/>
      <c r="C25" s="7"/>
      <c r="D25" s="7"/>
      <c r="E25" s="9"/>
      <c r="F25" s="10"/>
      <c r="G25" s="9"/>
      <c r="H25" s="9"/>
      <c r="M25" s="121"/>
      <c r="N25" s="122"/>
      <c r="O25" s="123"/>
      <c r="P25" s="123"/>
      <c r="Q25" s="125"/>
      <c r="R25" s="126"/>
    </row>
    <row r="26" spans="1:18" ht="21.75">
      <c r="A26" s="7"/>
      <c r="B26" s="7"/>
      <c r="C26" s="7"/>
      <c r="D26" s="7"/>
      <c r="E26" s="9"/>
      <c r="F26" s="10"/>
      <c r="G26" s="9"/>
      <c r="H26" s="9"/>
      <c r="M26" s="121"/>
      <c r="N26" s="122"/>
      <c r="O26" s="123"/>
      <c r="P26" s="123"/>
      <c r="Q26" s="125"/>
      <c r="R26" s="126"/>
    </row>
    <row r="27" spans="1:18" ht="21.75">
      <c r="A27" s="166"/>
      <c r="B27" s="166"/>
      <c r="C27" s="166"/>
      <c r="D27" s="166"/>
      <c r="E27" s="167"/>
      <c r="F27" s="168"/>
      <c r="G27" s="167"/>
      <c r="H27" s="167">
        <f>SUM(H19:H23)</f>
        <v>2000000</v>
      </c>
      <c r="M27" s="121"/>
      <c r="N27" s="122"/>
      <c r="O27" s="123"/>
      <c r="P27" s="123"/>
      <c r="Q27" s="125"/>
      <c r="R27" s="126"/>
    </row>
    <row r="28" spans="1:18" ht="21.75">
      <c r="M28" s="121"/>
      <c r="N28" s="139"/>
      <c r="O28" s="140"/>
      <c r="P28" s="140"/>
      <c r="Q28" s="141"/>
      <c r="R28" s="142"/>
    </row>
    <row r="29" spans="1:18" ht="21.75">
      <c r="A29" s="644" t="s">
        <v>159</v>
      </c>
      <c r="B29" s="644"/>
      <c r="C29" s="644"/>
      <c r="D29" s="644"/>
      <c r="E29" s="644"/>
      <c r="F29" s="644"/>
      <c r="G29" s="644"/>
      <c r="H29" s="644"/>
    </row>
    <row r="30" spans="1:18" ht="21.75">
      <c r="A30" s="645" t="s">
        <v>653</v>
      </c>
      <c r="B30" s="647" t="s">
        <v>654</v>
      </c>
      <c r="C30" s="645" t="s">
        <v>655</v>
      </c>
      <c r="D30" s="645" t="s">
        <v>12</v>
      </c>
      <c r="E30" s="647" t="s">
        <v>656</v>
      </c>
      <c r="F30" s="645" t="s">
        <v>657</v>
      </c>
      <c r="G30" s="647" t="s">
        <v>658</v>
      </c>
      <c r="H30" s="3" t="s">
        <v>659</v>
      </c>
    </row>
    <row r="31" spans="1:18" ht="21.75">
      <c r="A31" s="646"/>
      <c r="B31" s="646"/>
      <c r="C31" s="646"/>
      <c r="D31" s="646"/>
      <c r="E31" s="648"/>
      <c r="F31" s="646"/>
      <c r="G31" s="646"/>
      <c r="H31" s="6" t="s">
        <v>660</v>
      </c>
    </row>
    <row r="32" spans="1:18" ht="21.75">
      <c r="A32" s="7">
        <v>1</v>
      </c>
      <c r="B32" s="7" t="s">
        <v>152</v>
      </c>
      <c r="C32" s="7" t="s">
        <v>160</v>
      </c>
      <c r="D32" s="7" t="s">
        <v>4155</v>
      </c>
      <c r="E32" s="9" t="s">
        <v>4183</v>
      </c>
      <c r="F32" s="10" t="s">
        <v>4184</v>
      </c>
      <c r="G32" s="9">
        <v>1200000</v>
      </c>
      <c r="H32" s="9"/>
      <c r="J32" s="51" t="s">
        <v>4185</v>
      </c>
    </row>
    <row r="33" spans="1:10" ht="21.75">
      <c r="A33" s="7"/>
      <c r="B33" s="7"/>
      <c r="C33" s="7" t="s">
        <v>679</v>
      </c>
      <c r="D33" s="7"/>
      <c r="E33" s="9" t="s">
        <v>4186</v>
      </c>
      <c r="F33" s="10" t="s">
        <v>4187</v>
      </c>
      <c r="G33" s="9">
        <v>600000</v>
      </c>
      <c r="H33" s="9"/>
      <c r="J33" s="51" t="s">
        <v>4188</v>
      </c>
    </row>
    <row r="34" spans="1:10" ht="21.75">
      <c r="A34" s="7"/>
      <c r="B34" s="7"/>
      <c r="C34" s="7"/>
      <c r="D34" s="7"/>
      <c r="E34" s="9" t="s">
        <v>4189</v>
      </c>
      <c r="F34" s="10" t="s">
        <v>4190</v>
      </c>
      <c r="G34" s="9">
        <v>1000000</v>
      </c>
      <c r="H34" s="9"/>
    </row>
    <row r="35" spans="1:10" ht="21.75">
      <c r="A35" s="7"/>
      <c r="B35" s="7"/>
      <c r="C35" s="7"/>
      <c r="D35" s="7"/>
      <c r="E35" s="9" t="s">
        <v>163</v>
      </c>
      <c r="F35" s="10" t="s">
        <v>4191</v>
      </c>
      <c r="G35" s="9">
        <v>600000</v>
      </c>
      <c r="H35" s="9"/>
    </row>
    <row r="36" spans="1:10" ht="21.75">
      <c r="A36" s="7"/>
      <c r="B36" s="7"/>
      <c r="C36" s="7"/>
      <c r="D36" s="7"/>
      <c r="E36" s="9" t="s">
        <v>4192</v>
      </c>
      <c r="F36" s="10"/>
      <c r="G36" s="9">
        <v>-346000</v>
      </c>
      <c r="H36" s="9"/>
    </row>
    <row r="37" spans="1:10" ht="21.75">
      <c r="A37" s="7"/>
      <c r="B37" s="7"/>
      <c r="C37" s="7"/>
      <c r="D37" s="7"/>
      <c r="E37" s="9"/>
      <c r="F37" s="10"/>
      <c r="G37" s="9"/>
      <c r="H37" s="9"/>
    </row>
    <row r="38" spans="1:10" ht="21.75">
      <c r="A38" s="7"/>
      <c r="B38" s="7"/>
      <c r="C38" s="7"/>
      <c r="D38" s="7"/>
      <c r="E38" s="9"/>
      <c r="F38" s="10"/>
      <c r="G38" s="9"/>
      <c r="H38" s="9"/>
    </row>
    <row r="39" spans="1:10" ht="21.75">
      <c r="A39" s="7"/>
      <c r="B39" s="7"/>
      <c r="C39" s="7"/>
      <c r="D39" s="7"/>
      <c r="E39" s="9"/>
      <c r="F39" s="10"/>
      <c r="G39" s="9"/>
      <c r="H39" s="9"/>
    </row>
    <row r="40" spans="1:10" ht="21.75">
      <c r="A40" s="166"/>
      <c r="B40" s="166"/>
      <c r="C40" s="166"/>
      <c r="D40" s="166"/>
      <c r="E40" s="167"/>
      <c r="F40" s="168"/>
      <c r="G40" s="167">
        <f>SUM(G32:G38)</f>
        <v>3054000</v>
      </c>
      <c r="H40" s="167">
        <f>SUM(H32:H36)</f>
        <v>0</v>
      </c>
    </row>
  </sheetData>
  <mergeCells count="30">
    <mergeCell ref="A2:H2"/>
    <mergeCell ref="N2:Q2"/>
    <mergeCell ref="A3:A4"/>
    <mergeCell ref="B3:B4"/>
    <mergeCell ref="C3:C4"/>
    <mergeCell ref="D3:D4"/>
    <mergeCell ref="E3:E4"/>
    <mergeCell ref="F3:F4"/>
    <mergeCell ref="G3:G4"/>
    <mergeCell ref="N3:N4"/>
    <mergeCell ref="O3:O4"/>
    <mergeCell ref="P3:P4"/>
    <mergeCell ref="Q3:Q4"/>
    <mergeCell ref="R3:R4"/>
    <mergeCell ref="A16:H16"/>
    <mergeCell ref="F17:F18"/>
    <mergeCell ref="G17:G18"/>
    <mergeCell ref="A29:H29"/>
    <mergeCell ref="F30:F31"/>
    <mergeCell ref="G30:G31"/>
    <mergeCell ref="A17:A18"/>
    <mergeCell ref="B17:B18"/>
    <mergeCell ref="C17:C18"/>
    <mergeCell ref="D17:D18"/>
    <mergeCell ref="E17:E18"/>
    <mergeCell ref="A30:A31"/>
    <mergeCell ref="B30:B31"/>
    <mergeCell ref="C30:C31"/>
    <mergeCell ref="D30:D31"/>
    <mergeCell ref="E30:E31"/>
  </mergeCells>
  <hyperlinks>
    <hyperlink ref="B1" location="Name!A1" display="Name!A1" xr:uid="{1333107D-9330-412F-A95B-0A11E8B1EB25}"/>
  </hyperlinks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4D66-E40F-460A-A193-9B2E2A87C75A}">
  <dimension ref="A1:L169"/>
  <sheetViews>
    <sheetView workbookViewId="0">
      <selection activeCell="B1" sqref="B1"/>
    </sheetView>
  </sheetViews>
  <sheetFormatPr defaultColWidth="9.140625" defaultRowHeight="21.75"/>
  <cols>
    <col min="1" max="1" width="9.140625" style="15"/>
    <col min="2" max="2" width="17.42578125" style="15" customWidth="1"/>
    <col min="3" max="3" width="20" style="15" customWidth="1"/>
    <col min="4" max="4" width="27.85546875" style="15" customWidth="1"/>
    <col min="5" max="5" width="25.5703125" style="15" customWidth="1"/>
    <col min="6" max="6" width="10.85546875" style="15" customWidth="1"/>
    <col min="7" max="7" width="14" style="15" customWidth="1"/>
    <col min="8" max="8" width="16.42578125" style="15" customWidth="1"/>
    <col min="9" max="9" width="9.140625" style="143"/>
    <col min="10" max="16384" width="9.140625" style="15"/>
  </cols>
  <sheetData>
    <row r="1" spans="1:11">
      <c r="B1" s="411" t="s">
        <v>648</v>
      </c>
    </row>
    <row r="2" spans="1:11" ht="28.5" customHeight="1">
      <c r="A2" s="651" t="s">
        <v>1209</v>
      </c>
      <c r="B2" s="651"/>
      <c r="C2" s="651"/>
      <c r="D2" s="651"/>
      <c r="E2" s="651"/>
      <c r="F2" s="651"/>
      <c r="G2" s="651"/>
      <c r="H2" s="651"/>
      <c r="I2" s="651"/>
    </row>
    <row r="3" spans="1:11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33" t="s">
        <v>27</v>
      </c>
    </row>
    <row r="4" spans="1:11" ht="20.100000000000001" customHeight="1">
      <c r="A4" s="18">
        <v>1</v>
      </c>
      <c r="B4" s="18" t="s">
        <v>1172</v>
      </c>
      <c r="C4" s="18" t="s">
        <v>153</v>
      </c>
      <c r="D4" s="18" t="s">
        <v>4193</v>
      </c>
      <c r="E4" s="18" t="s">
        <v>4194</v>
      </c>
      <c r="F4" s="21" t="s">
        <v>4195</v>
      </c>
      <c r="G4" s="18" t="s">
        <v>4196</v>
      </c>
      <c r="H4" s="21">
        <v>400000</v>
      </c>
      <c r="I4" s="9"/>
    </row>
    <row r="5" spans="1:11" ht="20.100000000000001" customHeight="1">
      <c r="A5" s="18">
        <v>2</v>
      </c>
      <c r="B5" s="18" t="s">
        <v>1172</v>
      </c>
      <c r="C5" s="18" t="s">
        <v>153</v>
      </c>
      <c r="D5" s="18" t="s">
        <v>4193</v>
      </c>
      <c r="E5" s="18" t="s">
        <v>4197</v>
      </c>
      <c r="F5" s="20" t="s">
        <v>2202</v>
      </c>
      <c r="G5" s="18" t="s">
        <v>4198</v>
      </c>
      <c r="H5" s="21">
        <v>400000</v>
      </c>
      <c r="I5" s="9"/>
    </row>
    <row r="7" spans="1:11" ht="18.75">
      <c r="A7" s="651" t="s">
        <v>4199</v>
      </c>
      <c r="B7" s="651"/>
      <c r="C7" s="651"/>
      <c r="D7" s="651"/>
      <c r="E7" s="651"/>
      <c r="F7" s="651"/>
      <c r="G7" s="651"/>
      <c r="H7" s="651"/>
      <c r="I7" s="651"/>
    </row>
    <row r="8" spans="1:11" ht="28.5">
      <c r="A8" s="16" t="s">
        <v>11</v>
      </c>
      <c r="B8" s="17" t="s">
        <v>697</v>
      </c>
      <c r="C8" s="17" t="s">
        <v>698</v>
      </c>
      <c r="D8" s="17" t="s">
        <v>12</v>
      </c>
      <c r="E8" s="16" t="s">
        <v>699</v>
      </c>
      <c r="F8" s="16" t="s">
        <v>657</v>
      </c>
      <c r="G8" s="17" t="s">
        <v>700</v>
      </c>
      <c r="H8" s="16" t="s">
        <v>660</v>
      </c>
      <c r="I8" s="33" t="s">
        <v>27</v>
      </c>
    </row>
    <row r="9" spans="1:11">
      <c r="A9" s="18">
        <v>1</v>
      </c>
      <c r="B9" s="18" t="s">
        <v>1172</v>
      </c>
      <c r="C9" s="18" t="s">
        <v>153</v>
      </c>
      <c r="D9" s="18" t="s">
        <v>4193</v>
      </c>
      <c r="E9" s="18" t="s">
        <v>4200</v>
      </c>
      <c r="F9" s="20" t="s">
        <v>4201</v>
      </c>
      <c r="G9" s="18" t="s">
        <v>4202</v>
      </c>
      <c r="H9" s="21">
        <v>400000</v>
      </c>
      <c r="I9" s="9"/>
    </row>
    <row r="10" spans="1:11">
      <c r="A10" s="18"/>
      <c r="B10" s="18"/>
      <c r="C10" s="18"/>
      <c r="D10" s="18"/>
      <c r="E10" s="18"/>
      <c r="F10" s="20"/>
      <c r="G10" s="18"/>
      <c r="H10" s="21"/>
      <c r="I10" s="9"/>
    </row>
    <row r="12" spans="1:11">
      <c r="A12" s="675" t="s">
        <v>4203</v>
      </c>
      <c r="B12" s="675"/>
      <c r="C12" s="675"/>
      <c r="D12" s="675"/>
      <c r="E12" s="675"/>
      <c r="F12" s="675"/>
      <c r="G12" s="675"/>
      <c r="H12" s="675"/>
    </row>
    <row r="13" spans="1:11">
      <c r="A13" s="651"/>
      <c r="B13" s="651"/>
      <c r="C13" s="651"/>
      <c r="D13" s="651"/>
      <c r="E13" s="651"/>
      <c r="F13" s="651"/>
      <c r="G13" s="651"/>
      <c r="H13" s="651"/>
    </row>
    <row r="14" spans="1:11">
      <c r="A14" s="676" t="s">
        <v>653</v>
      </c>
      <c r="B14" s="678" t="s">
        <v>654</v>
      </c>
      <c r="C14" s="676" t="s">
        <v>655</v>
      </c>
      <c r="D14" s="676" t="s">
        <v>12</v>
      </c>
      <c r="E14" s="678" t="s">
        <v>656</v>
      </c>
      <c r="F14" s="676" t="s">
        <v>657</v>
      </c>
      <c r="G14" s="678" t="s">
        <v>658</v>
      </c>
      <c r="H14" s="161" t="s">
        <v>659</v>
      </c>
    </row>
    <row r="15" spans="1:11">
      <c r="A15" s="677"/>
      <c r="B15" s="677"/>
      <c r="C15" s="677"/>
      <c r="D15" s="677"/>
      <c r="E15" s="679"/>
      <c r="F15" s="677"/>
      <c r="G15" s="677"/>
      <c r="H15" s="163" t="s">
        <v>660</v>
      </c>
    </row>
    <row r="16" spans="1:11">
      <c r="A16" s="18">
        <v>1</v>
      </c>
      <c r="B16" s="18" t="s">
        <v>130</v>
      </c>
      <c r="C16" s="18" t="s">
        <v>153</v>
      </c>
      <c r="D16" s="18" t="s">
        <v>4193</v>
      </c>
      <c r="E16" s="21" t="s">
        <v>4204</v>
      </c>
      <c r="F16" s="164" t="s">
        <v>2878</v>
      </c>
      <c r="G16" s="21" t="s">
        <v>4205</v>
      </c>
      <c r="H16" s="21">
        <v>450000</v>
      </c>
      <c r="K16" s="15">
        <v>1</v>
      </c>
    </row>
    <row r="17" spans="1:11">
      <c r="A17" s="18"/>
      <c r="B17" s="18"/>
      <c r="C17" s="18" t="s">
        <v>679</v>
      </c>
      <c r="D17" s="18"/>
      <c r="E17" s="21" t="s">
        <v>4206</v>
      </c>
      <c r="F17" s="164" t="s">
        <v>2878</v>
      </c>
      <c r="G17" s="21" t="s">
        <v>4205</v>
      </c>
      <c r="H17" s="21">
        <v>450000</v>
      </c>
      <c r="K17" s="15">
        <v>1</v>
      </c>
    </row>
    <row r="18" spans="1:11">
      <c r="A18" s="18"/>
      <c r="B18" s="18"/>
      <c r="C18" s="18"/>
      <c r="D18" s="18"/>
      <c r="E18" s="21" t="s">
        <v>4207</v>
      </c>
      <c r="F18" s="164" t="s">
        <v>1340</v>
      </c>
      <c r="G18" s="21" t="s">
        <v>4208</v>
      </c>
      <c r="H18" s="21">
        <v>450000</v>
      </c>
      <c r="K18" s="15">
        <v>1</v>
      </c>
    </row>
    <row r="19" spans="1:11">
      <c r="A19" s="18"/>
      <c r="B19" s="18"/>
      <c r="C19" s="18"/>
      <c r="D19" s="18"/>
      <c r="E19" s="21" t="s">
        <v>4209</v>
      </c>
      <c r="F19" s="164" t="s">
        <v>4000</v>
      </c>
      <c r="G19" s="21" t="s">
        <v>4210</v>
      </c>
      <c r="H19" s="21">
        <v>450000</v>
      </c>
      <c r="I19" s="143" t="s">
        <v>4211</v>
      </c>
      <c r="K19" s="15">
        <v>1</v>
      </c>
    </row>
    <row r="20" spans="1:11">
      <c r="A20" s="18"/>
      <c r="B20" s="18"/>
      <c r="C20" s="18"/>
      <c r="D20" s="18"/>
      <c r="E20" s="21" t="s">
        <v>4212</v>
      </c>
      <c r="F20" s="164" t="s">
        <v>4213</v>
      </c>
      <c r="G20" s="21" t="s">
        <v>4214</v>
      </c>
      <c r="H20" s="21">
        <v>450000</v>
      </c>
      <c r="I20" s="143" t="s">
        <v>4211</v>
      </c>
      <c r="K20" s="15">
        <v>1</v>
      </c>
    </row>
    <row r="21" spans="1:11">
      <c r="A21" s="18"/>
      <c r="B21" s="18"/>
      <c r="C21" s="18"/>
      <c r="D21" s="18"/>
      <c r="E21" s="21" t="s">
        <v>4215</v>
      </c>
      <c r="F21" s="164" t="s">
        <v>4216</v>
      </c>
      <c r="G21" s="21" t="s">
        <v>1948</v>
      </c>
      <c r="H21" s="21">
        <v>450000</v>
      </c>
      <c r="I21" s="143" t="s">
        <v>4211</v>
      </c>
      <c r="K21" s="15">
        <v>1</v>
      </c>
    </row>
    <row r="22" spans="1:11">
      <c r="A22" s="18"/>
      <c r="B22" s="18"/>
      <c r="C22" s="18"/>
      <c r="D22" s="18"/>
      <c r="E22" s="21" t="s">
        <v>4217</v>
      </c>
      <c r="F22" s="164" t="s">
        <v>4216</v>
      </c>
      <c r="G22" s="21" t="s">
        <v>4218</v>
      </c>
      <c r="H22" s="21">
        <v>450000</v>
      </c>
      <c r="K22" s="15">
        <v>1</v>
      </c>
    </row>
    <row r="23" spans="1:11">
      <c r="A23" s="18"/>
      <c r="B23" s="18"/>
      <c r="C23" s="18"/>
      <c r="D23" s="18"/>
      <c r="E23" s="21" t="s">
        <v>4219</v>
      </c>
      <c r="F23" s="164" t="s">
        <v>3158</v>
      </c>
      <c r="G23" s="21" t="s">
        <v>4220</v>
      </c>
      <c r="H23" s="21">
        <v>450000</v>
      </c>
      <c r="I23" s="143" t="s">
        <v>4211</v>
      </c>
      <c r="K23" s="15">
        <v>1</v>
      </c>
    </row>
    <row r="24" spans="1:11">
      <c r="A24" s="18"/>
      <c r="B24" s="18"/>
      <c r="C24" s="18"/>
      <c r="D24" s="18"/>
      <c r="E24" s="21" t="s">
        <v>4221</v>
      </c>
      <c r="F24" s="164" t="s">
        <v>2652</v>
      </c>
      <c r="G24" s="21" t="s">
        <v>4222</v>
      </c>
      <c r="H24" s="21">
        <v>450000</v>
      </c>
      <c r="I24" s="143" t="s">
        <v>4211</v>
      </c>
      <c r="K24" s="15">
        <v>1</v>
      </c>
    </row>
    <row r="25" spans="1:11">
      <c r="A25" s="18"/>
      <c r="B25" s="18"/>
      <c r="C25" s="18"/>
      <c r="D25" s="18"/>
      <c r="E25" s="21" t="s">
        <v>4223</v>
      </c>
      <c r="F25" s="164" t="s">
        <v>2276</v>
      </c>
      <c r="G25" s="21" t="s">
        <v>4224</v>
      </c>
      <c r="H25" s="21">
        <v>450000</v>
      </c>
      <c r="I25" s="143" t="s">
        <v>4211</v>
      </c>
      <c r="K25" s="15">
        <v>1</v>
      </c>
    </row>
    <row r="26" spans="1:11">
      <c r="A26" s="18"/>
      <c r="B26" s="18"/>
      <c r="C26" s="18"/>
      <c r="D26" s="18"/>
      <c r="E26" s="21" t="s">
        <v>4225</v>
      </c>
      <c r="F26" s="164" t="s">
        <v>4226</v>
      </c>
      <c r="G26" s="21" t="s">
        <v>4227</v>
      </c>
      <c r="H26" s="21">
        <v>450000</v>
      </c>
      <c r="I26" s="143" t="s">
        <v>4211</v>
      </c>
      <c r="K26" s="15">
        <v>1</v>
      </c>
    </row>
    <row r="27" spans="1:11">
      <c r="A27" s="18"/>
      <c r="B27" s="18"/>
      <c r="C27" s="18"/>
      <c r="D27" s="18"/>
      <c r="E27" s="21" t="s">
        <v>4228</v>
      </c>
      <c r="F27" s="164" t="s">
        <v>4229</v>
      </c>
      <c r="G27" s="21" t="s">
        <v>4230</v>
      </c>
      <c r="H27" s="21">
        <v>450000</v>
      </c>
      <c r="I27" s="143" t="s">
        <v>4211</v>
      </c>
      <c r="K27" s="15">
        <v>1</v>
      </c>
    </row>
    <row r="28" spans="1:11">
      <c r="A28" s="18"/>
      <c r="B28" s="18"/>
      <c r="C28" s="18"/>
      <c r="D28" s="18"/>
      <c r="E28" s="21" t="s">
        <v>4231</v>
      </c>
      <c r="F28" s="164" t="s">
        <v>4232</v>
      </c>
      <c r="G28" s="21" t="s">
        <v>4233</v>
      </c>
      <c r="H28" s="21">
        <v>450000</v>
      </c>
      <c r="I28" s="143" t="s">
        <v>4211</v>
      </c>
      <c r="K28" s="15">
        <v>1</v>
      </c>
    </row>
    <row r="29" spans="1:11">
      <c r="A29" s="18"/>
      <c r="B29" s="18"/>
      <c r="C29" s="18"/>
      <c r="D29" s="18"/>
      <c r="E29" s="21" t="s">
        <v>4234</v>
      </c>
      <c r="F29" s="164" t="s">
        <v>4235</v>
      </c>
      <c r="G29" s="21" t="s">
        <v>4236</v>
      </c>
      <c r="H29" s="21">
        <v>450000</v>
      </c>
      <c r="I29" s="143" t="s">
        <v>4211</v>
      </c>
      <c r="K29" s="15">
        <v>1</v>
      </c>
    </row>
    <row r="30" spans="1:11">
      <c r="A30" s="18"/>
      <c r="B30" s="18"/>
      <c r="C30" s="18"/>
      <c r="D30" s="18"/>
      <c r="E30" s="21" t="s">
        <v>4237</v>
      </c>
      <c r="F30" s="164" t="s">
        <v>4238</v>
      </c>
      <c r="G30" s="21" t="s">
        <v>4239</v>
      </c>
      <c r="H30" s="21">
        <v>300000</v>
      </c>
      <c r="I30" s="143" t="s">
        <v>4211</v>
      </c>
      <c r="K30" s="15">
        <v>1</v>
      </c>
    </row>
    <row r="31" spans="1:11">
      <c r="A31" s="18"/>
      <c r="B31" s="18"/>
      <c r="C31" s="18"/>
      <c r="D31" s="18"/>
      <c r="E31" s="21"/>
      <c r="F31" s="164" t="s">
        <v>4240</v>
      </c>
      <c r="G31" s="21" t="s">
        <v>4241</v>
      </c>
      <c r="H31" s="21">
        <v>150000</v>
      </c>
      <c r="I31" s="143" t="s">
        <v>4211</v>
      </c>
    </row>
    <row r="32" spans="1:11">
      <c r="A32" s="18"/>
      <c r="B32" s="18"/>
      <c r="C32" s="18"/>
      <c r="D32" s="18"/>
      <c r="E32" s="21" t="s">
        <v>4242</v>
      </c>
      <c r="F32" s="164" t="s">
        <v>4240</v>
      </c>
      <c r="G32" s="21" t="s">
        <v>4241</v>
      </c>
      <c r="H32" s="21">
        <v>300000</v>
      </c>
      <c r="I32" s="143" t="s">
        <v>4211</v>
      </c>
      <c r="K32" s="15">
        <v>1</v>
      </c>
    </row>
    <row r="33" spans="1:11">
      <c r="A33" s="18"/>
      <c r="B33" s="18"/>
      <c r="C33" s="18"/>
      <c r="D33" s="18"/>
      <c r="E33" s="21" t="s">
        <v>4243</v>
      </c>
      <c r="F33" s="164" t="s">
        <v>4244</v>
      </c>
      <c r="G33" s="21" t="s">
        <v>1963</v>
      </c>
      <c r="H33" s="21">
        <v>450000</v>
      </c>
      <c r="I33" s="143" t="s">
        <v>4245</v>
      </c>
      <c r="K33" s="15">
        <v>1</v>
      </c>
    </row>
    <row r="34" spans="1:11">
      <c r="A34" s="18"/>
      <c r="B34" s="18"/>
      <c r="C34" s="18"/>
      <c r="D34" s="18"/>
      <c r="E34" s="21" t="s">
        <v>4246</v>
      </c>
      <c r="F34" s="164" t="s">
        <v>4247</v>
      </c>
      <c r="G34" s="21" t="s">
        <v>2836</v>
      </c>
      <c r="H34" s="21">
        <v>450000</v>
      </c>
      <c r="I34" s="143" t="s">
        <v>4245</v>
      </c>
      <c r="K34" s="15">
        <v>1</v>
      </c>
    </row>
    <row r="35" spans="1:11">
      <c r="A35" s="18"/>
      <c r="B35" s="18"/>
      <c r="C35" s="18"/>
      <c r="D35" s="18"/>
      <c r="E35" s="21" t="s">
        <v>4248</v>
      </c>
      <c r="F35" s="164" t="s">
        <v>4249</v>
      </c>
      <c r="G35" s="21" t="s">
        <v>1556</v>
      </c>
      <c r="H35" s="21">
        <v>450000</v>
      </c>
      <c r="I35" s="143" t="s">
        <v>2111</v>
      </c>
      <c r="K35" s="15">
        <v>1</v>
      </c>
    </row>
    <row r="36" spans="1:11">
      <c r="A36" s="18"/>
      <c r="B36" s="18"/>
      <c r="C36" s="18"/>
      <c r="D36" s="18"/>
      <c r="E36" s="21" t="s">
        <v>4250</v>
      </c>
      <c r="F36" s="164" t="s">
        <v>4251</v>
      </c>
      <c r="G36" s="21" t="s">
        <v>4252</v>
      </c>
      <c r="H36" s="21">
        <v>450000</v>
      </c>
      <c r="I36" s="143" t="s">
        <v>4253</v>
      </c>
      <c r="K36" s="15">
        <v>1</v>
      </c>
    </row>
    <row r="37" spans="1:11">
      <c r="A37" s="18"/>
      <c r="B37" s="18"/>
      <c r="C37" s="18"/>
      <c r="D37" s="18"/>
      <c r="E37" s="21" t="s">
        <v>4254</v>
      </c>
      <c r="F37" s="164" t="s">
        <v>4255</v>
      </c>
      <c r="G37" s="21" t="s">
        <v>1809</v>
      </c>
      <c r="H37" s="21">
        <v>300000</v>
      </c>
      <c r="I37" s="143" t="s">
        <v>4245</v>
      </c>
      <c r="K37" s="15">
        <v>1</v>
      </c>
    </row>
    <row r="38" spans="1:11">
      <c r="A38" s="18"/>
      <c r="B38" s="18"/>
      <c r="C38" s="18"/>
      <c r="D38" s="18"/>
      <c r="E38" s="21" t="s">
        <v>4254</v>
      </c>
      <c r="F38" s="164" t="s">
        <v>4256</v>
      </c>
      <c r="G38" s="21" t="s">
        <v>2106</v>
      </c>
      <c r="H38" s="21">
        <v>150000</v>
      </c>
      <c r="I38" s="143" t="s">
        <v>4245</v>
      </c>
    </row>
    <row r="39" spans="1:11">
      <c r="A39" s="18"/>
      <c r="B39" s="18"/>
      <c r="C39" s="18"/>
      <c r="D39" s="18"/>
      <c r="E39" s="21" t="s">
        <v>4257</v>
      </c>
      <c r="F39" s="164" t="s">
        <v>4258</v>
      </c>
      <c r="G39" s="21" t="s">
        <v>4259</v>
      </c>
      <c r="H39" s="21">
        <v>450000</v>
      </c>
      <c r="I39" s="143" t="s">
        <v>4245</v>
      </c>
      <c r="K39" s="15" t="s">
        <v>4260</v>
      </c>
    </row>
    <row r="40" spans="1:11">
      <c r="A40" s="18"/>
      <c r="B40" s="18"/>
      <c r="C40" s="18"/>
      <c r="D40" s="18"/>
      <c r="E40" s="21"/>
      <c r="F40" s="164"/>
      <c r="G40" s="21"/>
      <c r="H40" s="21"/>
    </row>
    <row r="41" spans="1:11">
      <c r="A41" s="18"/>
      <c r="B41" s="18"/>
      <c r="C41" s="18"/>
      <c r="D41" s="18"/>
      <c r="E41" s="21"/>
      <c r="F41" s="164"/>
      <c r="G41" s="21"/>
      <c r="H41" s="21"/>
      <c r="I41" s="143" t="s">
        <v>4261</v>
      </c>
    </row>
    <row r="42" spans="1:11">
      <c r="A42" s="18"/>
      <c r="B42" s="18"/>
      <c r="C42" s="18"/>
      <c r="D42" s="18"/>
      <c r="E42" s="21"/>
      <c r="F42" s="18"/>
      <c r="G42" s="21"/>
      <c r="H42" s="21">
        <f>SUM(H16:H41)</f>
        <v>9750000</v>
      </c>
    </row>
    <row r="44" spans="1:11">
      <c r="A44" s="675" t="s">
        <v>4262</v>
      </c>
      <c r="B44" s="675"/>
      <c r="C44" s="675"/>
      <c r="D44" s="675"/>
      <c r="E44" s="675"/>
      <c r="F44" s="675"/>
      <c r="G44" s="675"/>
      <c r="H44" s="675"/>
    </row>
    <row r="45" spans="1:11">
      <c r="A45" s="651"/>
      <c r="B45" s="651"/>
      <c r="C45" s="651"/>
      <c r="D45" s="651"/>
      <c r="E45" s="651"/>
      <c r="F45" s="651"/>
      <c r="G45" s="651"/>
      <c r="H45" s="651"/>
    </row>
    <row r="46" spans="1:11" s="143" customFormat="1">
      <c r="A46" s="676" t="s">
        <v>653</v>
      </c>
      <c r="B46" s="678" t="s">
        <v>654</v>
      </c>
      <c r="C46" s="676" t="s">
        <v>655</v>
      </c>
      <c r="D46" s="676" t="s">
        <v>12</v>
      </c>
      <c r="E46" s="678" t="s">
        <v>656</v>
      </c>
      <c r="F46" s="676" t="s">
        <v>657</v>
      </c>
      <c r="G46" s="678" t="s">
        <v>658</v>
      </c>
      <c r="H46" s="161" t="s">
        <v>659</v>
      </c>
    </row>
    <row r="47" spans="1:11" s="143" customFormat="1">
      <c r="A47" s="677"/>
      <c r="B47" s="677"/>
      <c r="C47" s="677"/>
      <c r="D47" s="677"/>
      <c r="E47" s="679"/>
      <c r="F47" s="677"/>
      <c r="G47" s="677"/>
      <c r="H47" s="163" t="s">
        <v>660</v>
      </c>
    </row>
    <row r="48" spans="1:11" s="143" customFormat="1">
      <c r="A48" s="18">
        <v>1</v>
      </c>
      <c r="B48" s="18" t="s">
        <v>130</v>
      </c>
      <c r="C48" s="18" t="s">
        <v>153</v>
      </c>
      <c r="D48" s="18" t="s">
        <v>4193</v>
      </c>
      <c r="E48" s="21" t="s">
        <v>4263</v>
      </c>
      <c r="F48" s="164" t="s">
        <v>4264</v>
      </c>
      <c r="G48" s="21" t="s">
        <v>4265</v>
      </c>
      <c r="H48" s="21">
        <v>900000</v>
      </c>
    </row>
    <row r="49" spans="1:9" s="143" customFormat="1">
      <c r="A49" s="18"/>
      <c r="B49" s="18"/>
      <c r="C49" s="18" t="s">
        <v>679</v>
      </c>
      <c r="D49" s="18"/>
      <c r="E49" s="21"/>
      <c r="F49" s="164"/>
      <c r="G49" s="21"/>
      <c r="H49" s="21"/>
    </row>
    <row r="50" spans="1:9" s="143" customFormat="1">
      <c r="A50" s="18"/>
      <c r="B50" s="18"/>
      <c r="C50" s="18"/>
      <c r="D50" s="18"/>
      <c r="E50" s="21"/>
      <c r="F50" s="164"/>
      <c r="G50" s="21"/>
      <c r="H50" s="21"/>
      <c r="I50" s="143">
        <v>2</v>
      </c>
    </row>
    <row r="51" spans="1:9" s="143" customFormat="1">
      <c r="A51" s="18"/>
      <c r="B51" s="18"/>
      <c r="C51" s="18"/>
      <c r="D51" s="18"/>
      <c r="E51" s="21"/>
      <c r="F51" s="164"/>
      <c r="G51" s="21"/>
      <c r="H51" s="21"/>
    </row>
    <row r="52" spans="1:9" s="143" customFormat="1">
      <c r="A52" s="18"/>
      <c r="B52" s="18"/>
      <c r="C52" s="18"/>
      <c r="D52" s="18"/>
      <c r="E52" s="21"/>
      <c r="F52" s="164"/>
      <c r="G52" s="21"/>
      <c r="H52" s="21"/>
    </row>
    <row r="53" spans="1:9" s="143" customFormat="1"/>
    <row r="54" spans="1:9" s="143" customFormat="1"/>
    <row r="55" spans="1:9" s="143" customFormat="1"/>
    <row r="58" spans="1:9">
      <c r="A58" s="644" t="s">
        <v>4266</v>
      </c>
      <c r="B58" s="644"/>
      <c r="C58" s="644"/>
      <c r="D58" s="644"/>
      <c r="E58" s="644"/>
      <c r="F58" s="644"/>
      <c r="G58" s="644"/>
      <c r="H58" s="644"/>
    </row>
    <row r="59" spans="1:9">
      <c r="A59" s="645" t="s">
        <v>653</v>
      </c>
      <c r="B59" s="647" t="s">
        <v>654</v>
      </c>
      <c r="C59" s="645" t="s">
        <v>655</v>
      </c>
      <c r="D59" s="645" t="s">
        <v>12</v>
      </c>
      <c r="E59" s="647" t="s">
        <v>656</v>
      </c>
      <c r="F59" s="645" t="s">
        <v>657</v>
      </c>
      <c r="G59" s="647" t="s">
        <v>658</v>
      </c>
      <c r="H59" s="3" t="s">
        <v>659</v>
      </c>
    </row>
    <row r="60" spans="1:9">
      <c r="A60" s="646"/>
      <c r="B60" s="646"/>
      <c r="C60" s="646"/>
      <c r="D60" s="646"/>
      <c r="E60" s="648"/>
      <c r="F60" s="646"/>
      <c r="G60" s="646"/>
      <c r="H60" s="6" t="s">
        <v>660</v>
      </c>
    </row>
    <row r="61" spans="1:9">
      <c r="A61" s="7">
        <v>1</v>
      </c>
      <c r="B61" s="7" t="s">
        <v>130</v>
      </c>
      <c r="C61" s="7" t="s">
        <v>153</v>
      </c>
      <c r="D61" s="7" t="s">
        <v>4193</v>
      </c>
      <c r="E61" s="9" t="s">
        <v>703</v>
      </c>
      <c r="F61" s="10" t="s">
        <v>4267</v>
      </c>
      <c r="G61" s="9" t="s">
        <v>1576</v>
      </c>
      <c r="H61" s="9">
        <v>500000</v>
      </c>
    </row>
    <row r="62" spans="1:9">
      <c r="A62" s="7"/>
      <c r="B62" s="7"/>
      <c r="C62" s="7" t="s">
        <v>679</v>
      </c>
      <c r="D62" s="7"/>
      <c r="E62" s="9" t="s">
        <v>4268</v>
      </c>
      <c r="F62" s="10" t="s">
        <v>4267</v>
      </c>
      <c r="G62" s="9" t="s">
        <v>1576</v>
      </c>
      <c r="H62" s="9">
        <v>1000000</v>
      </c>
    </row>
    <row r="63" spans="1:9">
      <c r="A63" s="7"/>
      <c r="B63" s="7"/>
      <c r="C63" s="7"/>
      <c r="D63" s="7"/>
      <c r="E63" s="9"/>
      <c r="F63" s="10"/>
      <c r="G63" s="9"/>
      <c r="H63" s="9"/>
    </row>
    <row r="64" spans="1:9">
      <c r="A64" s="7"/>
      <c r="B64" s="7"/>
      <c r="C64" s="7"/>
      <c r="D64" s="7"/>
      <c r="E64" s="9"/>
      <c r="F64" s="10"/>
      <c r="G64" s="9"/>
      <c r="H64" s="9"/>
    </row>
    <row r="65" spans="1:9">
      <c r="A65" s="7"/>
      <c r="B65" s="7"/>
      <c r="C65" s="7"/>
      <c r="D65" s="7"/>
      <c r="E65" s="9"/>
      <c r="F65" s="10"/>
      <c r="G65" s="9"/>
      <c r="H65" s="9"/>
    </row>
    <row r="66" spans="1:9">
      <c r="A66" s="7"/>
      <c r="B66" s="7"/>
      <c r="C66" s="7"/>
      <c r="D66" s="7"/>
      <c r="E66" s="9"/>
      <c r="F66" s="10"/>
      <c r="G66" s="9"/>
      <c r="H66" s="9">
        <f>SUM(H61:H65)</f>
        <v>1500000</v>
      </c>
    </row>
    <row r="71" spans="1:9">
      <c r="A71" s="644" t="s">
        <v>4269</v>
      </c>
      <c r="B71" s="644"/>
      <c r="C71" s="644"/>
      <c r="D71" s="644"/>
      <c r="E71" s="644"/>
      <c r="F71" s="644"/>
      <c r="G71" s="644"/>
      <c r="H71" s="644"/>
    </row>
    <row r="72" spans="1:9">
      <c r="A72" s="645" t="s">
        <v>653</v>
      </c>
      <c r="B72" s="647" t="s">
        <v>654</v>
      </c>
      <c r="C72" s="645" t="s">
        <v>655</v>
      </c>
      <c r="D72" s="645" t="s">
        <v>12</v>
      </c>
      <c r="E72" s="647" t="s">
        <v>656</v>
      </c>
      <c r="F72" s="645" t="s">
        <v>657</v>
      </c>
      <c r="G72" s="647" t="s">
        <v>658</v>
      </c>
      <c r="H72" s="3" t="s">
        <v>659</v>
      </c>
    </row>
    <row r="73" spans="1:9">
      <c r="A73" s="646"/>
      <c r="B73" s="646"/>
      <c r="C73" s="646"/>
      <c r="D73" s="646"/>
      <c r="E73" s="648"/>
      <c r="F73" s="646"/>
      <c r="G73" s="646"/>
      <c r="H73" s="6" t="s">
        <v>2783</v>
      </c>
    </row>
    <row r="74" spans="1:9">
      <c r="A74" s="7">
        <v>1</v>
      </c>
      <c r="B74" s="7" t="s">
        <v>130</v>
      </c>
      <c r="C74" s="7" t="s">
        <v>153</v>
      </c>
      <c r="D74" s="7" t="s">
        <v>4193</v>
      </c>
      <c r="E74" s="9" t="s">
        <v>703</v>
      </c>
      <c r="F74" s="10" t="s">
        <v>4270</v>
      </c>
      <c r="G74" s="9" t="s">
        <v>4271</v>
      </c>
      <c r="H74" s="9">
        <v>500000</v>
      </c>
    </row>
    <row r="75" spans="1:9">
      <c r="A75" s="7"/>
      <c r="B75" s="7"/>
      <c r="C75" s="7" t="s">
        <v>679</v>
      </c>
      <c r="D75" s="7"/>
      <c r="E75" s="9" t="s">
        <v>4272</v>
      </c>
      <c r="F75" s="10" t="s">
        <v>4270</v>
      </c>
      <c r="G75" s="9" t="s">
        <v>4271</v>
      </c>
      <c r="H75" s="9">
        <v>1000000</v>
      </c>
    </row>
    <row r="76" spans="1:9">
      <c r="A76" s="7"/>
      <c r="B76" s="7"/>
      <c r="C76" s="7"/>
      <c r="D76" s="7"/>
      <c r="E76" s="9" t="s">
        <v>4273</v>
      </c>
      <c r="F76" s="10" t="s">
        <v>4274</v>
      </c>
      <c r="G76" s="9" t="s">
        <v>4275</v>
      </c>
      <c r="H76" s="9">
        <v>500000</v>
      </c>
    </row>
    <row r="77" spans="1:9">
      <c r="A77" s="7"/>
      <c r="B77" s="7"/>
      <c r="C77" s="7"/>
      <c r="D77" s="7"/>
      <c r="E77" s="9" t="s">
        <v>4276</v>
      </c>
      <c r="F77" s="10" t="s">
        <v>4277</v>
      </c>
      <c r="G77" s="9" t="s">
        <v>1509</v>
      </c>
      <c r="H77" s="9">
        <v>1000000</v>
      </c>
    </row>
    <row r="78" spans="1:9">
      <c r="A78" s="7"/>
      <c r="B78" s="7"/>
      <c r="C78" s="7"/>
      <c r="D78" s="7"/>
      <c r="E78" s="9" t="s">
        <v>4278</v>
      </c>
      <c r="F78" s="10" t="s">
        <v>4279</v>
      </c>
      <c r="G78" s="9" t="s">
        <v>1501</v>
      </c>
      <c r="H78" s="9">
        <v>1000000</v>
      </c>
      <c r="I78" s="143" t="s">
        <v>4280</v>
      </c>
    </row>
    <row r="79" spans="1:9">
      <c r="A79" s="7"/>
      <c r="B79" s="7"/>
      <c r="C79" s="7"/>
      <c r="D79" s="7"/>
      <c r="E79" s="9"/>
      <c r="F79" s="10"/>
      <c r="G79" s="9"/>
      <c r="H79" s="9"/>
    </row>
    <row r="80" spans="1:9">
      <c r="A80" s="7"/>
      <c r="B80" s="7"/>
      <c r="C80" s="7"/>
      <c r="D80" s="7"/>
      <c r="E80" s="9"/>
      <c r="F80" s="10"/>
      <c r="G80" s="9"/>
      <c r="H80" s="9"/>
    </row>
    <row r="81" spans="1:9">
      <c r="A81" s="7"/>
      <c r="B81" s="7"/>
      <c r="C81" s="7"/>
      <c r="D81" s="7"/>
      <c r="E81" s="9"/>
      <c r="F81" s="10"/>
      <c r="G81" s="9"/>
      <c r="H81" s="9"/>
    </row>
    <row r="82" spans="1:9">
      <c r="A82" s="7"/>
      <c r="B82" s="7"/>
      <c r="C82" s="7"/>
      <c r="D82" s="7"/>
      <c r="E82" s="9"/>
      <c r="F82" s="10"/>
      <c r="G82" s="9"/>
      <c r="H82" s="9"/>
    </row>
    <row r="83" spans="1:9">
      <c r="A83" s="7"/>
      <c r="B83" s="7"/>
      <c r="C83" s="7"/>
      <c r="D83" s="7"/>
      <c r="E83" s="9"/>
      <c r="F83" s="10"/>
      <c r="G83" s="9"/>
      <c r="H83" s="9">
        <f>SUM(H74:H78)</f>
        <v>4000000</v>
      </c>
    </row>
    <row r="86" spans="1:9">
      <c r="A86" s="644" t="s">
        <v>4281</v>
      </c>
      <c r="B86" s="644"/>
      <c r="C86" s="644"/>
      <c r="D86" s="644"/>
      <c r="E86" s="644"/>
      <c r="F86" s="644"/>
      <c r="G86" s="644"/>
      <c r="H86" s="644"/>
    </row>
    <row r="87" spans="1:9">
      <c r="A87" s="645" t="s">
        <v>653</v>
      </c>
      <c r="B87" s="647" t="s">
        <v>654</v>
      </c>
      <c r="C87" s="645" t="s">
        <v>655</v>
      </c>
      <c r="D87" s="645" t="s">
        <v>12</v>
      </c>
      <c r="E87" s="647" t="s">
        <v>656</v>
      </c>
      <c r="F87" s="645" t="s">
        <v>657</v>
      </c>
      <c r="G87" s="647" t="s">
        <v>658</v>
      </c>
      <c r="H87" s="3" t="s">
        <v>659</v>
      </c>
    </row>
    <row r="88" spans="1:9">
      <c r="A88" s="646"/>
      <c r="B88" s="646"/>
      <c r="C88" s="646"/>
      <c r="D88" s="646"/>
      <c r="E88" s="648"/>
      <c r="F88" s="646"/>
      <c r="G88" s="646"/>
      <c r="H88" s="6" t="s">
        <v>2783</v>
      </c>
    </row>
    <row r="89" spans="1:9">
      <c r="A89" s="7">
        <v>1</v>
      </c>
      <c r="B89" s="7" t="s">
        <v>130</v>
      </c>
      <c r="C89" s="7" t="s">
        <v>153</v>
      </c>
      <c r="D89" s="7" t="s">
        <v>4193</v>
      </c>
      <c r="E89" s="9" t="s">
        <v>703</v>
      </c>
      <c r="F89" s="10" t="s">
        <v>4282</v>
      </c>
      <c r="G89" s="9" t="s">
        <v>4283</v>
      </c>
      <c r="H89" s="9">
        <v>500000</v>
      </c>
    </row>
    <row r="90" spans="1:9">
      <c r="A90" s="7"/>
      <c r="B90" s="7"/>
      <c r="C90" s="7" t="s">
        <v>679</v>
      </c>
      <c r="D90" s="7"/>
      <c r="E90" s="9" t="s">
        <v>4284</v>
      </c>
      <c r="F90" s="10" t="s">
        <v>4282</v>
      </c>
      <c r="G90" s="9" t="s">
        <v>4283</v>
      </c>
      <c r="H90" s="9">
        <v>500000</v>
      </c>
    </row>
    <row r="91" spans="1:9">
      <c r="A91" s="7"/>
      <c r="B91" s="7"/>
      <c r="C91" s="7"/>
      <c r="D91" s="7"/>
      <c r="E91" s="9" t="s">
        <v>4285</v>
      </c>
      <c r="F91" s="10" t="s">
        <v>4286</v>
      </c>
      <c r="G91" s="9" t="s">
        <v>4287</v>
      </c>
      <c r="H91" s="9">
        <v>500000</v>
      </c>
      <c r="I91" s="143" t="s">
        <v>1042</v>
      </c>
    </row>
    <row r="92" spans="1:9">
      <c r="A92" s="7"/>
      <c r="B92" s="7"/>
      <c r="C92" s="7"/>
      <c r="D92" s="7"/>
      <c r="E92" s="9" t="s">
        <v>4288</v>
      </c>
      <c r="F92" s="10" t="s">
        <v>4289</v>
      </c>
      <c r="G92" s="9" t="s">
        <v>4290</v>
      </c>
      <c r="H92" s="9">
        <v>500000</v>
      </c>
      <c r="I92" s="143" t="s">
        <v>1042</v>
      </c>
    </row>
    <row r="93" spans="1:9">
      <c r="A93" s="7"/>
      <c r="B93" s="7"/>
      <c r="C93" s="7"/>
      <c r="D93" s="7"/>
      <c r="E93" s="9" t="s">
        <v>4291</v>
      </c>
      <c r="F93" s="10" t="s">
        <v>2358</v>
      </c>
      <c r="G93" s="9" t="s">
        <v>2785</v>
      </c>
      <c r="H93" s="9">
        <v>500000</v>
      </c>
      <c r="I93" s="143" t="s">
        <v>4292</v>
      </c>
    </row>
    <row r="94" spans="1:9">
      <c r="A94" s="7"/>
      <c r="B94" s="7"/>
      <c r="C94" s="7"/>
      <c r="D94" s="7"/>
      <c r="E94" s="9" t="s">
        <v>4293</v>
      </c>
      <c r="F94" s="10" t="s">
        <v>4294</v>
      </c>
      <c r="G94" s="9" t="s">
        <v>4295</v>
      </c>
      <c r="H94" s="9">
        <v>500000</v>
      </c>
      <c r="I94" s="143" t="s">
        <v>1042</v>
      </c>
    </row>
    <row r="95" spans="1:9">
      <c r="A95" s="7"/>
      <c r="B95" s="7"/>
      <c r="C95" s="7"/>
      <c r="D95" s="7"/>
      <c r="E95" s="9" t="s">
        <v>4296</v>
      </c>
      <c r="F95" s="10" t="s">
        <v>4297</v>
      </c>
      <c r="G95" s="9" t="s">
        <v>1341</v>
      </c>
      <c r="H95" s="9">
        <v>500000</v>
      </c>
      <c r="I95" s="143" t="s">
        <v>1042</v>
      </c>
    </row>
    <row r="96" spans="1:9">
      <c r="A96" s="7"/>
      <c r="B96" s="7"/>
      <c r="C96" s="7"/>
      <c r="D96" s="7"/>
      <c r="E96" s="9" t="s">
        <v>1066</v>
      </c>
      <c r="F96" s="10"/>
      <c r="G96" s="9" t="s">
        <v>4283</v>
      </c>
      <c r="H96" s="9">
        <v>-500000</v>
      </c>
    </row>
    <row r="97" spans="1:12">
      <c r="A97" s="7"/>
      <c r="B97" s="7"/>
      <c r="C97" s="7"/>
      <c r="D97" s="7"/>
      <c r="E97" s="9"/>
      <c r="F97" s="10"/>
      <c r="G97" s="9"/>
      <c r="H97" s="9"/>
    </row>
    <row r="98" spans="1:12">
      <c r="A98" s="7"/>
      <c r="B98" s="7"/>
      <c r="C98" s="7"/>
      <c r="D98" s="7"/>
      <c r="E98" s="9"/>
      <c r="F98" s="10"/>
      <c r="G98" s="9"/>
      <c r="H98" s="9">
        <f>SUM(H89:H97)</f>
        <v>3000000</v>
      </c>
    </row>
    <row r="101" spans="1:12" ht="18.75">
      <c r="A101" s="651" t="s">
        <v>1068</v>
      </c>
      <c r="B101" s="651"/>
      <c r="C101" s="651"/>
      <c r="D101" s="651"/>
      <c r="E101" s="651"/>
      <c r="F101" s="651"/>
      <c r="G101" s="651"/>
      <c r="H101" s="651"/>
      <c r="I101" s="651"/>
      <c r="J101" s="51"/>
      <c r="K101" s="51"/>
      <c r="L101" s="51"/>
    </row>
    <row r="102" spans="1:12" ht="28.5">
      <c r="A102" s="16" t="s">
        <v>818</v>
      </c>
      <c r="B102" s="17" t="s">
        <v>697</v>
      </c>
      <c r="C102" s="17" t="s">
        <v>12</v>
      </c>
      <c r="D102" s="16" t="s">
        <v>699</v>
      </c>
      <c r="E102" s="16" t="s">
        <v>657</v>
      </c>
      <c r="F102" s="17" t="s">
        <v>700</v>
      </c>
      <c r="G102" s="16" t="s">
        <v>660</v>
      </c>
      <c r="H102" s="16" t="s">
        <v>1176</v>
      </c>
      <c r="I102" s="16" t="s">
        <v>27</v>
      </c>
      <c r="J102" s="51"/>
      <c r="K102" s="51"/>
      <c r="L102" s="51"/>
    </row>
    <row r="103" spans="1:12" ht="18">
      <c r="A103" s="18">
        <v>1</v>
      </c>
      <c r="B103" s="18" t="s">
        <v>102</v>
      </c>
      <c r="C103" s="18" t="s">
        <v>101</v>
      </c>
      <c r="D103" s="96" t="s">
        <v>703</v>
      </c>
      <c r="E103" s="20" t="s">
        <v>1691</v>
      </c>
      <c r="F103" s="21" t="s">
        <v>4298</v>
      </c>
      <c r="G103" s="21">
        <v>500000</v>
      </c>
      <c r="H103" s="21"/>
      <c r="I103" s="21"/>
      <c r="J103" s="51"/>
      <c r="K103" s="51"/>
      <c r="L103" s="51"/>
    </row>
    <row r="104" spans="1:12" ht="18">
      <c r="A104" s="18"/>
      <c r="B104" s="18"/>
      <c r="C104" s="18"/>
      <c r="D104" s="97" t="s">
        <v>4299</v>
      </c>
      <c r="E104" s="20" t="s">
        <v>1691</v>
      </c>
      <c r="F104" s="21" t="s">
        <v>4298</v>
      </c>
      <c r="G104" s="21">
        <v>500000</v>
      </c>
      <c r="H104" s="21"/>
      <c r="I104" s="21"/>
      <c r="J104" s="51"/>
      <c r="K104" s="51"/>
      <c r="L104" s="51"/>
    </row>
    <row r="105" spans="1:12" ht="18">
      <c r="A105" s="18"/>
      <c r="B105" s="18"/>
      <c r="C105" s="18"/>
      <c r="D105" s="98" t="s">
        <v>4300</v>
      </c>
      <c r="E105" s="20" t="s">
        <v>1335</v>
      </c>
      <c r="F105" s="21" t="s">
        <v>1057</v>
      </c>
      <c r="G105" s="21">
        <v>500000</v>
      </c>
      <c r="H105" s="21"/>
      <c r="I105" s="21"/>
      <c r="J105" s="51"/>
      <c r="K105" s="51"/>
      <c r="L105" s="51"/>
    </row>
    <row r="106" spans="1:12" ht="18">
      <c r="A106" s="18"/>
      <c r="B106" s="18"/>
      <c r="C106" s="18"/>
      <c r="D106" s="98"/>
      <c r="E106" s="20"/>
      <c r="F106" s="21"/>
      <c r="G106" s="21"/>
      <c r="H106" s="21"/>
      <c r="I106" s="21"/>
      <c r="J106" s="51"/>
      <c r="K106" s="51"/>
      <c r="L106" s="51"/>
    </row>
    <row r="107" spans="1:12" ht="18">
      <c r="A107" s="18"/>
      <c r="B107" s="18"/>
      <c r="C107" s="18"/>
      <c r="D107" s="98"/>
      <c r="E107" s="20"/>
      <c r="F107" s="21"/>
      <c r="G107" s="21"/>
      <c r="H107" s="21"/>
      <c r="I107" s="21"/>
      <c r="J107" s="51"/>
      <c r="K107" s="51"/>
      <c r="L107" s="51"/>
    </row>
    <row r="108" spans="1:12" ht="18">
      <c r="A108" s="18"/>
      <c r="B108" s="18"/>
      <c r="C108" s="18"/>
      <c r="D108" s="21"/>
      <c r="E108" s="21"/>
      <c r="F108" s="21"/>
      <c r="G108" s="50">
        <f>G103+G104+G105+G107</f>
        <v>1500000</v>
      </c>
      <c r="H108" s="50"/>
      <c r="I108" s="21"/>
      <c r="J108" s="51"/>
      <c r="K108" s="51"/>
      <c r="L108" s="51"/>
    </row>
    <row r="109" spans="1:12" ht="18">
      <c r="A109" s="51"/>
      <c r="B109" s="51"/>
      <c r="C109" s="51"/>
      <c r="D109" s="104"/>
      <c r="E109" s="51"/>
      <c r="F109" s="104"/>
      <c r="G109" s="51"/>
      <c r="H109" s="51"/>
      <c r="I109" s="51"/>
      <c r="J109" s="51"/>
      <c r="K109" s="51"/>
      <c r="L109" s="51"/>
    </row>
    <row r="110" spans="1:12" ht="18">
      <c r="A110" s="51"/>
      <c r="B110" s="51"/>
      <c r="C110" s="51"/>
      <c r="D110" s="104"/>
      <c r="E110" s="51"/>
      <c r="F110" s="104"/>
      <c r="G110" s="51"/>
      <c r="H110" s="51"/>
      <c r="I110" s="51"/>
      <c r="J110" s="51"/>
      <c r="K110" s="51"/>
      <c r="L110" s="51"/>
    </row>
    <row r="111" spans="1:12">
      <c r="A111" s="644" t="s">
        <v>4301</v>
      </c>
      <c r="B111" s="644"/>
      <c r="C111" s="644"/>
      <c r="D111" s="644"/>
      <c r="E111" s="644"/>
      <c r="F111" s="644"/>
      <c r="G111" s="644"/>
      <c r="H111" s="644"/>
      <c r="J111" s="51"/>
      <c r="K111" s="51"/>
      <c r="L111" s="51"/>
    </row>
    <row r="112" spans="1:12">
      <c r="A112" s="645" t="s">
        <v>653</v>
      </c>
      <c r="B112" s="647" t="s">
        <v>654</v>
      </c>
      <c r="C112" s="645" t="s">
        <v>655</v>
      </c>
      <c r="D112" s="645" t="s">
        <v>12</v>
      </c>
      <c r="E112" s="647" t="s">
        <v>656</v>
      </c>
      <c r="F112" s="645" t="s">
        <v>657</v>
      </c>
      <c r="G112" s="647" t="s">
        <v>658</v>
      </c>
      <c r="H112" s="3" t="s">
        <v>659</v>
      </c>
      <c r="J112" s="51"/>
      <c r="K112" s="51"/>
      <c r="L112" s="51"/>
    </row>
    <row r="113" spans="1:12">
      <c r="A113" s="646"/>
      <c r="B113" s="646"/>
      <c r="C113" s="646"/>
      <c r="D113" s="646"/>
      <c r="E113" s="648"/>
      <c r="F113" s="646"/>
      <c r="G113" s="646"/>
      <c r="H113" s="6" t="s">
        <v>2783</v>
      </c>
      <c r="J113" s="51"/>
      <c r="K113" s="51"/>
      <c r="L113" s="51"/>
    </row>
    <row r="114" spans="1:12">
      <c r="A114" s="7">
        <v>1</v>
      </c>
      <c r="B114" s="7" t="s">
        <v>130</v>
      </c>
      <c r="C114" s="7" t="s">
        <v>153</v>
      </c>
      <c r="D114" s="7" t="s">
        <v>4193</v>
      </c>
      <c r="E114" s="9" t="s">
        <v>703</v>
      </c>
      <c r="F114" s="10" t="s">
        <v>4302</v>
      </c>
      <c r="G114" s="9" t="s">
        <v>4303</v>
      </c>
      <c r="H114" s="9">
        <v>500000</v>
      </c>
    </row>
    <row r="115" spans="1:12">
      <c r="A115" s="7"/>
      <c r="B115" s="7"/>
      <c r="C115" s="7" t="s">
        <v>679</v>
      </c>
      <c r="D115" s="7"/>
      <c r="E115" s="9" t="s">
        <v>4304</v>
      </c>
      <c r="F115" s="10" t="s">
        <v>4302</v>
      </c>
      <c r="G115" s="9" t="s">
        <v>4303</v>
      </c>
      <c r="H115" s="9">
        <v>500000</v>
      </c>
    </row>
    <row r="116" spans="1:12">
      <c r="A116" s="7"/>
      <c r="B116" s="7"/>
      <c r="C116" s="7"/>
      <c r="D116" s="7"/>
      <c r="E116" s="9" t="s">
        <v>4305</v>
      </c>
      <c r="F116" s="10" t="s">
        <v>4306</v>
      </c>
      <c r="G116" s="9" t="s">
        <v>2269</v>
      </c>
      <c r="H116" s="9">
        <v>500000</v>
      </c>
    </row>
    <row r="117" spans="1:12">
      <c r="A117" s="7"/>
      <c r="B117" s="7"/>
      <c r="C117" s="7"/>
      <c r="D117" s="7"/>
      <c r="E117" s="9" t="s">
        <v>4307</v>
      </c>
      <c r="F117" s="732" t="s">
        <v>4308</v>
      </c>
      <c r="G117" s="722" t="s">
        <v>1317</v>
      </c>
      <c r="H117" s="9">
        <v>600000</v>
      </c>
    </row>
    <row r="118" spans="1:12">
      <c r="A118" s="7"/>
      <c r="B118" s="7"/>
      <c r="C118" s="7"/>
      <c r="D118" s="7"/>
      <c r="E118" s="9" t="s">
        <v>4309</v>
      </c>
      <c r="F118" s="782"/>
      <c r="G118" s="771"/>
      <c r="H118" s="9">
        <v>300000</v>
      </c>
    </row>
    <row r="119" spans="1:12">
      <c r="A119" s="7"/>
      <c r="B119" s="7"/>
      <c r="C119" s="7"/>
      <c r="D119" s="7"/>
      <c r="E119" s="9" t="s">
        <v>1066</v>
      </c>
      <c r="F119" s="733"/>
      <c r="G119" s="723"/>
      <c r="H119" s="9">
        <v>-500000</v>
      </c>
      <c r="I119" s="143" t="s">
        <v>4310</v>
      </c>
    </row>
    <row r="120" spans="1:12">
      <c r="A120" s="7"/>
      <c r="B120" s="7"/>
      <c r="C120" s="7"/>
      <c r="D120" s="7"/>
      <c r="E120" s="9"/>
      <c r="F120" s="10"/>
      <c r="G120" s="9"/>
      <c r="H120" s="9"/>
    </row>
    <row r="121" spans="1:12">
      <c r="A121" s="7"/>
      <c r="B121" s="7"/>
      <c r="C121" s="7"/>
      <c r="D121" s="7"/>
      <c r="E121" s="9"/>
      <c r="F121" s="10"/>
      <c r="G121" s="9"/>
      <c r="H121" s="9"/>
    </row>
    <row r="122" spans="1:12">
      <c r="A122" s="7"/>
      <c r="B122" s="7"/>
      <c r="C122" s="7"/>
      <c r="D122" s="7"/>
      <c r="E122" s="9"/>
      <c r="F122" s="10"/>
      <c r="G122" s="9"/>
      <c r="H122" s="9"/>
    </row>
    <row r="123" spans="1:12">
      <c r="A123" s="7"/>
      <c r="B123" s="7"/>
      <c r="C123" s="7"/>
      <c r="D123" s="7"/>
      <c r="E123" s="9"/>
      <c r="F123" s="10"/>
      <c r="G123" s="9"/>
      <c r="H123" s="9">
        <f>SUM(H114:H122)</f>
        <v>1900000</v>
      </c>
    </row>
    <row r="127" spans="1:12">
      <c r="A127" s="644" t="s">
        <v>4311</v>
      </c>
      <c r="B127" s="644"/>
      <c r="C127" s="644"/>
      <c r="D127" s="644"/>
      <c r="E127" s="644"/>
      <c r="F127" s="644"/>
      <c r="G127" s="644"/>
      <c r="H127" s="644"/>
      <c r="J127" s="51"/>
      <c r="K127" s="51"/>
    </row>
    <row r="128" spans="1:12">
      <c r="A128" s="645" t="s">
        <v>653</v>
      </c>
      <c r="B128" s="647" t="s">
        <v>654</v>
      </c>
      <c r="C128" s="645" t="s">
        <v>655</v>
      </c>
      <c r="D128" s="645" t="s">
        <v>12</v>
      </c>
      <c r="E128" s="647" t="s">
        <v>656</v>
      </c>
      <c r="F128" s="645" t="s">
        <v>657</v>
      </c>
      <c r="G128" s="647" t="s">
        <v>658</v>
      </c>
      <c r="H128" s="3" t="s">
        <v>659</v>
      </c>
      <c r="J128" s="51"/>
      <c r="K128" s="51"/>
    </row>
    <row r="129" spans="1:11">
      <c r="A129" s="646"/>
      <c r="B129" s="646"/>
      <c r="C129" s="646"/>
      <c r="D129" s="646"/>
      <c r="E129" s="648"/>
      <c r="F129" s="646"/>
      <c r="G129" s="646"/>
      <c r="H129" s="6" t="s">
        <v>2783</v>
      </c>
      <c r="J129" s="51"/>
      <c r="K129" s="51"/>
    </row>
    <row r="130" spans="1:11">
      <c r="A130" s="7">
        <v>1</v>
      </c>
      <c r="B130" s="7" t="s">
        <v>130</v>
      </c>
      <c r="C130" s="7" t="s">
        <v>153</v>
      </c>
      <c r="D130" s="7" t="s">
        <v>4193</v>
      </c>
      <c r="E130" s="9" t="s">
        <v>703</v>
      </c>
      <c r="F130" s="10" t="s">
        <v>4312</v>
      </c>
      <c r="G130" s="9" t="s">
        <v>4313</v>
      </c>
      <c r="H130" s="9">
        <v>800000</v>
      </c>
    </row>
    <row r="131" spans="1:11">
      <c r="A131" s="7"/>
      <c r="B131" s="7"/>
      <c r="C131" s="7" t="s">
        <v>679</v>
      </c>
      <c r="D131" s="7"/>
      <c r="E131" s="9" t="s">
        <v>4314</v>
      </c>
      <c r="F131" s="10" t="s">
        <v>4312</v>
      </c>
      <c r="G131" s="9" t="s">
        <v>4313</v>
      </c>
      <c r="H131" s="9">
        <v>800000</v>
      </c>
    </row>
    <row r="132" spans="1:11">
      <c r="A132" s="7"/>
      <c r="B132" s="7"/>
      <c r="C132" s="7"/>
      <c r="D132" s="7"/>
      <c r="E132" s="9"/>
      <c r="F132" s="10"/>
      <c r="G132" s="9"/>
      <c r="H132" s="9"/>
    </row>
    <row r="133" spans="1:11">
      <c r="A133" s="7"/>
      <c r="B133" s="7"/>
      <c r="C133" s="7"/>
      <c r="D133" s="7"/>
      <c r="E133" s="9"/>
      <c r="F133" s="732"/>
      <c r="G133" s="722"/>
      <c r="H133" s="9"/>
    </row>
    <row r="134" spans="1:11">
      <c r="A134" s="7"/>
      <c r="B134" s="7"/>
      <c r="C134" s="7"/>
      <c r="D134" s="7"/>
      <c r="E134" s="9"/>
      <c r="F134" s="782"/>
      <c r="G134" s="771"/>
      <c r="H134" s="9"/>
    </row>
    <row r="135" spans="1:11">
      <c r="A135" s="7"/>
      <c r="B135" s="7"/>
      <c r="C135" s="7"/>
      <c r="D135" s="7"/>
      <c r="E135" s="9"/>
      <c r="F135" s="733"/>
      <c r="G135" s="723"/>
      <c r="H135" s="9"/>
    </row>
    <row r="136" spans="1:11">
      <c r="A136" s="7"/>
      <c r="B136" s="7"/>
      <c r="C136" s="7"/>
      <c r="D136" s="7"/>
      <c r="E136" s="9"/>
      <c r="F136" s="10"/>
      <c r="G136" s="9"/>
      <c r="H136" s="9"/>
    </row>
    <row r="137" spans="1:11">
      <c r="A137" s="7"/>
      <c r="B137" s="7"/>
      <c r="C137" s="7"/>
      <c r="D137" s="7"/>
      <c r="E137" s="9"/>
      <c r="F137" s="10"/>
      <c r="G137" s="9"/>
      <c r="H137" s="9"/>
    </row>
    <row r="138" spans="1:11">
      <c r="A138" s="7"/>
      <c r="B138" s="7"/>
      <c r="C138" s="7"/>
      <c r="D138" s="7"/>
      <c r="E138" s="9"/>
      <c r="F138" s="10"/>
      <c r="G138" s="9"/>
      <c r="H138" s="9"/>
    </row>
    <row r="139" spans="1:11">
      <c r="A139" s="7"/>
      <c r="B139" s="7"/>
      <c r="C139" s="7"/>
      <c r="D139" s="7"/>
      <c r="E139" s="9"/>
      <c r="F139" s="10"/>
      <c r="G139" s="9"/>
      <c r="H139" s="9">
        <f>SUM(H130:H138)</f>
        <v>1600000</v>
      </c>
    </row>
    <row r="141" spans="1:11">
      <c r="A141" s="644" t="s">
        <v>77</v>
      </c>
      <c r="B141" s="644"/>
      <c r="C141" s="644"/>
      <c r="D141" s="644"/>
      <c r="E141" s="644"/>
      <c r="F141" s="644"/>
      <c r="G141" s="644"/>
      <c r="H141" s="644"/>
      <c r="J141" s="51"/>
      <c r="K141" s="51"/>
    </row>
    <row r="142" spans="1:11">
      <c r="A142" s="645" t="s">
        <v>653</v>
      </c>
      <c r="B142" s="647" t="s">
        <v>654</v>
      </c>
      <c r="C142" s="645" t="s">
        <v>655</v>
      </c>
      <c r="D142" s="645" t="s">
        <v>12</v>
      </c>
      <c r="E142" s="647" t="s">
        <v>656</v>
      </c>
      <c r="F142" s="645" t="s">
        <v>657</v>
      </c>
      <c r="G142" s="647" t="s">
        <v>658</v>
      </c>
      <c r="H142" s="3" t="s">
        <v>659</v>
      </c>
      <c r="J142" s="51"/>
      <c r="K142" s="51"/>
    </row>
    <row r="143" spans="1:11">
      <c r="A143" s="646"/>
      <c r="B143" s="646"/>
      <c r="C143" s="646"/>
      <c r="D143" s="646"/>
      <c r="E143" s="648"/>
      <c r="F143" s="646"/>
      <c r="G143" s="646"/>
      <c r="H143" s="6" t="s">
        <v>2783</v>
      </c>
      <c r="J143" s="51"/>
      <c r="K143" s="51"/>
    </row>
    <row r="144" spans="1:11">
      <c r="A144" s="7">
        <v>1</v>
      </c>
      <c r="B144" s="7" t="s">
        <v>130</v>
      </c>
      <c r="C144" s="7" t="s">
        <v>153</v>
      </c>
      <c r="D144" s="7" t="s">
        <v>4193</v>
      </c>
      <c r="E144" s="9" t="s">
        <v>703</v>
      </c>
      <c r="F144" s="10" t="s">
        <v>4315</v>
      </c>
      <c r="G144" s="9" t="s">
        <v>2897</v>
      </c>
      <c r="H144" s="9">
        <v>800000</v>
      </c>
    </row>
    <row r="145" spans="1:10">
      <c r="A145" s="7"/>
      <c r="B145" s="7"/>
      <c r="C145" s="7" t="s">
        <v>679</v>
      </c>
      <c r="D145" s="7"/>
      <c r="E145" s="9" t="s">
        <v>2895</v>
      </c>
      <c r="F145" s="10" t="s">
        <v>4315</v>
      </c>
      <c r="G145" s="9" t="s">
        <v>2897</v>
      </c>
      <c r="H145" s="9">
        <v>800000</v>
      </c>
    </row>
    <row r="146" spans="1:10">
      <c r="A146" s="7"/>
      <c r="B146" s="7"/>
      <c r="C146" s="7"/>
      <c r="D146" s="7"/>
      <c r="E146" s="9" t="s">
        <v>2902</v>
      </c>
      <c r="F146" s="10" t="s">
        <v>4316</v>
      </c>
      <c r="G146" s="9" t="s">
        <v>789</v>
      </c>
      <c r="H146" s="9">
        <v>800000</v>
      </c>
    </row>
    <row r="147" spans="1:10">
      <c r="A147" s="7"/>
      <c r="B147" s="7"/>
      <c r="C147" s="7"/>
      <c r="D147" s="7"/>
      <c r="E147" s="9" t="s">
        <v>4317</v>
      </c>
      <c r="F147" s="470" t="s">
        <v>4316</v>
      </c>
      <c r="G147" s="468" t="s">
        <v>789</v>
      </c>
      <c r="H147" s="9">
        <v>270000</v>
      </c>
    </row>
    <row r="148" spans="1:10">
      <c r="A148" s="7"/>
      <c r="B148" s="7"/>
      <c r="C148" s="7"/>
      <c r="D148" s="7"/>
      <c r="E148" s="9" t="s">
        <v>684</v>
      </c>
      <c r="F148" s="474"/>
      <c r="G148" s="471" t="s">
        <v>789</v>
      </c>
      <c r="H148" s="9">
        <v>-800000</v>
      </c>
      <c r="I148" s="476" t="s">
        <v>4318</v>
      </c>
      <c r="J148" s="438"/>
    </row>
    <row r="149" spans="1:10">
      <c r="A149" s="7"/>
      <c r="B149" s="7"/>
      <c r="C149" s="7"/>
      <c r="D149" s="7"/>
      <c r="E149" s="9" t="s">
        <v>869</v>
      </c>
      <c r="F149" s="475"/>
      <c r="G149" s="469" t="s">
        <v>789</v>
      </c>
      <c r="H149" s="9">
        <v>-14500</v>
      </c>
    </row>
    <row r="150" spans="1:10">
      <c r="A150" s="7"/>
      <c r="B150" s="7"/>
      <c r="C150" s="7"/>
      <c r="D150" s="7"/>
      <c r="E150" s="9"/>
      <c r="F150" s="10"/>
      <c r="G150" s="9"/>
      <c r="H150" s="9"/>
    </row>
    <row r="151" spans="1:10">
      <c r="A151" s="7"/>
      <c r="B151" s="7"/>
      <c r="C151" s="7"/>
      <c r="D151" s="7"/>
      <c r="E151" s="9"/>
      <c r="F151" s="10"/>
      <c r="G151" s="9"/>
      <c r="H151" s="9"/>
    </row>
    <row r="152" spans="1:10">
      <c r="A152" s="7"/>
      <c r="B152" s="7"/>
      <c r="C152" s="7"/>
      <c r="D152" s="7"/>
      <c r="E152" s="9"/>
      <c r="F152" s="10"/>
      <c r="G152" s="9"/>
      <c r="H152" s="9"/>
    </row>
    <row r="153" spans="1:10">
      <c r="A153" s="7"/>
      <c r="B153" s="7"/>
      <c r="C153" s="7"/>
      <c r="D153" s="7"/>
      <c r="E153" s="9"/>
      <c r="F153" s="10"/>
      <c r="G153" s="9"/>
      <c r="H153" s="9">
        <f>SUM(H144:H152)</f>
        <v>1855500</v>
      </c>
    </row>
    <row r="157" spans="1:10">
      <c r="A157" s="644" t="s">
        <v>151</v>
      </c>
      <c r="B157" s="644"/>
      <c r="C157" s="644"/>
      <c r="D157" s="644"/>
      <c r="E157" s="644"/>
      <c r="F157" s="644"/>
      <c r="G157" s="644"/>
      <c r="H157" s="644"/>
    </row>
    <row r="158" spans="1:10">
      <c r="A158" s="645" t="s">
        <v>653</v>
      </c>
      <c r="B158" s="647" t="s">
        <v>654</v>
      </c>
      <c r="C158" s="645" t="s">
        <v>655</v>
      </c>
      <c r="D158" s="645" t="s">
        <v>12</v>
      </c>
      <c r="E158" s="647" t="s">
        <v>656</v>
      </c>
      <c r="F158" s="645" t="s">
        <v>657</v>
      </c>
      <c r="G158" s="647" t="s">
        <v>658</v>
      </c>
      <c r="H158" s="3" t="s">
        <v>659</v>
      </c>
    </row>
    <row r="159" spans="1:10">
      <c r="A159" s="646"/>
      <c r="B159" s="646"/>
      <c r="C159" s="646"/>
      <c r="D159" s="646"/>
      <c r="E159" s="648"/>
      <c r="F159" s="646"/>
      <c r="G159" s="646"/>
      <c r="H159" s="6" t="s">
        <v>2783</v>
      </c>
    </row>
    <row r="160" spans="1:10">
      <c r="A160" s="7">
        <v>1</v>
      </c>
      <c r="B160" s="7" t="s">
        <v>130</v>
      </c>
      <c r="C160" s="7" t="s">
        <v>153</v>
      </c>
      <c r="D160" s="7" t="s">
        <v>4193</v>
      </c>
      <c r="E160" s="9" t="s">
        <v>661</v>
      </c>
      <c r="F160" s="10" t="s">
        <v>4319</v>
      </c>
      <c r="G160" s="9" t="s">
        <v>1331</v>
      </c>
      <c r="H160" s="9">
        <v>800000</v>
      </c>
      <c r="I160" s="143" t="s">
        <v>664</v>
      </c>
    </row>
    <row r="161" spans="1:9">
      <c r="A161" s="7"/>
      <c r="B161" s="7"/>
      <c r="C161" s="7" t="s">
        <v>679</v>
      </c>
      <c r="D161" s="7"/>
      <c r="E161" s="9" t="s">
        <v>155</v>
      </c>
      <c r="F161" s="10" t="s">
        <v>4319</v>
      </c>
      <c r="G161" s="9" t="s">
        <v>1331</v>
      </c>
      <c r="H161" s="9">
        <v>800000</v>
      </c>
      <c r="I161" s="143" t="s">
        <v>664</v>
      </c>
    </row>
    <row r="162" spans="1:9">
      <c r="A162" s="7"/>
      <c r="B162" s="7"/>
      <c r="C162" s="7"/>
      <c r="D162" s="7"/>
      <c r="E162" s="9"/>
      <c r="F162" s="10"/>
      <c r="G162" s="9"/>
      <c r="H162" s="9"/>
    </row>
    <row r="163" spans="1:9">
      <c r="A163" s="7"/>
      <c r="B163" s="7"/>
      <c r="C163" s="7"/>
      <c r="D163" s="7"/>
      <c r="E163" s="9"/>
      <c r="F163" s="470"/>
      <c r="G163" s="468"/>
      <c r="H163" s="9"/>
    </row>
    <row r="164" spans="1:9">
      <c r="A164" s="7"/>
      <c r="B164" s="7"/>
      <c r="C164" s="7"/>
      <c r="D164" s="7"/>
      <c r="E164" s="9"/>
      <c r="F164" s="474"/>
      <c r="G164" s="471"/>
      <c r="H164" s="9"/>
    </row>
    <row r="165" spans="1:9">
      <c r="A165" s="7"/>
      <c r="B165" s="7"/>
      <c r="C165" s="7"/>
      <c r="D165" s="7"/>
      <c r="E165" s="9"/>
      <c r="F165" s="475"/>
      <c r="G165" s="469"/>
      <c r="H165" s="9"/>
    </row>
    <row r="166" spans="1:9">
      <c r="A166" s="7"/>
      <c r="B166" s="7"/>
      <c r="C166" s="7"/>
      <c r="D166" s="7"/>
      <c r="E166" s="9"/>
      <c r="F166" s="10"/>
      <c r="G166" s="9"/>
      <c r="H166" s="9"/>
    </row>
    <row r="167" spans="1:9">
      <c r="A167" s="7"/>
      <c r="B167" s="7"/>
      <c r="C167" s="7"/>
      <c r="D167" s="7"/>
      <c r="E167" s="9"/>
      <c r="F167" s="10"/>
      <c r="G167" s="9"/>
      <c r="H167" s="9"/>
    </row>
    <row r="168" spans="1:9">
      <c r="A168" s="7"/>
      <c r="B168" s="7"/>
      <c r="C168" s="7"/>
      <c r="D168" s="7"/>
      <c r="E168" s="9"/>
      <c r="F168" s="10"/>
      <c r="G168" s="9"/>
      <c r="H168" s="9"/>
    </row>
    <row r="169" spans="1:9">
      <c r="A169" s="7"/>
      <c r="B169" s="7"/>
      <c r="C169" s="7"/>
      <c r="D169" s="7"/>
      <c r="E169" s="9"/>
      <c r="F169" s="10"/>
      <c r="G169" s="9"/>
      <c r="H169" s="9">
        <f>SUM(H160:H168)</f>
        <v>1600000</v>
      </c>
    </row>
  </sheetData>
  <mergeCells count="79">
    <mergeCell ref="A2:I2"/>
    <mergeCell ref="A7:I7"/>
    <mergeCell ref="A12:H13"/>
    <mergeCell ref="A14:A15"/>
    <mergeCell ref="B14:B15"/>
    <mergeCell ref="C14:C15"/>
    <mergeCell ref="D14:D15"/>
    <mergeCell ref="E14:E15"/>
    <mergeCell ref="F14:F15"/>
    <mergeCell ref="G14:G15"/>
    <mergeCell ref="A44:H45"/>
    <mergeCell ref="A46:A47"/>
    <mergeCell ref="B46:B47"/>
    <mergeCell ref="C46:C47"/>
    <mergeCell ref="D46:D47"/>
    <mergeCell ref="E46:E47"/>
    <mergeCell ref="F46:F47"/>
    <mergeCell ref="G46:G47"/>
    <mergeCell ref="A58:H58"/>
    <mergeCell ref="A59:A60"/>
    <mergeCell ref="B59:B60"/>
    <mergeCell ref="C59:C60"/>
    <mergeCell ref="D59:D60"/>
    <mergeCell ref="E59:E60"/>
    <mergeCell ref="F59:F60"/>
    <mergeCell ref="G59:G60"/>
    <mergeCell ref="A71:H71"/>
    <mergeCell ref="A72:A73"/>
    <mergeCell ref="B72:B73"/>
    <mergeCell ref="C72:C73"/>
    <mergeCell ref="D72:D73"/>
    <mergeCell ref="E72:E73"/>
    <mergeCell ref="F72:F73"/>
    <mergeCell ref="G72:G73"/>
    <mergeCell ref="A86:H86"/>
    <mergeCell ref="A87:A88"/>
    <mergeCell ref="B87:B88"/>
    <mergeCell ref="C87:C88"/>
    <mergeCell ref="D87:D88"/>
    <mergeCell ref="E87:E88"/>
    <mergeCell ref="F87:F88"/>
    <mergeCell ref="G87:G88"/>
    <mergeCell ref="A101:I101"/>
    <mergeCell ref="A111:H111"/>
    <mergeCell ref="A112:A113"/>
    <mergeCell ref="B112:B113"/>
    <mergeCell ref="C112:C113"/>
    <mergeCell ref="D112:D113"/>
    <mergeCell ref="E112:E113"/>
    <mergeCell ref="F112:F113"/>
    <mergeCell ref="G112:G113"/>
    <mergeCell ref="F117:F119"/>
    <mergeCell ref="G117:G119"/>
    <mergeCell ref="A127:H127"/>
    <mergeCell ref="A128:A129"/>
    <mergeCell ref="B128:B129"/>
    <mergeCell ref="C128:C129"/>
    <mergeCell ref="D128:D129"/>
    <mergeCell ref="E128:E129"/>
    <mergeCell ref="F128:F129"/>
    <mergeCell ref="G128:G129"/>
    <mergeCell ref="F133:F135"/>
    <mergeCell ref="G133:G135"/>
    <mergeCell ref="A141:H141"/>
    <mergeCell ref="A142:A143"/>
    <mergeCell ref="B142:B143"/>
    <mergeCell ref="C142:C143"/>
    <mergeCell ref="D142:D143"/>
    <mergeCell ref="E142:E143"/>
    <mergeCell ref="F142:F143"/>
    <mergeCell ref="G142:G143"/>
    <mergeCell ref="A157:H157"/>
    <mergeCell ref="A158:A159"/>
    <mergeCell ref="B158:B159"/>
    <mergeCell ref="C158:C159"/>
    <mergeCell ref="D158:D159"/>
    <mergeCell ref="E158:E159"/>
    <mergeCell ref="F158:F159"/>
    <mergeCell ref="G158:G159"/>
  </mergeCells>
  <hyperlinks>
    <hyperlink ref="B1" location="Name!A1" display="Name!A1" xr:uid="{13A3CF78-1BE3-43D4-8FEE-B3DAAAC24655}"/>
  </hyperlinks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5096-AAA3-4ED8-8F84-57E263161CBB}">
  <dimension ref="A1:M89"/>
  <sheetViews>
    <sheetView workbookViewId="0"/>
  </sheetViews>
  <sheetFormatPr defaultColWidth="9.140625" defaultRowHeight="18.75"/>
  <cols>
    <col min="1" max="2" width="9.140625" style="15"/>
    <col min="3" max="3" width="14.42578125" style="15" customWidth="1"/>
    <col min="4" max="4" width="9.140625" style="15"/>
    <col min="5" max="5" width="29.85546875" style="15" customWidth="1"/>
    <col min="6" max="7" width="9.140625" style="15"/>
    <col min="8" max="8" width="17.28515625" style="15" customWidth="1"/>
    <col min="9" max="10" width="9.140625" style="15"/>
    <col min="11" max="11" width="14.85546875" style="523" customWidth="1"/>
    <col min="12" max="12" width="33.42578125" style="523" customWidth="1"/>
    <col min="13" max="13" width="20.7109375" style="524" customWidth="1"/>
    <col min="14" max="16384" width="9.140625" style="15"/>
  </cols>
  <sheetData>
    <row r="1" spans="1:9">
      <c r="A1" s="411" t="s">
        <v>648</v>
      </c>
    </row>
    <row r="2" spans="1:9" ht="15" customHeight="1">
      <c r="A2" s="675" t="s">
        <v>4320</v>
      </c>
      <c r="B2" s="675"/>
      <c r="C2" s="675"/>
      <c r="D2" s="675"/>
      <c r="E2" s="675"/>
      <c r="F2" s="675"/>
      <c r="G2" s="675"/>
      <c r="H2" s="675"/>
    </row>
    <row r="3" spans="1:9" ht="15" customHeight="1">
      <c r="A3" s="651"/>
      <c r="B3" s="651"/>
      <c r="C3" s="651"/>
      <c r="D3" s="651"/>
      <c r="E3" s="651"/>
      <c r="F3" s="651"/>
      <c r="G3" s="651"/>
      <c r="H3" s="651"/>
    </row>
    <row r="4" spans="1:9" ht="18" customHeight="1">
      <c r="A4" s="676" t="s">
        <v>653</v>
      </c>
      <c r="B4" s="678" t="s">
        <v>654</v>
      </c>
      <c r="C4" s="676" t="s">
        <v>655</v>
      </c>
      <c r="D4" s="676" t="s">
        <v>12</v>
      </c>
      <c r="E4" s="678" t="s">
        <v>656</v>
      </c>
      <c r="F4" s="676" t="s">
        <v>657</v>
      </c>
      <c r="G4" s="678" t="s">
        <v>658</v>
      </c>
      <c r="H4" s="161" t="s">
        <v>659</v>
      </c>
    </row>
    <row r="5" spans="1:9">
      <c r="A5" s="677"/>
      <c r="B5" s="677"/>
      <c r="C5" s="677"/>
      <c r="D5" s="677"/>
      <c r="E5" s="679"/>
      <c r="F5" s="677"/>
      <c r="G5" s="677"/>
      <c r="H5" s="163" t="s">
        <v>660</v>
      </c>
    </row>
    <row r="6" spans="1:9">
      <c r="A6" s="18">
        <v>1</v>
      </c>
      <c r="B6" s="18" t="s">
        <v>130</v>
      </c>
      <c r="C6" s="18" t="s">
        <v>138</v>
      </c>
      <c r="D6" s="18" t="s">
        <v>4321</v>
      </c>
      <c r="E6" s="21" t="s">
        <v>1202</v>
      </c>
      <c r="F6" s="164" t="s">
        <v>1203</v>
      </c>
      <c r="G6" s="21" t="s">
        <v>1204</v>
      </c>
      <c r="H6" s="21">
        <v>500000</v>
      </c>
    </row>
    <row r="7" spans="1:9">
      <c r="A7" s="18"/>
      <c r="B7" s="18"/>
      <c r="C7" s="18"/>
      <c r="D7" s="18"/>
      <c r="E7" s="21" t="s">
        <v>1205</v>
      </c>
      <c r="F7" s="164" t="s">
        <v>1203</v>
      </c>
      <c r="G7" s="21" t="s">
        <v>1204</v>
      </c>
      <c r="H7" s="21">
        <v>500000</v>
      </c>
      <c r="I7" s="15">
        <v>1</v>
      </c>
    </row>
    <row r="8" spans="1:9">
      <c r="A8" s="18"/>
      <c r="B8" s="18"/>
      <c r="C8" s="18"/>
      <c r="D8" s="18"/>
      <c r="E8" s="21" t="s">
        <v>4322</v>
      </c>
      <c r="F8" s="164" t="s">
        <v>1633</v>
      </c>
      <c r="G8" s="21" t="s">
        <v>1175</v>
      </c>
      <c r="H8" s="21">
        <v>450000</v>
      </c>
      <c r="I8" s="15">
        <v>1</v>
      </c>
    </row>
    <row r="9" spans="1:9">
      <c r="A9" s="18"/>
      <c r="B9" s="18"/>
      <c r="C9" s="18"/>
      <c r="D9" s="18"/>
      <c r="E9" s="21" t="s">
        <v>4323</v>
      </c>
      <c r="F9" s="164" t="s">
        <v>4324</v>
      </c>
      <c r="G9" s="21" t="s">
        <v>4325</v>
      </c>
      <c r="H9" s="21">
        <v>450000</v>
      </c>
      <c r="I9" s="15">
        <v>1</v>
      </c>
    </row>
    <row r="10" spans="1:9">
      <c r="A10" s="18"/>
      <c r="B10" s="18"/>
      <c r="C10" s="18"/>
      <c r="D10" s="18"/>
      <c r="E10" s="21" t="s">
        <v>4326</v>
      </c>
      <c r="F10" s="164" t="s">
        <v>4324</v>
      </c>
      <c r="G10" s="21" t="s">
        <v>4325</v>
      </c>
      <c r="H10" s="21">
        <v>450000</v>
      </c>
      <c r="I10" s="15">
        <v>1</v>
      </c>
    </row>
    <row r="11" spans="1:9">
      <c r="A11" s="18"/>
      <c r="B11" s="18"/>
      <c r="C11" s="18"/>
      <c r="D11" s="18"/>
      <c r="E11" s="21" t="s">
        <v>4327</v>
      </c>
      <c r="F11" s="164" t="s">
        <v>3049</v>
      </c>
      <c r="G11" s="21" t="s">
        <v>4328</v>
      </c>
      <c r="H11" s="21">
        <v>450000</v>
      </c>
      <c r="I11" s="15">
        <v>1</v>
      </c>
    </row>
    <row r="12" spans="1:9">
      <c r="A12" s="18"/>
      <c r="B12" s="18"/>
      <c r="C12" s="18"/>
      <c r="D12" s="18"/>
      <c r="E12" s="21" t="s">
        <v>4329</v>
      </c>
      <c r="F12" s="164" t="s">
        <v>3049</v>
      </c>
      <c r="G12" s="21" t="s">
        <v>4328</v>
      </c>
      <c r="H12" s="21">
        <v>450000</v>
      </c>
      <c r="I12" s="15">
        <v>1</v>
      </c>
    </row>
    <row r="13" spans="1:9">
      <c r="A13" s="18"/>
      <c r="B13" s="18"/>
      <c r="C13" s="18"/>
      <c r="D13" s="18"/>
      <c r="E13" s="21" t="s">
        <v>4330</v>
      </c>
      <c r="F13" s="164" t="s">
        <v>3049</v>
      </c>
      <c r="G13" s="21" t="s">
        <v>4328</v>
      </c>
      <c r="H13" s="21">
        <v>450000</v>
      </c>
      <c r="I13" s="15">
        <v>1</v>
      </c>
    </row>
    <row r="14" spans="1:9">
      <c r="A14" s="18"/>
      <c r="B14" s="18"/>
      <c r="C14" s="18"/>
      <c r="D14" s="18"/>
      <c r="E14" s="21" t="s">
        <v>4331</v>
      </c>
      <c r="F14" s="164" t="s">
        <v>4332</v>
      </c>
      <c r="G14" s="21" t="s">
        <v>4333</v>
      </c>
      <c r="H14" s="21">
        <v>450000</v>
      </c>
      <c r="I14" s="15">
        <v>1</v>
      </c>
    </row>
    <row r="15" spans="1:9">
      <c r="A15" s="18"/>
      <c r="B15" s="18"/>
      <c r="C15" s="18"/>
      <c r="D15" s="18"/>
      <c r="E15" s="21" t="s">
        <v>4334</v>
      </c>
      <c r="F15" s="164" t="s">
        <v>4335</v>
      </c>
      <c r="G15" s="21" t="s">
        <v>4333</v>
      </c>
      <c r="H15" s="21">
        <v>450000</v>
      </c>
      <c r="I15" s="15">
        <v>1</v>
      </c>
    </row>
    <row r="16" spans="1:9">
      <c r="A16" s="18"/>
      <c r="B16" s="18"/>
      <c r="C16" s="18"/>
      <c r="D16" s="18"/>
      <c r="E16" s="21" t="s">
        <v>4336</v>
      </c>
      <c r="F16" s="164" t="s">
        <v>4337</v>
      </c>
      <c r="G16" s="21" t="s">
        <v>4333</v>
      </c>
      <c r="H16" s="21">
        <v>450000</v>
      </c>
      <c r="I16" s="15">
        <v>1</v>
      </c>
    </row>
    <row r="17" spans="1:9">
      <c r="A17" s="18"/>
      <c r="B17" s="18"/>
      <c r="C17" s="18"/>
      <c r="D17" s="18"/>
      <c r="E17" s="21" t="s">
        <v>4338</v>
      </c>
      <c r="F17" s="164" t="s">
        <v>4339</v>
      </c>
      <c r="G17" s="21" t="s">
        <v>4340</v>
      </c>
      <c r="H17" s="21">
        <v>1800000</v>
      </c>
      <c r="I17" s="15">
        <v>4</v>
      </c>
    </row>
    <row r="18" spans="1:9">
      <c r="A18" s="18"/>
      <c r="B18" s="18"/>
      <c r="C18" s="18"/>
      <c r="D18" s="18"/>
      <c r="E18" s="21" t="s">
        <v>4341</v>
      </c>
      <c r="F18" s="164" t="s">
        <v>4342</v>
      </c>
      <c r="G18" s="21" t="s">
        <v>4343</v>
      </c>
      <c r="H18" s="21">
        <v>450000</v>
      </c>
      <c r="I18" s="15">
        <v>1</v>
      </c>
    </row>
    <row r="19" spans="1:9" ht="15" customHeight="1">
      <c r="A19" s="18"/>
      <c r="B19" s="18"/>
      <c r="C19" s="18"/>
      <c r="D19" s="18"/>
      <c r="E19" s="21" t="s">
        <v>4344</v>
      </c>
      <c r="F19" s="164" t="s">
        <v>4345</v>
      </c>
      <c r="G19" s="21" t="s">
        <v>4346</v>
      </c>
      <c r="H19" s="21">
        <v>1800000</v>
      </c>
      <c r="I19" s="15">
        <v>4</v>
      </c>
    </row>
    <row r="20" spans="1:9" ht="15" customHeight="1">
      <c r="A20" s="18"/>
      <c r="B20" s="18"/>
      <c r="C20" s="18"/>
      <c r="D20" s="18"/>
      <c r="E20" s="21" t="s">
        <v>4347</v>
      </c>
      <c r="F20" s="164" t="s">
        <v>4348</v>
      </c>
      <c r="G20" s="21" t="s">
        <v>2851</v>
      </c>
      <c r="H20" s="21">
        <v>2250000</v>
      </c>
      <c r="I20" s="15">
        <v>5</v>
      </c>
    </row>
    <row r="21" spans="1:9" ht="15" customHeight="1">
      <c r="A21" s="18"/>
      <c r="B21" s="18"/>
      <c r="C21" s="18"/>
      <c r="D21" s="18"/>
      <c r="E21" s="21" t="s">
        <v>4349</v>
      </c>
      <c r="F21" s="164" t="s">
        <v>4350</v>
      </c>
      <c r="G21" s="21" t="s">
        <v>3268</v>
      </c>
      <c r="H21" s="21">
        <v>2700000</v>
      </c>
    </row>
    <row r="22" spans="1:9">
      <c r="A22" s="18"/>
      <c r="B22" s="18"/>
      <c r="C22" s="18"/>
      <c r="D22" s="18"/>
      <c r="E22" s="21" t="s">
        <v>4351</v>
      </c>
      <c r="F22" s="164" t="s">
        <v>4352</v>
      </c>
      <c r="G22" s="21" t="s">
        <v>3268</v>
      </c>
      <c r="H22" s="21">
        <v>900000</v>
      </c>
    </row>
    <row r="23" spans="1:9">
      <c r="A23" s="18"/>
      <c r="B23" s="18"/>
      <c r="C23" s="18"/>
      <c r="D23" s="18"/>
      <c r="E23" s="21"/>
      <c r="F23" s="18"/>
      <c r="G23" s="21"/>
      <c r="H23" s="21"/>
    </row>
    <row r="24" spans="1:9">
      <c r="A24" s="18"/>
      <c r="B24" s="18"/>
      <c r="C24" s="18"/>
      <c r="D24" s="18"/>
      <c r="E24" s="21"/>
      <c r="F24" s="18"/>
      <c r="G24" s="21"/>
      <c r="H24" s="21"/>
    </row>
    <row r="25" spans="1:9">
      <c r="A25" s="18"/>
      <c r="B25" s="18"/>
      <c r="C25" s="18"/>
      <c r="D25" s="18"/>
      <c r="E25" s="21"/>
      <c r="F25" s="18"/>
      <c r="G25" s="21"/>
      <c r="H25" s="21">
        <f>SUM(H6:H24)</f>
        <v>14950000</v>
      </c>
    </row>
    <row r="29" spans="1:9">
      <c r="A29" s="675" t="s">
        <v>2062</v>
      </c>
      <c r="B29" s="675"/>
      <c r="C29" s="675"/>
      <c r="D29" s="675"/>
      <c r="E29" s="675"/>
      <c r="F29" s="675"/>
      <c r="G29" s="675"/>
      <c r="H29" s="675"/>
    </row>
    <row r="30" spans="1:9">
      <c r="A30" s="651"/>
      <c r="B30" s="651"/>
      <c r="C30" s="651"/>
      <c r="D30" s="651"/>
      <c r="E30" s="651"/>
      <c r="F30" s="651"/>
      <c r="G30" s="651"/>
      <c r="H30" s="651"/>
    </row>
    <row r="31" spans="1:9">
      <c r="A31" s="676" t="s">
        <v>653</v>
      </c>
      <c r="B31" s="678" t="s">
        <v>654</v>
      </c>
      <c r="C31" s="676" t="s">
        <v>655</v>
      </c>
      <c r="D31" s="676" t="s">
        <v>12</v>
      </c>
      <c r="E31" s="678" t="s">
        <v>656</v>
      </c>
      <c r="F31" s="676" t="s">
        <v>657</v>
      </c>
      <c r="G31" s="678" t="s">
        <v>658</v>
      </c>
      <c r="H31" s="161" t="s">
        <v>659</v>
      </c>
    </row>
    <row r="32" spans="1:9">
      <c r="A32" s="677"/>
      <c r="B32" s="677"/>
      <c r="C32" s="677"/>
      <c r="D32" s="677"/>
      <c r="E32" s="679"/>
      <c r="F32" s="677"/>
      <c r="G32" s="677"/>
      <c r="H32" s="163" t="s">
        <v>660</v>
      </c>
    </row>
    <row r="33" spans="1:9" ht="25.5" customHeight="1">
      <c r="A33" s="18">
        <v>1</v>
      </c>
      <c r="B33" s="18" t="s">
        <v>130</v>
      </c>
      <c r="C33" s="18" t="s">
        <v>138</v>
      </c>
      <c r="D33" s="18" t="s">
        <v>4321</v>
      </c>
      <c r="E33" s="21" t="s">
        <v>1202</v>
      </c>
      <c r="F33" s="164" t="s">
        <v>2355</v>
      </c>
      <c r="G33" s="21" t="s">
        <v>4353</v>
      </c>
      <c r="H33" s="21">
        <v>500000</v>
      </c>
    </row>
    <row r="34" spans="1:9" ht="25.5" customHeight="1">
      <c r="A34" s="18"/>
      <c r="B34" s="18"/>
      <c r="C34" s="18"/>
      <c r="D34" s="18"/>
      <c r="E34" s="21" t="s">
        <v>4354</v>
      </c>
      <c r="F34" s="164" t="s">
        <v>2355</v>
      </c>
      <c r="G34" s="21" t="s">
        <v>4353</v>
      </c>
      <c r="H34" s="21">
        <v>500000</v>
      </c>
    </row>
    <row r="35" spans="1:9" ht="25.5" customHeight="1">
      <c r="A35" s="18"/>
      <c r="B35" s="18"/>
      <c r="C35" s="18"/>
      <c r="D35" s="18"/>
      <c r="E35" s="21" t="s">
        <v>4355</v>
      </c>
      <c r="F35" s="164" t="s">
        <v>4356</v>
      </c>
      <c r="G35" s="21" t="s">
        <v>4357</v>
      </c>
      <c r="H35" s="21">
        <v>500000</v>
      </c>
    </row>
    <row r="36" spans="1:9" ht="25.5" customHeight="1">
      <c r="A36" s="18"/>
      <c r="B36" s="18"/>
      <c r="C36" s="18"/>
      <c r="D36" s="18"/>
      <c r="E36" s="21" t="s">
        <v>1202</v>
      </c>
      <c r="F36" s="164"/>
      <c r="G36" s="21" t="s">
        <v>4358</v>
      </c>
      <c r="H36" s="21">
        <v>-500000</v>
      </c>
      <c r="I36" s="15" t="s">
        <v>4359</v>
      </c>
    </row>
    <row r="37" spans="1:9" ht="25.5" customHeight="1">
      <c r="A37" s="18"/>
      <c r="B37" s="18"/>
      <c r="C37" s="18"/>
      <c r="D37" s="18"/>
      <c r="E37" s="21"/>
      <c r="F37" s="164"/>
      <c r="G37" s="21"/>
      <c r="H37" s="21"/>
    </row>
    <row r="38" spans="1:9" ht="25.5" customHeight="1">
      <c r="A38" s="18"/>
      <c r="B38" s="18"/>
      <c r="C38" s="18"/>
      <c r="D38" s="18"/>
      <c r="E38" s="21"/>
      <c r="F38" s="164"/>
      <c r="G38" s="21"/>
      <c r="H38" s="21"/>
    </row>
    <row r="39" spans="1:9" ht="25.5" customHeight="1">
      <c r="A39" s="18"/>
      <c r="B39" s="18"/>
      <c r="C39" s="18"/>
      <c r="D39" s="18"/>
      <c r="E39" s="21"/>
      <c r="F39" s="18"/>
      <c r="G39" s="21"/>
      <c r="H39" s="21"/>
    </row>
    <row r="40" spans="1:9" ht="25.5" customHeight="1">
      <c r="A40" s="18"/>
      <c r="B40" s="18"/>
      <c r="C40" s="18"/>
      <c r="D40" s="18"/>
      <c r="E40" s="21"/>
      <c r="F40" s="18"/>
      <c r="G40" s="21"/>
      <c r="H40" s="21"/>
    </row>
    <row r="41" spans="1:9" ht="25.5" customHeight="1">
      <c r="A41" s="18"/>
      <c r="B41" s="18"/>
      <c r="C41" s="18"/>
      <c r="D41" s="18"/>
      <c r="E41" s="21"/>
      <c r="F41" s="18"/>
      <c r="G41" s="21"/>
      <c r="H41" s="21">
        <f>SUM(H33:H40)</f>
        <v>1000000</v>
      </c>
    </row>
    <row r="44" spans="1:9" ht="16.5" customHeight="1">
      <c r="A44" s="675" t="s">
        <v>4360</v>
      </c>
      <c r="B44" s="675"/>
      <c r="C44" s="675"/>
      <c r="D44" s="675"/>
      <c r="E44" s="675"/>
      <c r="F44" s="675"/>
      <c r="G44" s="675"/>
      <c r="H44" s="675"/>
    </row>
    <row r="45" spans="1:9" ht="16.5" customHeight="1">
      <c r="A45" s="651"/>
      <c r="B45" s="651"/>
      <c r="C45" s="651"/>
      <c r="D45" s="651"/>
      <c r="E45" s="651"/>
      <c r="F45" s="651"/>
      <c r="G45" s="651"/>
      <c r="H45" s="651"/>
    </row>
    <row r="46" spans="1:9">
      <c r="A46" s="676" t="s">
        <v>653</v>
      </c>
      <c r="B46" s="678" t="s">
        <v>654</v>
      </c>
      <c r="C46" s="676" t="s">
        <v>655</v>
      </c>
      <c r="D46" s="676" t="s">
        <v>12</v>
      </c>
      <c r="E46" s="678" t="s">
        <v>656</v>
      </c>
      <c r="F46" s="676" t="s">
        <v>657</v>
      </c>
      <c r="G46" s="678" t="s">
        <v>658</v>
      </c>
      <c r="H46" s="161" t="s">
        <v>659</v>
      </c>
    </row>
    <row r="47" spans="1:9">
      <c r="A47" s="677"/>
      <c r="B47" s="677"/>
      <c r="C47" s="677"/>
      <c r="D47" s="677"/>
      <c r="E47" s="679"/>
      <c r="F47" s="677"/>
      <c r="G47" s="677"/>
      <c r="H47" s="163" t="s">
        <v>660</v>
      </c>
    </row>
    <row r="48" spans="1:9">
      <c r="A48" s="18">
        <v>1</v>
      </c>
      <c r="B48" s="18" t="s">
        <v>130</v>
      </c>
      <c r="C48" s="18" t="s">
        <v>138</v>
      </c>
      <c r="D48" s="18" t="s">
        <v>4321</v>
      </c>
      <c r="E48" s="21" t="s">
        <v>703</v>
      </c>
      <c r="F48" s="164" t="s">
        <v>4361</v>
      </c>
      <c r="G48" s="21" t="s">
        <v>4362</v>
      </c>
      <c r="H48" s="21">
        <v>500000</v>
      </c>
    </row>
    <row r="49" spans="1:10">
      <c r="A49" s="18"/>
      <c r="B49" s="18"/>
      <c r="C49" s="18"/>
      <c r="D49" s="18"/>
      <c r="E49" s="21" t="s">
        <v>4078</v>
      </c>
      <c r="F49" s="164" t="s">
        <v>4361</v>
      </c>
      <c r="G49" s="21" t="s">
        <v>4362</v>
      </c>
      <c r="H49" s="21">
        <v>500000</v>
      </c>
    </row>
    <row r="50" spans="1:10">
      <c r="A50" s="18"/>
      <c r="B50" s="18"/>
      <c r="C50" s="18"/>
      <c r="D50" s="18"/>
      <c r="E50" s="21" t="s">
        <v>1913</v>
      </c>
      <c r="F50" s="164" t="s">
        <v>4363</v>
      </c>
      <c r="G50" s="21" t="s">
        <v>4364</v>
      </c>
      <c r="H50" s="21">
        <v>500000</v>
      </c>
    </row>
    <row r="51" spans="1:10">
      <c r="A51" s="18"/>
      <c r="B51" s="18"/>
      <c r="C51" s="18"/>
      <c r="D51" s="18"/>
      <c r="E51" s="21" t="s">
        <v>4084</v>
      </c>
      <c r="F51" s="164" t="s">
        <v>4365</v>
      </c>
      <c r="G51" s="21" t="s">
        <v>3069</v>
      </c>
      <c r="H51" s="21">
        <v>500000</v>
      </c>
    </row>
    <row r="52" spans="1:10">
      <c r="A52" s="18"/>
      <c r="B52" s="18"/>
      <c r="C52" s="18"/>
      <c r="D52" s="18"/>
      <c r="E52" s="21" t="s">
        <v>4088</v>
      </c>
      <c r="F52" s="164" t="s">
        <v>2882</v>
      </c>
      <c r="G52" s="21" t="s">
        <v>1067</v>
      </c>
      <c r="H52" s="21">
        <v>500000</v>
      </c>
    </row>
    <row r="53" spans="1:10">
      <c r="A53" s="18"/>
      <c r="B53" s="18"/>
      <c r="C53" s="18"/>
      <c r="D53" s="18"/>
      <c r="E53" s="21" t="s">
        <v>4093</v>
      </c>
      <c r="F53" s="164" t="s">
        <v>1349</v>
      </c>
      <c r="G53" s="21" t="s">
        <v>4366</v>
      </c>
      <c r="H53" s="21">
        <v>500000</v>
      </c>
      <c r="I53" s="15" t="s">
        <v>4367</v>
      </c>
    </row>
    <row r="54" spans="1:10">
      <c r="A54" s="18"/>
      <c r="B54" s="18"/>
      <c r="C54" s="18"/>
      <c r="D54" s="18"/>
      <c r="E54" s="21" t="s">
        <v>4095</v>
      </c>
      <c r="F54" s="164" t="s">
        <v>3768</v>
      </c>
      <c r="G54" s="21" t="s">
        <v>2519</v>
      </c>
      <c r="H54" s="21">
        <v>500000</v>
      </c>
    </row>
    <row r="55" spans="1:10">
      <c r="A55" s="18"/>
      <c r="B55" s="18"/>
      <c r="C55" s="18"/>
      <c r="D55" s="18"/>
      <c r="E55" s="21" t="s">
        <v>4368</v>
      </c>
      <c r="F55" s="164" t="s">
        <v>4369</v>
      </c>
      <c r="G55" s="21" t="s">
        <v>4370</v>
      </c>
      <c r="H55" s="21">
        <v>600000</v>
      </c>
    </row>
    <row r="56" spans="1:10">
      <c r="A56" s="18"/>
      <c r="B56" s="18"/>
      <c r="C56" s="18"/>
      <c r="D56" s="18"/>
      <c r="E56" s="21" t="s">
        <v>4371</v>
      </c>
      <c r="F56" s="164" t="s">
        <v>4372</v>
      </c>
      <c r="G56" s="21" t="s">
        <v>4373</v>
      </c>
      <c r="H56" s="21">
        <v>600000</v>
      </c>
    </row>
    <row r="57" spans="1:10">
      <c r="A57" s="18"/>
      <c r="B57" s="18"/>
      <c r="C57" s="18"/>
      <c r="D57" s="18"/>
      <c r="E57" s="21" t="s">
        <v>4374</v>
      </c>
      <c r="F57" s="164" t="s">
        <v>4375</v>
      </c>
      <c r="G57" s="21" t="s">
        <v>4376</v>
      </c>
      <c r="H57" s="21">
        <v>600000</v>
      </c>
    </row>
    <row r="58" spans="1:10">
      <c r="A58" s="18"/>
      <c r="B58" s="18"/>
      <c r="C58" s="18"/>
      <c r="D58" s="18"/>
      <c r="E58" s="21" t="s">
        <v>4377</v>
      </c>
      <c r="F58" s="164" t="s">
        <v>4378</v>
      </c>
      <c r="G58" s="21" t="s">
        <v>4379</v>
      </c>
      <c r="H58" s="21">
        <v>600000</v>
      </c>
    </row>
    <row r="59" spans="1:10">
      <c r="A59" s="18"/>
      <c r="B59" s="18"/>
      <c r="C59" s="18"/>
      <c r="D59" s="18"/>
      <c r="E59" s="21" t="s">
        <v>4380</v>
      </c>
      <c r="F59" s="164" t="s">
        <v>4381</v>
      </c>
      <c r="G59" s="21" t="s">
        <v>4382</v>
      </c>
      <c r="H59" s="21">
        <v>600000</v>
      </c>
    </row>
    <row r="60" spans="1:10">
      <c r="A60" s="18"/>
      <c r="B60" s="18"/>
      <c r="C60" s="18"/>
      <c r="D60" s="18"/>
      <c r="E60" s="21" t="s">
        <v>4383</v>
      </c>
      <c r="F60" s="164" t="s">
        <v>4384</v>
      </c>
      <c r="G60" s="21" t="s">
        <v>4385</v>
      </c>
      <c r="H60" s="21">
        <v>600000</v>
      </c>
    </row>
    <row r="61" spans="1:10">
      <c r="A61" s="18"/>
      <c r="B61" s="18"/>
      <c r="C61" s="18"/>
      <c r="D61" s="18"/>
      <c r="E61" s="21" t="s">
        <v>4386</v>
      </c>
      <c r="F61" s="164" t="s">
        <v>4387</v>
      </c>
      <c r="G61" s="21" t="s">
        <v>955</v>
      </c>
      <c r="H61" s="21">
        <v>600000</v>
      </c>
    </row>
    <row r="62" spans="1:10">
      <c r="A62" s="18"/>
      <c r="B62" s="18"/>
      <c r="C62" s="18"/>
      <c r="D62" s="18"/>
      <c r="E62" s="21" t="s">
        <v>4388</v>
      </c>
      <c r="F62" s="164" t="s">
        <v>4389</v>
      </c>
      <c r="G62" s="21" t="s">
        <v>4390</v>
      </c>
      <c r="H62" s="21">
        <v>800000</v>
      </c>
    </row>
    <row r="63" spans="1:10">
      <c r="A63" s="18"/>
      <c r="B63" s="18"/>
      <c r="C63" s="18"/>
      <c r="D63" s="18"/>
      <c r="E63" s="21" t="s">
        <v>4391</v>
      </c>
      <c r="F63" s="164" t="s">
        <v>4392</v>
      </c>
      <c r="G63" s="21" t="s">
        <v>4393</v>
      </c>
      <c r="H63" s="21">
        <v>800000</v>
      </c>
    </row>
    <row r="64" spans="1:10">
      <c r="A64" s="18"/>
      <c r="B64" s="18"/>
      <c r="C64" s="18"/>
      <c r="D64" s="18"/>
      <c r="E64" s="21" t="s">
        <v>4394</v>
      </c>
      <c r="F64" s="164" t="s">
        <v>1105</v>
      </c>
      <c r="G64" s="21" t="s">
        <v>1106</v>
      </c>
      <c r="H64" s="21">
        <v>800000</v>
      </c>
      <c r="I64" s="438" t="s">
        <v>4395</v>
      </c>
      <c r="J64" s="438"/>
    </row>
    <row r="65" spans="1:13">
      <c r="A65" s="18"/>
      <c r="B65" s="18"/>
      <c r="C65" s="18"/>
      <c r="D65" s="18"/>
      <c r="E65" s="21"/>
      <c r="F65" s="18"/>
      <c r="G65" s="21"/>
      <c r="H65" s="21">
        <f>SUM(H48:H64)</f>
        <v>10100000</v>
      </c>
    </row>
    <row r="68" spans="1:13">
      <c r="A68" s="675" t="s">
        <v>4396</v>
      </c>
      <c r="B68" s="675"/>
      <c r="C68" s="675"/>
      <c r="D68" s="675"/>
      <c r="E68" s="675"/>
      <c r="F68" s="675"/>
      <c r="G68" s="675"/>
      <c r="H68" s="675"/>
      <c r="K68" s="525" t="s">
        <v>807</v>
      </c>
      <c r="L68" s="525" t="s">
        <v>651</v>
      </c>
      <c r="M68" s="526" t="s">
        <v>652</v>
      </c>
    </row>
    <row r="69" spans="1:13">
      <c r="A69" s="651"/>
      <c r="B69" s="651"/>
      <c r="C69" s="651"/>
      <c r="D69" s="651"/>
      <c r="E69" s="651"/>
      <c r="F69" s="651"/>
      <c r="G69" s="651"/>
      <c r="H69" s="651"/>
      <c r="K69" s="523" t="s">
        <v>4397</v>
      </c>
      <c r="L69" s="523" t="s">
        <v>4398</v>
      </c>
    </row>
    <row r="70" spans="1:13">
      <c r="A70" s="676" t="s">
        <v>653</v>
      </c>
      <c r="B70" s="678" t="s">
        <v>654</v>
      </c>
      <c r="C70" s="676" t="s">
        <v>655</v>
      </c>
      <c r="D70" s="676" t="s">
        <v>12</v>
      </c>
      <c r="E70" s="678" t="s">
        <v>656</v>
      </c>
      <c r="F70" s="676" t="s">
        <v>657</v>
      </c>
      <c r="G70" s="678" t="s">
        <v>658</v>
      </c>
      <c r="H70" s="161" t="s">
        <v>659</v>
      </c>
      <c r="L70" s="523" t="s">
        <v>4399</v>
      </c>
      <c r="M70" s="524">
        <v>36000</v>
      </c>
    </row>
    <row r="71" spans="1:13">
      <c r="A71" s="677"/>
      <c r="B71" s="677"/>
      <c r="C71" s="677"/>
      <c r="D71" s="677"/>
      <c r="E71" s="679"/>
      <c r="F71" s="677"/>
      <c r="G71" s="677"/>
      <c r="H71" s="163" t="s">
        <v>660</v>
      </c>
      <c r="L71" s="523" t="s">
        <v>4400</v>
      </c>
      <c r="M71" s="524">
        <v>16000</v>
      </c>
    </row>
    <row r="72" spans="1:13">
      <c r="A72" s="18">
        <v>1</v>
      </c>
      <c r="B72" s="18" t="s">
        <v>130</v>
      </c>
      <c r="C72" s="18" t="s">
        <v>138</v>
      </c>
      <c r="D72" s="18" t="s">
        <v>4321</v>
      </c>
      <c r="E72" s="21" t="s">
        <v>703</v>
      </c>
      <c r="F72" s="164" t="s">
        <v>4401</v>
      </c>
      <c r="G72" s="21" t="s">
        <v>960</v>
      </c>
      <c r="H72" s="21">
        <v>800000</v>
      </c>
      <c r="I72" s="15" t="s">
        <v>664</v>
      </c>
      <c r="L72" s="523" t="s">
        <v>4402</v>
      </c>
      <c r="M72" s="524">
        <v>30000</v>
      </c>
    </row>
    <row r="73" spans="1:13">
      <c r="A73" s="18"/>
      <c r="B73" s="18"/>
      <c r="C73" s="18"/>
      <c r="D73" s="18"/>
      <c r="E73" s="21" t="s">
        <v>961</v>
      </c>
      <c r="F73" s="164" t="s">
        <v>4401</v>
      </c>
      <c r="G73" s="21" t="s">
        <v>960</v>
      </c>
      <c r="H73" s="21">
        <v>800000</v>
      </c>
      <c r="I73" s="15" t="s">
        <v>664</v>
      </c>
      <c r="L73" s="523" t="s">
        <v>4403</v>
      </c>
      <c r="M73" s="524">
        <v>24000</v>
      </c>
    </row>
    <row r="74" spans="1:13">
      <c r="A74" s="18"/>
      <c r="B74" s="18"/>
      <c r="C74" s="18"/>
      <c r="D74" s="18"/>
      <c r="E74" s="21" t="s">
        <v>4404</v>
      </c>
      <c r="F74" s="164"/>
      <c r="G74" s="21" t="s">
        <v>1389</v>
      </c>
      <c r="H74" s="21">
        <v>-251000</v>
      </c>
      <c r="L74" s="523" t="s">
        <v>4405</v>
      </c>
      <c r="M74" s="524">
        <v>15000</v>
      </c>
    </row>
    <row r="75" spans="1:13">
      <c r="A75" s="18"/>
      <c r="B75" s="18"/>
      <c r="C75" s="18"/>
      <c r="D75" s="18"/>
      <c r="E75" s="21" t="s">
        <v>141</v>
      </c>
      <c r="F75" s="164" t="s">
        <v>4406</v>
      </c>
      <c r="G75" s="21" t="s">
        <v>885</v>
      </c>
      <c r="H75" s="21">
        <v>2400000</v>
      </c>
      <c r="I75" s="15" t="s">
        <v>4407</v>
      </c>
    </row>
    <row r="76" spans="1:13">
      <c r="A76" s="18"/>
      <c r="B76" s="18"/>
      <c r="C76" s="18"/>
      <c r="D76" s="18"/>
      <c r="E76" s="21"/>
      <c r="F76" s="164"/>
      <c r="G76" s="21"/>
      <c r="H76" s="21"/>
    </row>
    <row r="77" spans="1:13">
      <c r="A77" s="18"/>
      <c r="B77" s="18"/>
      <c r="C77" s="18"/>
      <c r="D77" s="18"/>
      <c r="E77" s="21"/>
      <c r="F77" s="164"/>
      <c r="G77" s="21"/>
      <c r="H77" s="21"/>
      <c r="L77" s="523" t="s">
        <v>665</v>
      </c>
      <c r="M77" s="524">
        <f>SUM(M70:M76)</f>
        <v>121000</v>
      </c>
    </row>
    <row r="78" spans="1:13">
      <c r="A78" s="18"/>
      <c r="B78" s="18"/>
      <c r="C78" s="18"/>
      <c r="D78" s="18"/>
      <c r="E78" s="21"/>
      <c r="F78" s="164"/>
      <c r="G78" s="21"/>
      <c r="H78" s="21"/>
    </row>
    <row r="79" spans="1:13">
      <c r="A79" s="18"/>
      <c r="B79" s="18"/>
      <c r="C79" s="18"/>
      <c r="D79" s="18"/>
      <c r="E79" s="21"/>
      <c r="F79" s="164"/>
      <c r="G79" s="21"/>
      <c r="H79" s="21"/>
    </row>
    <row r="80" spans="1:13">
      <c r="A80" s="18"/>
      <c r="B80" s="18"/>
      <c r="C80" s="18"/>
      <c r="D80" s="18"/>
      <c r="E80" s="21"/>
      <c r="F80" s="164"/>
      <c r="G80" s="21"/>
      <c r="H80" s="21"/>
    </row>
    <row r="81" spans="1:8">
      <c r="A81" s="18"/>
      <c r="B81" s="18"/>
      <c r="C81" s="18"/>
      <c r="D81" s="18"/>
      <c r="E81" s="21"/>
      <c r="F81" s="164"/>
      <c r="G81" s="21"/>
      <c r="H81" s="21"/>
    </row>
    <row r="82" spans="1:8">
      <c r="A82" s="18"/>
      <c r="B82" s="18"/>
      <c r="C82" s="18"/>
      <c r="D82" s="18"/>
      <c r="E82" s="21"/>
      <c r="F82" s="164"/>
      <c r="G82" s="21"/>
      <c r="H82" s="21"/>
    </row>
    <row r="83" spans="1:8">
      <c r="A83" s="18"/>
      <c r="B83" s="18"/>
      <c r="C83" s="18"/>
      <c r="D83" s="18"/>
      <c r="E83" s="21"/>
      <c r="F83" s="164"/>
      <c r="G83" s="21"/>
      <c r="H83" s="21"/>
    </row>
    <row r="84" spans="1:8">
      <c r="A84" s="18"/>
      <c r="B84" s="18"/>
      <c r="C84" s="18"/>
      <c r="D84" s="18"/>
      <c r="E84" s="21"/>
      <c r="F84" s="164"/>
      <c r="G84" s="21"/>
      <c r="H84" s="21"/>
    </row>
    <row r="85" spans="1:8">
      <c r="A85" s="18"/>
      <c r="B85" s="18"/>
      <c r="C85" s="18"/>
      <c r="D85" s="18"/>
      <c r="E85" s="21"/>
      <c r="F85" s="164"/>
      <c r="G85" s="21"/>
      <c r="H85" s="21"/>
    </row>
    <row r="86" spans="1:8">
      <c r="A86" s="18"/>
      <c r="B86" s="18"/>
      <c r="C86" s="18"/>
      <c r="D86" s="18"/>
      <c r="E86" s="21"/>
      <c r="F86" s="164"/>
      <c r="G86" s="21"/>
      <c r="H86" s="21"/>
    </row>
    <row r="87" spans="1:8">
      <c r="A87" s="18"/>
      <c r="B87" s="18"/>
      <c r="C87" s="18"/>
      <c r="D87" s="18"/>
      <c r="E87" s="21"/>
      <c r="F87" s="164"/>
      <c r="G87" s="21"/>
      <c r="H87" s="21"/>
    </row>
    <row r="88" spans="1:8">
      <c r="A88" s="18"/>
      <c r="B88" s="18"/>
      <c r="C88" s="18"/>
      <c r="D88" s="18"/>
      <c r="E88" s="21"/>
      <c r="F88" s="164"/>
      <c r="G88" s="21"/>
      <c r="H88" s="21"/>
    </row>
    <row r="89" spans="1:8">
      <c r="A89" s="18"/>
      <c r="B89" s="18"/>
      <c r="C89" s="18"/>
      <c r="D89" s="18"/>
      <c r="E89" s="21"/>
      <c r="F89" s="18"/>
      <c r="G89" s="21"/>
      <c r="H89" s="21">
        <f>SUM(H72:H87)</f>
        <v>3749000</v>
      </c>
    </row>
  </sheetData>
  <mergeCells count="32">
    <mergeCell ref="A2:H3"/>
    <mergeCell ref="A4:A5"/>
    <mergeCell ref="B4:B5"/>
    <mergeCell ref="C4:C5"/>
    <mergeCell ref="D4:D5"/>
    <mergeCell ref="E4:E5"/>
    <mergeCell ref="F4:F5"/>
    <mergeCell ref="G4:G5"/>
    <mergeCell ref="A29:H30"/>
    <mergeCell ref="A31:A32"/>
    <mergeCell ref="B31:B32"/>
    <mergeCell ref="C31:C32"/>
    <mergeCell ref="D31:D32"/>
    <mergeCell ref="E31:E32"/>
    <mergeCell ref="F31:F32"/>
    <mergeCell ref="G31:G32"/>
    <mergeCell ref="A44:H45"/>
    <mergeCell ref="A46:A47"/>
    <mergeCell ref="B46:B47"/>
    <mergeCell ref="C46:C47"/>
    <mergeCell ref="D46:D47"/>
    <mergeCell ref="E46:E47"/>
    <mergeCell ref="F46:F47"/>
    <mergeCell ref="G46:G47"/>
    <mergeCell ref="A68:H69"/>
    <mergeCell ref="A70:A71"/>
    <mergeCell ref="B70:B71"/>
    <mergeCell ref="C70:C71"/>
    <mergeCell ref="D70:D71"/>
    <mergeCell ref="E70:E71"/>
    <mergeCell ref="F70:F71"/>
    <mergeCell ref="G70:G71"/>
  </mergeCells>
  <hyperlinks>
    <hyperlink ref="A1" location="Name!A1" display="Name!A1" xr:uid="{D111303F-47D2-443C-B332-1A81C033CFC2}"/>
  </hyperlinks>
  <pageMargins left="0.7" right="0.7" top="0.75" bottom="0.75" header="0.3" footer="0.3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0598-803D-4120-8BEB-1E42F8E7BFB6}">
  <dimension ref="A1:Q111"/>
  <sheetViews>
    <sheetView workbookViewId="0"/>
  </sheetViews>
  <sheetFormatPr defaultColWidth="15.5703125" defaultRowHeight="18"/>
  <cols>
    <col min="1" max="3" width="15.5703125" style="51"/>
    <col min="4" max="4" width="15.5703125" style="104"/>
    <col min="5" max="5" width="29.7109375" style="51" customWidth="1"/>
    <col min="6" max="16384" width="15.5703125" style="51"/>
  </cols>
  <sheetData>
    <row r="1" spans="1:17">
      <c r="A1" s="411" t="s">
        <v>648</v>
      </c>
    </row>
    <row r="2" spans="1:17" ht="21.75">
      <c r="A2" s="651" t="s">
        <v>4408</v>
      </c>
      <c r="B2" s="651"/>
      <c r="C2" s="651"/>
      <c r="D2" s="651"/>
      <c r="E2" s="651"/>
      <c r="F2" s="651"/>
      <c r="G2" s="651"/>
      <c r="H2" s="651"/>
      <c r="I2" s="651"/>
      <c r="L2" s="121"/>
      <c r="M2" s="644" t="s">
        <v>973</v>
      </c>
      <c r="N2" s="644"/>
      <c r="O2" s="644"/>
      <c r="P2" s="644"/>
    </row>
    <row r="3" spans="1:17" s="56" customFormat="1" ht="28.5">
      <c r="A3" s="16" t="s">
        <v>818</v>
      </c>
      <c r="B3" s="17" t="s">
        <v>697</v>
      </c>
      <c r="C3" s="17" t="s">
        <v>12</v>
      </c>
      <c r="D3" s="17" t="s">
        <v>819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  <c r="L3" s="121"/>
      <c r="M3" s="654" t="s">
        <v>653</v>
      </c>
      <c r="N3" s="659" t="s">
        <v>974</v>
      </c>
      <c r="O3" s="661" t="s">
        <v>975</v>
      </c>
      <c r="P3" s="662" t="s">
        <v>976</v>
      </c>
      <c r="Q3" s="664" t="s">
        <v>977</v>
      </c>
    </row>
    <row r="4" spans="1:17" ht="21.75">
      <c r="A4" s="26">
        <v>1</v>
      </c>
      <c r="B4" s="26" t="s">
        <v>152</v>
      </c>
      <c r="C4" s="26" t="s">
        <v>4409</v>
      </c>
      <c r="D4" s="28" t="s">
        <v>4410</v>
      </c>
      <c r="E4" s="28" t="s">
        <v>4411</v>
      </c>
      <c r="F4" s="151" t="s">
        <v>4412</v>
      </c>
      <c r="G4" s="28" t="s">
        <v>4413</v>
      </c>
      <c r="H4" s="28">
        <v>450000</v>
      </c>
      <c r="I4" s="28"/>
      <c r="L4" s="121"/>
      <c r="M4" s="655"/>
      <c r="N4" s="660"/>
      <c r="O4" s="660"/>
      <c r="P4" s="663"/>
      <c r="Q4" s="665"/>
    </row>
    <row r="5" spans="1:17" ht="21.75">
      <c r="A5" s="26"/>
      <c r="B5" s="26"/>
      <c r="C5" s="26"/>
      <c r="D5" s="28"/>
      <c r="E5" s="28" t="s">
        <v>4414</v>
      </c>
      <c r="F5" s="151" t="s">
        <v>4415</v>
      </c>
      <c r="G5" s="28" t="s">
        <v>4416</v>
      </c>
      <c r="H5" s="28">
        <v>450000</v>
      </c>
      <c r="I5" s="28"/>
      <c r="J5" s="51" t="s">
        <v>4417</v>
      </c>
      <c r="L5" s="121"/>
      <c r="M5" s="122"/>
      <c r="N5" s="123" t="s">
        <v>4418</v>
      </c>
      <c r="O5" s="127" t="s">
        <v>4419</v>
      </c>
      <c r="P5" s="125">
        <v>255580</v>
      </c>
      <c r="Q5" s="126"/>
    </row>
    <row r="6" spans="1:17" ht="21.75">
      <c r="A6" s="26"/>
      <c r="B6" s="26"/>
      <c r="C6" s="26"/>
      <c r="D6" s="28"/>
      <c r="E6" s="152" t="s">
        <v>4420</v>
      </c>
      <c r="F6" s="27" t="s">
        <v>4421</v>
      </c>
      <c r="G6" s="26" t="s">
        <v>4422</v>
      </c>
      <c r="H6" s="28">
        <v>450000</v>
      </c>
      <c r="I6" s="28"/>
      <c r="J6" s="51" t="s">
        <v>4417</v>
      </c>
      <c r="L6" s="121"/>
      <c r="M6" s="122"/>
      <c r="N6" s="123"/>
      <c r="O6" s="127"/>
      <c r="P6" s="125"/>
      <c r="Q6" s="126"/>
    </row>
    <row r="7" spans="1:17" ht="21.75">
      <c r="A7" s="26"/>
      <c r="B7" s="26"/>
      <c r="C7" s="26"/>
      <c r="D7" s="28"/>
      <c r="E7" s="153" t="s">
        <v>2221</v>
      </c>
      <c r="F7" s="27" t="s">
        <v>4423</v>
      </c>
      <c r="G7" s="26" t="s">
        <v>4424</v>
      </c>
      <c r="H7" s="28">
        <v>450000</v>
      </c>
      <c r="I7" s="28"/>
      <c r="J7" s="51" t="s">
        <v>4417</v>
      </c>
      <c r="L7" s="121"/>
      <c r="M7" s="122"/>
      <c r="N7" s="123"/>
      <c r="O7" s="127"/>
      <c r="P7" s="125"/>
      <c r="Q7" s="126"/>
    </row>
    <row r="8" spans="1:17" ht="21.75">
      <c r="A8" s="26"/>
      <c r="B8" s="26"/>
      <c r="C8" s="26"/>
      <c r="D8" s="28"/>
      <c r="E8" s="153" t="s">
        <v>4425</v>
      </c>
      <c r="F8" s="27" t="s">
        <v>4426</v>
      </c>
      <c r="G8" s="26" t="s">
        <v>4271</v>
      </c>
      <c r="H8" s="28">
        <v>450000</v>
      </c>
      <c r="I8" s="28"/>
      <c r="J8" s="51" t="s">
        <v>4417</v>
      </c>
      <c r="L8" s="121"/>
      <c r="M8" s="122"/>
      <c r="N8" s="123"/>
      <c r="O8" s="127"/>
      <c r="P8" s="125"/>
      <c r="Q8" s="126"/>
    </row>
    <row r="9" spans="1:17" ht="21.75">
      <c r="A9" s="26"/>
      <c r="B9" s="26"/>
      <c r="C9" s="26"/>
      <c r="D9" s="28"/>
      <c r="E9" s="153" t="s">
        <v>4427</v>
      </c>
      <c r="F9" s="27" t="s">
        <v>4428</v>
      </c>
      <c r="G9" s="26" t="s">
        <v>4429</v>
      </c>
      <c r="H9" s="28">
        <v>450000</v>
      </c>
      <c r="I9" s="28"/>
      <c r="J9" s="51" t="s">
        <v>4430</v>
      </c>
      <c r="L9" s="121"/>
      <c r="M9" s="122"/>
      <c r="N9" s="123"/>
      <c r="O9" s="127"/>
      <c r="P9" s="125"/>
      <c r="Q9" s="126"/>
    </row>
    <row r="10" spans="1:17" ht="21.75">
      <c r="A10" s="26"/>
      <c r="B10" s="26"/>
      <c r="C10" s="26"/>
      <c r="D10" s="28"/>
      <c r="E10" s="153" t="s">
        <v>4431</v>
      </c>
      <c r="F10" s="27" t="s">
        <v>4432</v>
      </c>
      <c r="G10" s="26" t="s">
        <v>4433</v>
      </c>
      <c r="H10" s="28">
        <v>450000</v>
      </c>
      <c r="I10" s="28"/>
      <c r="J10" s="51" t="s">
        <v>4430</v>
      </c>
      <c r="L10" s="121"/>
      <c r="M10" s="122"/>
      <c r="N10" s="123"/>
      <c r="O10" s="25"/>
      <c r="P10" s="125"/>
      <c r="Q10" s="126"/>
    </row>
    <row r="11" spans="1:17" ht="21.75">
      <c r="A11" s="26"/>
      <c r="B11" s="26"/>
      <c r="C11" s="26"/>
      <c r="D11" s="28"/>
      <c r="E11" s="153" t="s">
        <v>4434</v>
      </c>
      <c r="F11" s="27" t="s">
        <v>4435</v>
      </c>
      <c r="G11" s="26" t="s">
        <v>1589</v>
      </c>
      <c r="H11" s="28">
        <v>450000</v>
      </c>
      <c r="I11" s="28"/>
      <c r="J11" s="51" t="s">
        <v>4430</v>
      </c>
      <c r="L11" s="121"/>
      <c r="M11" s="122"/>
      <c r="N11" s="123"/>
      <c r="O11" s="25"/>
      <c r="P11" s="125"/>
      <c r="Q11" s="126"/>
    </row>
    <row r="12" spans="1:17" ht="21.75">
      <c r="A12" s="26"/>
      <c r="B12" s="26"/>
      <c r="C12" s="26"/>
      <c r="D12" s="28"/>
      <c r="E12" s="153" t="s">
        <v>4436</v>
      </c>
      <c r="F12" s="27" t="s">
        <v>4437</v>
      </c>
      <c r="G12" s="26" t="s">
        <v>4438</v>
      </c>
      <c r="H12" s="28">
        <v>450000</v>
      </c>
      <c r="I12" s="28"/>
      <c r="J12" s="51" t="s">
        <v>4430</v>
      </c>
      <c r="L12" s="121"/>
      <c r="M12" s="122"/>
      <c r="N12" s="123"/>
      <c r="O12" s="25"/>
      <c r="P12" s="125"/>
      <c r="Q12" s="126"/>
    </row>
    <row r="13" spans="1:17" ht="21.75">
      <c r="A13" s="26"/>
      <c r="B13" s="26"/>
      <c r="C13" s="26"/>
      <c r="D13" s="28"/>
      <c r="E13" s="153" t="s">
        <v>4439</v>
      </c>
      <c r="F13" s="27" t="s">
        <v>4440</v>
      </c>
      <c r="G13" s="26" t="s">
        <v>4441</v>
      </c>
      <c r="H13" s="28">
        <v>450000</v>
      </c>
      <c r="I13" s="28"/>
      <c r="J13" s="51" t="s">
        <v>4417</v>
      </c>
      <c r="L13" s="121"/>
      <c r="M13" s="122"/>
      <c r="N13" s="123"/>
      <c r="O13" s="25"/>
      <c r="P13" s="125"/>
      <c r="Q13" s="126"/>
    </row>
    <row r="14" spans="1:17" ht="21.75">
      <c r="A14" s="26"/>
      <c r="B14" s="26"/>
      <c r="C14" s="26"/>
      <c r="D14" s="28"/>
      <c r="E14" s="153" t="s">
        <v>4442</v>
      </c>
      <c r="F14" s="27" t="s">
        <v>4443</v>
      </c>
      <c r="G14" s="26" t="s">
        <v>4444</v>
      </c>
      <c r="H14" s="28">
        <v>450000</v>
      </c>
      <c r="I14" s="28"/>
      <c r="J14" s="51" t="s">
        <v>4445</v>
      </c>
      <c r="L14" s="121"/>
      <c r="M14" s="122"/>
      <c r="N14" s="123"/>
      <c r="O14" s="25"/>
      <c r="P14" s="125"/>
      <c r="Q14" s="126"/>
    </row>
    <row r="15" spans="1:17" ht="21.75">
      <c r="A15" s="26"/>
      <c r="B15" s="26"/>
      <c r="C15" s="26"/>
      <c r="D15" s="28"/>
      <c r="E15" s="153" t="s">
        <v>4446</v>
      </c>
      <c r="F15" s="27" t="s">
        <v>4447</v>
      </c>
      <c r="G15" s="26" t="s">
        <v>1001</v>
      </c>
      <c r="H15" s="28">
        <v>450000</v>
      </c>
      <c r="I15" s="28"/>
      <c r="J15" s="51" t="s">
        <v>4448</v>
      </c>
      <c r="L15" s="121"/>
      <c r="M15" s="122"/>
      <c r="N15" s="123"/>
      <c r="O15" s="25"/>
      <c r="P15" s="125"/>
      <c r="Q15" s="126"/>
    </row>
    <row r="16" spans="1:17" ht="21.75">
      <c r="A16" s="26"/>
      <c r="B16" s="26"/>
      <c r="C16" s="26"/>
      <c r="D16" s="28"/>
      <c r="E16" s="153" t="s">
        <v>4449</v>
      </c>
      <c r="F16" s="27" t="s">
        <v>4447</v>
      </c>
      <c r="G16" s="26" t="s">
        <v>1001</v>
      </c>
      <c r="H16" s="28">
        <v>-35000</v>
      </c>
      <c r="I16" s="28"/>
      <c r="L16" s="121"/>
      <c r="M16" s="122"/>
      <c r="N16" s="123"/>
      <c r="O16" s="25"/>
      <c r="P16" s="125"/>
      <c r="Q16" s="126"/>
    </row>
    <row r="17" spans="1:17" ht="21.75">
      <c r="A17" s="26"/>
      <c r="B17" s="26"/>
      <c r="C17" s="26"/>
      <c r="D17" s="28"/>
      <c r="E17" s="153" t="s">
        <v>4450</v>
      </c>
      <c r="F17" s="27" t="s">
        <v>4451</v>
      </c>
      <c r="G17" s="26" t="s">
        <v>4452</v>
      </c>
      <c r="H17" s="28">
        <v>450000</v>
      </c>
      <c r="I17" s="28"/>
      <c r="J17" s="51" t="s">
        <v>4453</v>
      </c>
      <c r="L17" s="121"/>
      <c r="M17" s="122"/>
      <c r="N17" s="123"/>
      <c r="O17" s="25"/>
      <c r="P17" s="125"/>
      <c r="Q17" s="126"/>
    </row>
    <row r="18" spans="1:17" ht="21.75">
      <c r="A18" s="26"/>
      <c r="B18" s="26"/>
      <c r="C18" s="26"/>
      <c r="D18" s="28"/>
      <c r="E18" s="153" t="s">
        <v>4454</v>
      </c>
      <c r="F18" s="27" t="s">
        <v>4455</v>
      </c>
      <c r="G18" s="26" t="s">
        <v>4456</v>
      </c>
      <c r="H18" s="28">
        <v>450000</v>
      </c>
      <c r="I18" s="28"/>
      <c r="J18" s="51" t="s">
        <v>4457</v>
      </c>
      <c r="L18" s="121"/>
      <c r="M18" s="122"/>
      <c r="N18" s="123"/>
      <c r="O18" s="25"/>
      <c r="P18" s="125"/>
      <c r="Q18" s="126"/>
    </row>
    <row r="19" spans="1:17" ht="21.75">
      <c r="A19" s="26"/>
      <c r="B19" s="26"/>
      <c r="C19" s="26"/>
      <c r="D19" s="28"/>
      <c r="E19" s="153" t="s">
        <v>4458</v>
      </c>
      <c r="F19" s="27" t="s">
        <v>4459</v>
      </c>
      <c r="G19" s="26" t="s">
        <v>4460</v>
      </c>
      <c r="H19" s="28">
        <v>450000</v>
      </c>
      <c r="I19" s="28"/>
      <c r="J19" s="51" t="s">
        <v>4461</v>
      </c>
      <c r="L19" s="121"/>
      <c r="M19" s="122"/>
      <c r="N19" s="123"/>
      <c r="O19" s="25"/>
      <c r="P19" s="125"/>
      <c r="Q19" s="126"/>
    </row>
    <row r="20" spans="1:17" ht="21.75">
      <c r="A20" s="26"/>
      <c r="B20" s="26"/>
      <c r="C20" s="26"/>
      <c r="D20" s="28"/>
      <c r="E20" s="153" t="s">
        <v>4462</v>
      </c>
      <c r="F20" s="27" t="s">
        <v>4463</v>
      </c>
      <c r="G20" s="26" t="s">
        <v>4464</v>
      </c>
      <c r="H20" s="28">
        <v>450000</v>
      </c>
      <c r="I20" s="28"/>
      <c r="J20" s="51" t="s">
        <v>4465</v>
      </c>
      <c r="L20" s="121"/>
      <c r="M20" s="122"/>
      <c r="N20" s="123"/>
      <c r="O20" s="25"/>
      <c r="P20" s="125"/>
      <c r="Q20" s="126"/>
    </row>
    <row r="21" spans="1:17" ht="21.75">
      <c r="A21" s="26"/>
      <c r="B21" s="26"/>
      <c r="C21" s="26"/>
      <c r="D21" s="28"/>
      <c r="E21" s="153" t="s">
        <v>4466</v>
      </c>
      <c r="F21" s="27" t="s">
        <v>4467</v>
      </c>
      <c r="G21" s="26" t="s">
        <v>4468</v>
      </c>
      <c r="H21" s="28">
        <v>225000</v>
      </c>
      <c r="I21" s="28"/>
      <c r="J21" s="51" t="s">
        <v>4469</v>
      </c>
      <c r="L21" s="121"/>
      <c r="M21" s="122"/>
      <c r="N21" s="123"/>
      <c r="O21" s="25"/>
      <c r="P21" s="125"/>
      <c r="Q21" s="126"/>
    </row>
    <row r="22" spans="1:17" ht="21.75">
      <c r="A22" s="26"/>
      <c r="B22" s="26"/>
      <c r="C22" s="26"/>
      <c r="D22" s="28"/>
      <c r="E22" s="153" t="s">
        <v>4470</v>
      </c>
      <c r="F22" s="27" t="s">
        <v>4471</v>
      </c>
      <c r="G22" s="26" t="s">
        <v>4468</v>
      </c>
      <c r="H22" s="28">
        <v>450000</v>
      </c>
      <c r="I22" s="28"/>
      <c r="J22" s="51" t="s">
        <v>4469</v>
      </c>
      <c r="L22" s="121"/>
      <c r="M22" s="122"/>
      <c r="N22" s="123"/>
      <c r="O22" s="25"/>
      <c r="P22" s="125"/>
      <c r="Q22" s="126"/>
    </row>
    <row r="23" spans="1:17" ht="21.75">
      <c r="A23" s="26"/>
      <c r="B23" s="26"/>
      <c r="C23" s="26"/>
      <c r="D23" s="28"/>
      <c r="E23" s="153" t="s">
        <v>4472</v>
      </c>
      <c r="F23" s="27" t="s">
        <v>4473</v>
      </c>
      <c r="G23" s="26" t="s">
        <v>4474</v>
      </c>
      <c r="H23" s="28">
        <v>675000</v>
      </c>
      <c r="I23" s="28"/>
      <c r="J23" s="51" t="s">
        <v>2337</v>
      </c>
      <c r="L23" s="121"/>
      <c r="M23" s="122"/>
      <c r="N23" s="123"/>
      <c r="O23" s="25"/>
      <c r="P23" s="125"/>
      <c r="Q23" s="126"/>
    </row>
    <row r="24" spans="1:17" ht="21.75">
      <c r="A24" s="26"/>
      <c r="B24" s="26"/>
      <c r="C24" s="26"/>
      <c r="D24" s="28"/>
      <c r="E24" s="153" t="s">
        <v>4475</v>
      </c>
      <c r="F24" s="27" t="s">
        <v>4476</v>
      </c>
      <c r="G24" s="26" t="s">
        <v>4477</v>
      </c>
      <c r="H24" s="28">
        <v>450000</v>
      </c>
      <c r="I24" s="28"/>
      <c r="J24" s="51" t="s">
        <v>2337</v>
      </c>
      <c r="L24" s="121"/>
      <c r="M24" s="122"/>
      <c r="N24" s="123"/>
      <c r="O24" s="25"/>
      <c r="P24" s="125"/>
      <c r="Q24" s="126"/>
    </row>
    <row r="25" spans="1:17" ht="21.75">
      <c r="A25" s="26"/>
      <c r="B25" s="26"/>
      <c r="C25" s="26"/>
      <c r="D25" s="28"/>
      <c r="E25" s="153" t="s">
        <v>4478</v>
      </c>
      <c r="F25" s="27" t="s">
        <v>4476</v>
      </c>
      <c r="G25" s="26" t="s">
        <v>4477</v>
      </c>
      <c r="H25" s="28">
        <v>450000</v>
      </c>
      <c r="I25" s="28"/>
      <c r="J25" s="51" t="s">
        <v>2337</v>
      </c>
      <c r="L25" s="121"/>
      <c r="M25" s="122"/>
      <c r="N25" s="123"/>
      <c r="O25" s="25"/>
      <c r="P25" s="125"/>
      <c r="Q25" s="126"/>
    </row>
    <row r="26" spans="1:17" ht="21.75">
      <c r="A26" s="26"/>
      <c r="B26" s="26"/>
      <c r="C26" s="26"/>
      <c r="D26" s="28"/>
      <c r="E26" s="153" t="s">
        <v>4479</v>
      </c>
      <c r="F26" s="27" t="s">
        <v>4480</v>
      </c>
      <c r="G26" s="26" t="s">
        <v>4481</v>
      </c>
      <c r="H26" s="28">
        <v>460000</v>
      </c>
      <c r="I26" s="28"/>
      <c r="J26" s="51" t="s">
        <v>4482</v>
      </c>
      <c r="L26" s="121"/>
      <c r="M26" s="122"/>
      <c r="N26" s="123"/>
      <c r="O26" s="25"/>
      <c r="P26" s="125"/>
      <c r="Q26" s="126"/>
    </row>
    <row r="27" spans="1:17" ht="21.75">
      <c r="A27" s="26"/>
      <c r="B27" s="26"/>
      <c r="C27" s="26"/>
      <c r="D27" s="28"/>
      <c r="E27" s="153" t="s">
        <v>4483</v>
      </c>
      <c r="F27" s="27" t="s">
        <v>4484</v>
      </c>
      <c r="G27" s="26" t="s">
        <v>4485</v>
      </c>
      <c r="H27" s="28">
        <v>396000</v>
      </c>
      <c r="I27" s="28"/>
      <c r="L27" s="121"/>
      <c r="M27" s="122"/>
      <c r="N27" s="123"/>
      <c r="O27" s="25"/>
      <c r="P27" s="125"/>
      <c r="Q27" s="126"/>
    </row>
    <row r="28" spans="1:17" ht="21.75">
      <c r="A28" s="26"/>
      <c r="B28" s="26"/>
      <c r="C28" s="26"/>
      <c r="D28" s="28"/>
      <c r="E28" s="153" t="s">
        <v>4486</v>
      </c>
      <c r="F28" s="27" t="s">
        <v>4484</v>
      </c>
      <c r="G28" s="26"/>
      <c r="H28" s="28">
        <v>54000</v>
      </c>
      <c r="I28" s="28"/>
      <c r="L28" s="121"/>
      <c r="M28" s="122"/>
      <c r="N28" s="123"/>
      <c r="O28" s="25"/>
      <c r="P28" s="125"/>
      <c r="Q28" s="126"/>
    </row>
    <row r="29" spans="1:17" ht="21.75">
      <c r="A29" s="26"/>
      <c r="B29" s="26"/>
      <c r="C29" s="26"/>
      <c r="D29" s="28"/>
      <c r="E29" s="153" t="s">
        <v>4487</v>
      </c>
      <c r="F29" s="27" t="s">
        <v>4488</v>
      </c>
      <c r="G29" s="26" t="s">
        <v>4130</v>
      </c>
      <c r="H29" s="28">
        <v>1350000</v>
      </c>
      <c r="I29" s="28"/>
      <c r="J29" s="51" t="s">
        <v>4489</v>
      </c>
      <c r="L29" s="121"/>
      <c r="M29" s="122"/>
      <c r="N29" s="123"/>
      <c r="O29" s="25">
        <f>400000*2845</f>
        <v>1138000000</v>
      </c>
      <c r="P29" s="125"/>
      <c r="Q29" s="126"/>
    </row>
    <row r="30" spans="1:17" ht="21.75">
      <c r="A30" s="26"/>
      <c r="B30" s="153" t="s">
        <v>4490</v>
      </c>
      <c r="C30" s="153" t="s">
        <v>4491</v>
      </c>
      <c r="D30" s="28">
        <f>6*500000</f>
        <v>3000000</v>
      </c>
      <c r="E30" s="153" t="s">
        <v>4490</v>
      </c>
      <c r="F30" s="27"/>
      <c r="G30" s="26"/>
      <c r="H30" s="28"/>
      <c r="I30" s="28"/>
      <c r="L30" s="121"/>
      <c r="M30" s="122"/>
      <c r="N30" s="123"/>
      <c r="O30" s="25"/>
      <c r="P30" s="125"/>
      <c r="Q30" s="126"/>
    </row>
    <row r="31" spans="1:17" ht="21.75">
      <c r="A31" s="26"/>
      <c r="B31" s="26" t="s">
        <v>4492</v>
      </c>
      <c r="C31" s="26"/>
      <c r="D31" s="28"/>
      <c r="E31" s="153"/>
      <c r="F31" s="27"/>
      <c r="G31" s="26"/>
      <c r="H31" s="28"/>
      <c r="I31" s="28"/>
      <c r="L31" s="121"/>
      <c r="M31" s="122"/>
      <c r="N31" s="123"/>
      <c r="O31" s="25"/>
      <c r="P31" s="125"/>
      <c r="Q31" s="126"/>
    </row>
    <row r="32" spans="1:17" ht="21.75">
      <c r="A32" s="26"/>
      <c r="B32" s="26" t="s">
        <v>1237</v>
      </c>
      <c r="C32" s="26"/>
      <c r="D32" s="28"/>
      <c r="E32" s="153"/>
      <c r="F32" s="27"/>
      <c r="G32" s="26"/>
      <c r="H32" s="28"/>
      <c r="I32" s="28"/>
      <c r="L32" s="121"/>
      <c r="M32" s="122"/>
      <c r="N32" s="123"/>
      <c r="O32" s="25"/>
      <c r="P32" s="125"/>
      <c r="Q32" s="126"/>
    </row>
    <row r="33" spans="1:17" ht="21.75">
      <c r="A33" s="26"/>
      <c r="B33" s="26"/>
      <c r="C33" s="26"/>
      <c r="D33" s="28"/>
      <c r="E33" s="153"/>
      <c r="F33" s="27"/>
      <c r="G33" s="26"/>
      <c r="H33" s="28"/>
      <c r="I33" s="28"/>
      <c r="L33" s="121"/>
      <c r="M33" s="122"/>
      <c r="N33" s="123"/>
      <c r="O33" s="25"/>
      <c r="P33" s="125"/>
      <c r="Q33" s="126"/>
    </row>
    <row r="34" spans="1:17" ht="21.75">
      <c r="A34" s="26"/>
      <c r="B34" s="26"/>
      <c r="C34" s="26"/>
      <c r="D34" s="28"/>
      <c r="E34" s="153"/>
      <c r="F34" s="27"/>
      <c r="G34" s="26"/>
      <c r="H34" s="28"/>
      <c r="I34" s="28"/>
      <c r="L34" s="121"/>
      <c r="M34" s="122"/>
      <c r="N34" s="123"/>
      <c r="O34" s="25"/>
      <c r="P34" s="125"/>
      <c r="Q34" s="126"/>
    </row>
    <row r="35" spans="1:17" ht="21.75">
      <c r="A35" s="26"/>
      <c r="B35" s="26"/>
      <c r="C35" s="26"/>
      <c r="D35" s="28"/>
      <c r="E35" s="153"/>
      <c r="F35" s="27"/>
      <c r="G35" s="26"/>
      <c r="H35" s="28"/>
      <c r="I35" s="28"/>
      <c r="L35" s="121"/>
      <c r="M35" s="122"/>
      <c r="N35" s="123"/>
      <c r="O35" s="25"/>
      <c r="P35" s="125"/>
      <c r="Q35" s="126"/>
    </row>
    <row r="36" spans="1:17" ht="21.75">
      <c r="A36" s="26"/>
      <c r="B36" s="26"/>
      <c r="C36" s="26"/>
      <c r="D36" s="28"/>
      <c r="E36" s="153"/>
      <c r="F36" s="27"/>
      <c r="G36" s="26"/>
      <c r="H36" s="28"/>
      <c r="I36" s="28"/>
      <c r="L36" s="121"/>
      <c r="M36" s="122"/>
      <c r="N36" s="123"/>
      <c r="O36" s="25"/>
      <c r="P36" s="125"/>
      <c r="Q36" s="126"/>
    </row>
    <row r="37" spans="1:17" ht="21.75">
      <c r="A37" s="26"/>
      <c r="B37" s="26"/>
      <c r="C37" s="26"/>
      <c r="D37" s="28"/>
      <c r="E37" s="153"/>
      <c r="F37" s="27"/>
      <c r="G37" s="26"/>
      <c r="H37" s="28"/>
      <c r="I37" s="28"/>
      <c r="L37" s="121"/>
      <c r="M37" s="122"/>
      <c r="N37" s="123"/>
      <c r="O37" s="25"/>
      <c r="P37" s="125"/>
      <c r="Q37" s="126"/>
    </row>
    <row r="38" spans="1:17" ht="21.75">
      <c r="A38" s="26"/>
      <c r="B38" s="26"/>
      <c r="C38" s="26"/>
      <c r="D38" s="28"/>
      <c r="E38" s="153"/>
      <c r="F38" s="27"/>
      <c r="G38" s="26"/>
      <c r="H38" s="28"/>
      <c r="I38" s="28"/>
      <c r="L38" s="121"/>
      <c r="M38" s="122"/>
      <c r="N38" s="123"/>
      <c r="O38" s="25"/>
      <c r="P38" s="125"/>
      <c r="Q38" s="126"/>
    </row>
    <row r="39" spans="1:17" ht="21.75">
      <c r="A39" s="26"/>
      <c r="B39" s="26"/>
      <c r="C39" s="26"/>
      <c r="D39" s="28"/>
      <c r="E39" s="153"/>
      <c r="F39" s="27"/>
      <c r="G39" s="26"/>
      <c r="H39" s="28"/>
      <c r="I39" s="28"/>
      <c r="L39" s="121"/>
      <c r="M39" s="122"/>
      <c r="N39" s="123"/>
      <c r="O39" s="25"/>
      <c r="P39" s="125"/>
      <c r="Q39" s="126"/>
    </row>
    <row r="40" spans="1:17" ht="21.75">
      <c r="A40" s="154"/>
      <c r="B40" s="154"/>
      <c r="C40" s="154"/>
      <c r="D40" s="155"/>
      <c r="E40" s="154"/>
      <c r="F40" s="155"/>
      <c r="G40" s="154"/>
      <c r="H40" s="156">
        <f>SUM(H4:H39)</f>
        <v>11675000</v>
      </c>
      <c r="I40" s="155"/>
      <c r="J40" s="157"/>
      <c r="K40" s="157"/>
      <c r="L40" s="130"/>
      <c r="M40" s="131"/>
      <c r="N40" s="132"/>
      <c r="O40" s="133"/>
      <c r="P40" s="134">
        <f>SUM(P5:P9)</f>
        <v>255580</v>
      </c>
      <c r="Q40" s="135">
        <f>H40-P40</f>
        <v>11419420</v>
      </c>
    </row>
    <row r="41" spans="1:17" ht="21.75">
      <c r="L41" s="121"/>
      <c r="M41" s="122"/>
      <c r="N41" s="123"/>
      <c r="O41" s="123"/>
      <c r="P41" s="125"/>
      <c r="Q41" s="126"/>
    </row>
    <row r="42" spans="1:17" ht="21.75">
      <c r="A42" s="651" t="s">
        <v>4493</v>
      </c>
      <c r="B42" s="651"/>
      <c r="C42" s="651"/>
      <c r="D42" s="651"/>
      <c r="E42" s="651"/>
      <c r="F42" s="651"/>
      <c r="G42" s="651"/>
      <c r="H42" s="651"/>
      <c r="I42" s="651"/>
      <c r="L42" s="121"/>
      <c r="M42" s="122"/>
      <c r="N42" s="123"/>
      <c r="O42" s="127"/>
      <c r="P42" s="125"/>
      <c r="Q42" s="126"/>
    </row>
    <row r="43" spans="1:17" ht="28.5">
      <c r="A43" s="16" t="s">
        <v>818</v>
      </c>
      <c r="B43" s="17" t="s">
        <v>697</v>
      </c>
      <c r="C43" s="17" t="s">
        <v>12</v>
      </c>
      <c r="D43" s="17" t="s">
        <v>819</v>
      </c>
      <c r="E43" s="16" t="s">
        <v>699</v>
      </c>
      <c r="F43" s="16" t="s">
        <v>657</v>
      </c>
      <c r="G43" s="17" t="s">
        <v>700</v>
      </c>
      <c r="H43" s="16" t="s">
        <v>660</v>
      </c>
      <c r="I43" s="16" t="s">
        <v>27</v>
      </c>
      <c r="L43" s="121"/>
      <c r="M43" s="122"/>
      <c r="N43" s="123"/>
      <c r="O43" s="127"/>
      <c r="P43" s="125"/>
      <c r="Q43" s="126"/>
    </row>
    <row r="44" spans="1:17" ht="21.75">
      <c r="A44" s="26">
        <v>1</v>
      </c>
      <c r="B44" s="26" t="s">
        <v>152</v>
      </c>
      <c r="C44" s="26" t="s">
        <v>4409</v>
      </c>
      <c r="D44" s="28" t="s">
        <v>4410</v>
      </c>
      <c r="E44" s="28" t="s">
        <v>703</v>
      </c>
      <c r="F44" s="151" t="s">
        <v>4494</v>
      </c>
      <c r="G44" s="28" t="s">
        <v>1239</v>
      </c>
      <c r="H44" s="28">
        <v>500000</v>
      </c>
      <c r="I44" s="28"/>
      <c r="L44" s="121"/>
      <c r="M44" s="122"/>
      <c r="N44" s="123"/>
      <c r="O44" s="123"/>
      <c r="P44" s="125"/>
      <c r="Q44" s="126"/>
    </row>
    <row r="45" spans="1:17" ht="21.75">
      <c r="A45" s="26"/>
      <c r="B45" s="26"/>
      <c r="C45" s="26"/>
      <c r="D45" s="28"/>
      <c r="E45" s="28" t="s">
        <v>4495</v>
      </c>
      <c r="F45" s="151" t="s">
        <v>4494</v>
      </c>
      <c r="G45" s="28" t="s">
        <v>1239</v>
      </c>
      <c r="H45" s="28">
        <v>1000000</v>
      </c>
      <c r="I45" s="28"/>
      <c r="L45" s="121"/>
      <c r="M45" s="136"/>
      <c r="N45" s="127"/>
      <c r="O45" s="127"/>
      <c r="P45" s="137"/>
      <c r="Q45" s="138"/>
    </row>
    <row r="46" spans="1:17" ht="21.75">
      <c r="A46" s="26"/>
      <c r="B46" s="26"/>
      <c r="C46" s="26"/>
      <c r="D46" s="28"/>
      <c r="E46" s="152" t="s">
        <v>4496</v>
      </c>
      <c r="F46" s="27" t="s">
        <v>3244</v>
      </c>
      <c r="G46" s="26" t="s">
        <v>1922</v>
      </c>
      <c r="H46" s="28">
        <v>500000</v>
      </c>
      <c r="I46" s="28"/>
      <c r="J46" s="51" t="s">
        <v>1042</v>
      </c>
      <c r="L46" s="121"/>
      <c r="M46" s="122"/>
      <c r="N46" s="123"/>
      <c r="O46" s="123"/>
      <c r="P46" s="125"/>
      <c r="Q46" s="126"/>
    </row>
    <row r="47" spans="1:17" ht="21.75">
      <c r="A47" s="26"/>
      <c r="B47" s="26"/>
      <c r="C47" s="26"/>
      <c r="D47" s="28"/>
      <c r="E47" s="152" t="s">
        <v>3767</v>
      </c>
      <c r="F47" s="27" t="s">
        <v>2194</v>
      </c>
      <c r="G47" s="26" t="s">
        <v>2496</v>
      </c>
      <c r="H47" s="28">
        <v>500000</v>
      </c>
      <c r="I47" s="28"/>
      <c r="J47" s="51" t="s">
        <v>1042</v>
      </c>
      <c r="L47" s="121"/>
      <c r="M47" s="122"/>
      <c r="N47" s="123"/>
      <c r="O47" s="123"/>
      <c r="P47" s="125"/>
      <c r="Q47" s="126"/>
    </row>
    <row r="48" spans="1:17" ht="21.75">
      <c r="A48" s="26"/>
      <c r="B48" s="26"/>
      <c r="C48" s="26"/>
      <c r="D48" s="28"/>
      <c r="E48" s="153" t="s">
        <v>4497</v>
      </c>
      <c r="F48" s="27" t="s">
        <v>4498</v>
      </c>
      <c r="G48" s="26" t="s">
        <v>3797</v>
      </c>
      <c r="H48" s="28">
        <v>600000</v>
      </c>
      <c r="I48" s="28"/>
      <c r="J48" s="51" t="s">
        <v>1042</v>
      </c>
      <c r="L48" s="121"/>
      <c r="M48" s="136"/>
      <c r="N48" s="127"/>
      <c r="O48" s="127"/>
      <c r="P48" s="137"/>
      <c r="Q48" s="138"/>
    </row>
    <row r="49" spans="1:17" ht="21.75">
      <c r="A49" s="26"/>
      <c r="B49" s="26"/>
      <c r="C49" s="26"/>
      <c r="D49" s="28"/>
      <c r="E49" s="153" t="s">
        <v>4499</v>
      </c>
      <c r="F49" s="27" t="s">
        <v>4500</v>
      </c>
      <c r="G49" s="26" t="s">
        <v>4501</v>
      </c>
      <c r="H49" s="28">
        <v>1200000</v>
      </c>
      <c r="I49" s="28"/>
      <c r="J49" s="51" t="s">
        <v>1042</v>
      </c>
      <c r="L49" s="121"/>
      <c r="M49" s="122"/>
      <c r="N49" s="123"/>
      <c r="O49" s="123"/>
      <c r="P49" s="125"/>
      <c r="Q49" s="126"/>
    </row>
    <row r="50" spans="1:17" ht="21.75">
      <c r="A50" s="26"/>
      <c r="B50" s="26"/>
      <c r="C50" s="26"/>
      <c r="D50" s="28"/>
      <c r="E50" s="153" t="s">
        <v>3477</v>
      </c>
      <c r="F50" s="27" t="s">
        <v>4502</v>
      </c>
      <c r="G50" s="26" t="s">
        <v>4503</v>
      </c>
      <c r="H50" s="28">
        <v>600000</v>
      </c>
      <c r="I50" s="28"/>
      <c r="J50" s="51" t="s">
        <v>1042</v>
      </c>
      <c r="L50" s="121"/>
      <c r="M50" s="122"/>
      <c r="N50" s="123"/>
      <c r="O50" s="123"/>
      <c r="P50" s="125"/>
      <c r="Q50" s="126"/>
    </row>
    <row r="51" spans="1:17" ht="21.75">
      <c r="A51" s="26"/>
      <c r="B51" s="26"/>
      <c r="C51" s="26"/>
      <c r="D51" s="28"/>
      <c r="E51" s="153" t="s">
        <v>4504</v>
      </c>
      <c r="F51" s="27"/>
      <c r="G51" s="26"/>
      <c r="H51" s="28"/>
      <c r="I51" s="28"/>
      <c r="L51" s="121"/>
      <c r="M51" s="122"/>
      <c r="N51" s="123"/>
      <c r="O51" s="123"/>
      <c r="P51" s="125"/>
      <c r="Q51" s="126"/>
    </row>
    <row r="52" spans="1:17" ht="21.75">
      <c r="A52" s="26"/>
      <c r="B52" s="26"/>
      <c r="C52" s="26"/>
      <c r="D52" s="28"/>
      <c r="E52" s="153"/>
      <c r="F52" s="27"/>
      <c r="G52" s="26"/>
      <c r="H52" s="28"/>
      <c r="I52" s="28"/>
      <c r="L52" s="121"/>
      <c r="M52" s="122"/>
      <c r="N52" s="123"/>
      <c r="O52" s="123"/>
      <c r="P52" s="125"/>
      <c r="Q52" s="126"/>
    </row>
    <row r="53" spans="1:17" ht="21.75">
      <c r="A53" s="26"/>
      <c r="B53" s="26"/>
      <c r="C53" s="26"/>
      <c r="D53" s="28"/>
      <c r="E53" s="153"/>
      <c r="F53" s="27"/>
      <c r="G53" s="26"/>
      <c r="H53" s="28"/>
      <c r="I53" s="28"/>
      <c r="L53" s="121"/>
      <c r="M53" s="122"/>
      <c r="N53" s="123"/>
      <c r="O53" s="123"/>
      <c r="P53" s="125"/>
      <c r="Q53" s="126"/>
    </row>
    <row r="54" spans="1:17" ht="21.75">
      <c r="A54" s="26"/>
      <c r="B54" s="26"/>
      <c r="C54" s="26"/>
      <c r="D54" s="28"/>
      <c r="E54" s="153"/>
      <c r="F54" s="27"/>
      <c r="G54" s="26"/>
      <c r="H54" s="28"/>
      <c r="I54" s="28"/>
      <c r="L54" s="121"/>
      <c r="M54" s="122"/>
      <c r="N54" s="123"/>
      <c r="O54" s="123"/>
      <c r="P54" s="125"/>
      <c r="Q54" s="126"/>
    </row>
    <row r="55" spans="1:17" ht="21.75">
      <c r="A55" s="26"/>
      <c r="B55" s="26"/>
      <c r="C55" s="26"/>
      <c r="D55" s="28"/>
      <c r="E55" s="153"/>
      <c r="F55" s="27"/>
      <c r="G55" s="26"/>
      <c r="H55" s="28"/>
      <c r="I55" s="28"/>
      <c r="L55" s="121"/>
      <c r="M55" s="122"/>
      <c r="N55" s="123"/>
      <c r="O55" s="123"/>
      <c r="P55" s="125"/>
      <c r="Q55" s="126"/>
    </row>
    <row r="56" spans="1:17" ht="21.75">
      <c r="A56" s="26"/>
      <c r="B56" s="26"/>
      <c r="C56" s="26"/>
      <c r="D56" s="28"/>
      <c r="E56" s="153"/>
      <c r="F56" s="27"/>
      <c r="G56" s="26"/>
      <c r="H56" s="28"/>
      <c r="I56" s="28"/>
      <c r="L56" s="121"/>
      <c r="M56" s="122"/>
      <c r="N56" s="123"/>
      <c r="O56" s="123"/>
      <c r="P56" s="125"/>
      <c r="Q56" s="126"/>
    </row>
    <row r="59" spans="1:17" ht="21.75">
      <c r="A59" s="651" t="s">
        <v>4505</v>
      </c>
      <c r="B59" s="651"/>
      <c r="C59" s="651"/>
      <c r="D59" s="651"/>
      <c r="E59" s="651"/>
      <c r="F59" s="651"/>
      <c r="G59" s="651"/>
      <c r="H59" s="651"/>
      <c r="I59" s="651"/>
      <c r="L59" s="121"/>
      <c r="M59" s="122"/>
      <c r="N59" s="123"/>
      <c r="O59" s="127"/>
      <c r="P59" s="125"/>
      <c r="Q59" s="126"/>
    </row>
    <row r="60" spans="1:17" ht="28.5">
      <c r="A60" s="16" t="s">
        <v>818</v>
      </c>
      <c r="B60" s="17" t="s">
        <v>697</v>
      </c>
      <c r="C60" s="17" t="s">
        <v>12</v>
      </c>
      <c r="D60" s="17" t="s">
        <v>819</v>
      </c>
      <c r="E60" s="16" t="s">
        <v>699</v>
      </c>
      <c r="F60" s="16" t="s">
        <v>657</v>
      </c>
      <c r="G60" s="17" t="s">
        <v>700</v>
      </c>
      <c r="H60" s="16" t="s">
        <v>660</v>
      </c>
      <c r="I60" s="16" t="s">
        <v>27</v>
      </c>
      <c r="L60" s="121"/>
      <c r="M60" s="122"/>
      <c r="N60" s="123"/>
      <c r="O60" s="127"/>
      <c r="P60" s="125"/>
      <c r="Q60" s="126"/>
    </row>
    <row r="61" spans="1:17" ht="21.75">
      <c r="A61" s="26">
        <v>1</v>
      </c>
      <c r="B61" s="26" t="s">
        <v>152</v>
      </c>
      <c r="C61" s="26" t="s">
        <v>4409</v>
      </c>
      <c r="D61" s="28" t="s">
        <v>4410</v>
      </c>
      <c r="E61" s="28" t="s">
        <v>1091</v>
      </c>
      <c r="F61" s="151" t="s">
        <v>4506</v>
      </c>
      <c r="G61" s="28" t="s">
        <v>4507</v>
      </c>
      <c r="H61" s="28">
        <v>600000</v>
      </c>
      <c r="I61" s="28"/>
      <c r="L61" s="121"/>
      <c r="M61" s="122"/>
      <c r="N61" s="123"/>
      <c r="O61" s="123"/>
      <c r="P61" s="125"/>
      <c r="Q61" s="126"/>
    </row>
    <row r="62" spans="1:17" ht="21.75">
      <c r="A62" s="26"/>
      <c r="B62" s="26"/>
      <c r="C62" s="26"/>
      <c r="D62" s="28"/>
      <c r="E62" s="28"/>
      <c r="F62" s="151"/>
      <c r="G62" s="28"/>
      <c r="H62" s="28"/>
      <c r="I62" s="28"/>
      <c r="L62" s="121"/>
      <c r="M62" s="136"/>
      <c r="N62" s="127"/>
      <c r="O62" s="127"/>
      <c r="P62" s="137"/>
      <c r="Q62" s="138"/>
    </row>
    <row r="63" spans="1:17" ht="21.75">
      <c r="A63" s="26"/>
      <c r="B63" s="26"/>
      <c r="C63" s="26"/>
      <c r="D63" s="28"/>
      <c r="E63" s="152"/>
      <c r="F63" s="27"/>
      <c r="G63" s="26"/>
      <c r="H63" s="28"/>
      <c r="I63" s="28"/>
      <c r="L63" s="121"/>
      <c r="M63" s="122"/>
      <c r="N63" s="123"/>
      <c r="O63" s="123"/>
      <c r="P63" s="125"/>
      <c r="Q63" s="126"/>
    </row>
    <row r="64" spans="1:17" ht="21.75">
      <c r="A64" s="26"/>
      <c r="B64" s="26"/>
      <c r="C64" s="26"/>
      <c r="D64" s="28"/>
      <c r="E64" s="152"/>
      <c r="F64" s="27"/>
      <c r="G64" s="26"/>
      <c r="H64" s="28"/>
      <c r="I64" s="28"/>
      <c r="L64" s="121"/>
      <c r="M64" s="122"/>
      <c r="N64" s="123"/>
      <c r="O64" s="123"/>
      <c r="P64" s="125"/>
      <c r="Q64" s="126"/>
    </row>
    <row r="65" spans="1:17" ht="21.75">
      <c r="A65" s="26"/>
      <c r="B65" s="26"/>
      <c r="C65" s="26"/>
      <c r="D65" s="28"/>
      <c r="E65" s="153"/>
      <c r="F65" s="27"/>
      <c r="G65" s="26"/>
      <c r="H65" s="28"/>
      <c r="I65" s="28"/>
      <c r="L65" s="121"/>
      <c r="M65" s="136"/>
      <c r="N65" s="127"/>
      <c r="O65" s="127"/>
      <c r="P65" s="137"/>
      <c r="Q65" s="138"/>
    </row>
    <row r="66" spans="1:17" ht="21.75">
      <c r="A66" s="26"/>
      <c r="B66" s="26"/>
      <c r="C66" s="26"/>
      <c r="D66" s="28"/>
      <c r="E66" s="153"/>
      <c r="F66" s="27"/>
      <c r="G66" s="26"/>
      <c r="H66" s="28"/>
      <c r="I66" s="28"/>
      <c r="L66" s="121"/>
      <c r="M66" s="122"/>
      <c r="N66" s="123"/>
      <c r="O66" s="123"/>
      <c r="P66" s="125"/>
      <c r="Q66" s="126"/>
    </row>
    <row r="67" spans="1:17" ht="21.75">
      <c r="A67" s="26"/>
      <c r="B67" s="26"/>
      <c r="C67" s="26"/>
      <c r="D67" s="28"/>
      <c r="E67" s="153"/>
      <c r="F67" s="27"/>
      <c r="G67" s="26"/>
      <c r="H67" s="28"/>
      <c r="I67" s="28"/>
      <c r="L67" s="121"/>
      <c r="M67" s="122"/>
      <c r="N67" s="123"/>
      <c r="O67" s="123"/>
      <c r="P67" s="125"/>
      <c r="Q67" s="126"/>
    </row>
    <row r="68" spans="1:17" ht="21.75">
      <c r="A68" s="26"/>
      <c r="B68" s="26"/>
      <c r="C68" s="26"/>
      <c r="D68" s="28"/>
      <c r="E68" s="153"/>
      <c r="F68" s="27"/>
      <c r="G68" s="26"/>
      <c r="H68" s="28"/>
      <c r="I68" s="28"/>
      <c r="L68" s="121"/>
      <c r="M68" s="122"/>
      <c r="N68" s="123"/>
      <c r="O68" s="123"/>
      <c r="P68" s="125"/>
      <c r="Q68" s="126"/>
    </row>
    <row r="69" spans="1:17" ht="21.75">
      <c r="A69" s="26"/>
      <c r="B69" s="26"/>
      <c r="C69" s="26"/>
      <c r="D69" s="28"/>
      <c r="E69" s="153"/>
      <c r="F69" s="27"/>
      <c r="G69" s="26"/>
      <c r="H69" s="28"/>
      <c r="I69" s="28"/>
      <c r="L69" s="121"/>
      <c r="M69" s="122"/>
      <c r="N69" s="123"/>
      <c r="O69" s="123"/>
      <c r="P69" s="125"/>
      <c r="Q69" s="126"/>
    </row>
    <row r="70" spans="1:17" ht="21.75">
      <c r="A70" s="26"/>
      <c r="B70" s="26"/>
      <c r="C70" s="26"/>
      <c r="D70" s="28"/>
      <c r="E70" s="153"/>
      <c r="F70" s="27"/>
      <c r="G70" s="26"/>
      <c r="H70" s="28"/>
      <c r="I70" s="28"/>
      <c r="L70" s="121"/>
      <c r="M70" s="122"/>
      <c r="N70" s="123"/>
      <c r="O70" s="123"/>
      <c r="P70" s="125"/>
      <c r="Q70" s="126"/>
    </row>
    <row r="71" spans="1:17" ht="21.75">
      <c r="A71" s="26"/>
      <c r="B71" s="26"/>
      <c r="C71" s="26"/>
      <c r="D71" s="28"/>
      <c r="E71" s="153"/>
      <c r="F71" s="27"/>
      <c r="G71" s="26"/>
      <c r="H71" s="28"/>
      <c r="I71" s="28"/>
      <c r="L71" s="121"/>
      <c r="M71" s="122"/>
      <c r="N71" s="123"/>
      <c r="O71" s="123"/>
      <c r="P71" s="125"/>
      <c r="Q71" s="126"/>
    </row>
    <row r="72" spans="1:17" ht="21.75">
      <c r="A72" s="26"/>
      <c r="B72" s="26"/>
      <c r="C72" s="26"/>
      <c r="D72" s="28"/>
      <c r="E72" s="153"/>
      <c r="F72" s="27"/>
      <c r="G72" s="26"/>
      <c r="H72" s="28"/>
      <c r="I72" s="28"/>
      <c r="L72" s="121"/>
      <c r="M72" s="122"/>
      <c r="N72" s="123"/>
      <c r="O72" s="123"/>
      <c r="P72" s="125"/>
      <c r="Q72" s="126"/>
    </row>
    <row r="73" spans="1:17" ht="21.75">
      <c r="A73" s="26"/>
      <c r="B73" s="26"/>
      <c r="C73" s="26"/>
      <c r="D73" s="28"/>
      <c r="E73" s="153"/>
      <c r="F73" s="27"/>
      <c r="G73" s="26"/>
      <c r="H73" s="28"/>
      <c r="I73" s="28"/>
      <c r="L73" s="121"/>
      <c r="M73" s="122"/>
      <c r="N73" s="123"/>
      <c r="O73" s="123"/>
      <c r="P73" s="125"/>
      <c r="Q73" s="126"/>
    </row>
    <row r="74" spans="1:17" ht="21.75">
      <c r="A74" s="154"/>
      <c r="B74" s="154"/>
      <c r="C74" s="154"/>
      <c r="D74" s="155"/>
      <c r="E74" s="154"/>
      <c r="F74" s="155"/>
      <c r="G74" s="154"/>
      <c r="H74" s="156">
        <f>SUM(H61:H73)</f>
        <v>600000</v>
      </c>
      <c r="I74" s="155"/>
      <c r="J74" s="157"/>
      <c r="K74" s="157"/>
      <c r="L74" s="130"/>
      <c r="M74" s="131"/>
      <c r="N74" s="132"/>
      <c r="O74" s="133"/>
      <c r="P74" s="134">
        <f>SUM(P42:P43)</f>
        <v>0</v>
      </c>
      <c r="Q74" s="135">
        <f>H74-P74</f>
        <v>600000</v>
      </c>
    </row>
    <row r="77" spans="1:17" ht="18.75">
      <c r="A77" s="651" t="s">
        <v>4508</v>
      </c>
      <c r="B77" s="651"/>
      <c r="C77" s="651"/>
      <c r="D77" s="651"/>
      <c r="E77" s="651"/>
      <c r="F77" s="651"/>
      <c r="G77" s="651"/>
      <c r="H77" s="651"/>
      <c r="I77" s="651"/>
    </row>
    <row r="78" spans="1:17" ht="28.5">
      <c r="A78" s="16" t="s">
        <v>818</v>
      </c>
      <c r="B78" s="17" t="s">
        <v>697</v>
      </c>
      <c r="C78" s="17" t="s">
        <v>12</v>
      </c>
      <c r="D78" s="17" t="s">
        <v>819</v>
      </c>
      <c r="E78" s="16" t="s">
        <v>699</v>
      </c>
      <c r="F78" s="16" t="s">
        <v>657</v>
      </c>
      <c r="G78" s="17" t="s">
        <v>700</v>
      </c>
      <c r="H78" s="16" t="s">
        <v>660</v>
      </c>
      <c r="I78" s="16" t="s">
        <v>27</v>
      </c>
    </row>
    <row r="79" spans="1:17" ht="21.75">
      <c r="A79" s="26">
        <v>1</v>
      </c>
      <c r="B79" s="26" t="s">
        <v>152</v>
      </c>
      <c r="C79" s="26" t="s">
        <v>4409</v>
      </c>
      <c r="D79" s="28" t="s">
        <v>4410</v>
      </c>
      <c r="E79" s="28" t="s">
        <v>661</v>
      </c>
      <c r="F79" s="151" t="s">
        <v>4509</v>
      </c>
      <c r="G79" s="28" t="s">
        <v>1131</v>
      </c>
      <c r="H79" s="28">
        <v>800000</v>
      </c>
      <c r="I79" s="28"/>
    </row>
    <row r="80" spans="1:17" ht="21.75">
      <c r="A80" s="26"/>
      <c r="B80" s="26"/>
      <c r="C80" s="26"/>
      <c r="D80" s="28"/>
      <c r="E80" s="28" t="s">
        <v>4510</v>
      </c>
      <c r="F80" s="151" t="s">
        <v>4509</v>
      </c>
      <c r="G80" s="28" t="s">
        <v>1131</v>
      </c>
      <c r="H80" s="28">
        <v>800000</v>
      </c>
      <c r="I80" s="28"/>
    </row>
    <row r="81" spans="1:9" ht="21.75">
      <c r="A81" s="26"/>
      <c r="B81" s="26"/>
      <c r="C81" s="26"/>
      <c r="D81" s="28"/>
      <c r="E81" s="152"/>
      <c r="F81" s="27"/>
      <c r="G81" s="26"/>
      <c r="H81" s="28"/>
      <c r="I81" s="28"/>
    </row>
    <row r="82" spans="1:9" ht="21.75">
      <c r="A82" s="26"/>
      <c r="B82" s="26"/>
      <c r="C82" s="26"/>
      <c r="D82" s="28"/>
      <c r="E82" s="152"/>
      <c r="F82" s="27"/>
      <c r="G82" s="26"/>
      <c r="H82" s="28"/>
      <c r="I82" s="28"/>
    </row>
    <row r="83" spans="1:9" ht="21.75">
      <c r="A83" s="26"/>
      <c r="B83" s="26"/>
      <c r="C83" s="26"/>
      <c r="D83" s="28"/>
      <c r="E83" s="153"/>
      <c r="F83" s="27"/>
      <c r="G83" s="26"/>
      <c r="H83" s="28"/>
      <c r="I83" s="28"/>
    </row>
    <row r="84" spans="1:9" ht="21.75">
      <c r="A84" s="26"/>
      <c r="B84" s="26"/>
      <c r="C84" s="26"/>
      <c r="D84" s="28"/>
      <c r="E84" s="153"/>
      <c r="F84" s="27"/>
      <c r="G84" s="26"/>
      <c r="H84" s="28"/>
      <c r="I84" s="28"/>
    </row>
    <row r="85" spans="1:9" ht="21.75">
      <c r="A85" s="26"/>
      <c r="B85" s="26"/>
      <c r="C85" s="26"/>
      <c r="D85" s="28"/>
      <c r="E85" s="153"/>
      <c r="F85" s="27"/>
      <c r="G85" s="26"/>
      <c r="H85" s="28"/>
      <c r="I85" s="28"/>
    </row>
    <row r="86" spans="1:9" ht="21.75">
      <c r="A86" s="26"/>
      <c r="B86" s="26"/>
      <c r="C86" s="26"/>
      <c r="D86" s="28"/>
      <c r="E86" s="153"/>
      <c r="F86" s="27"/>
      <c r="G86" s="26"/>
      <c r="H86" s="28"/>
      <c r="I86" s="28"/>
    </row>
    <row r="87" spans="1:9" ht="21.75">
      <c r="A87" s="26"/>
      <c r="B87" s="26"/>
      <c r="C87" s="26"/>
      <c r="D87" s="28"/>
      <c r="E87" s="153"/>
      <c r="F87" s="27"/>
      <c r="G87" s="26"/>
      <c r="H87" s="28"/>
      <c r="I87" s="28"/>
    </row>
    <row r="88" spans="1:9" ht="21.75">
      <c r="A88" s="26"/>
      <c r="B88" s="26"/>
      <c r="C88" s="26"/>
      <c r="D88" s="28"/>
      <c r="E88" s="153"/>
      <c r="F88" s="27"/>
      <c r="G88" s="26"/>
      <c r="H88" s="28"/>
      <c r="I88" s="28"/>
    </row>
    <row r="89" spans="1:9" ht="21.75">
      <c r="A89" s="26"/>
      <c r="B89" s="26"/>
      <c r="C89" s="26"/>
      <c r="D89" s="28"/>
      <c r="E89" s="153"/>
      <c r="F89" s="27"/>
      <c r="G89" s="26"/>
      <c r="H89" s="28"/>
      <c r="I89" s="28"/>
    </row>
    <row r="90" spans="1:9" ht="21.75">
      <c r="A90" s="26"/>
      <c r="B90" s="26"/>
      <c r="C90" s="26"/>
      <c r="D90" s="28"/>
      <c r="E90" s="153"/>
      <c r="F90" s="27"/>
      <c r="G90" s="26"/>
      <c r="H90" s="28"/>
      <c r="I90" s="28"/>
    </row>
    <row r="91" spans="1:9" ht="21.75">
      <c r="A91" s="26"/>
      <c r="B91" s="26"/>
      <c r="C91" s="26"/>
      <c r="D91" s="28"/>
      <c r="E91" s="153"/>
      <c r="F91" s="27"/>
      <c r="G91" s="26"/>
      <c r="H91" s="28"/>
      <c r="I91" s="28"/>
    </row>
    <row r="92" spans="1:9" ht="21.75">
      <c r="A92" s="154"/>
      <c r="B92" s="154"/>
      <c r="C92" s="154"/>
      <c r="D92" s="155"/>
      <c r="E92" s="154"/>
      <c r="F92" s="155"/>
      <c r="G92" s="154"/>
      <c r="H92" s="156">
        <f>SUM(H79:H91)</f>
        <v>1600000</v>
      </c>
      <c r="I92" s="155"/>
    </row>
    <row r="96" spans="1:9" ht="18.75">
      <c r="A96" s="651" t="s">
        <v>129</v>
      </c>
      <c r="B96" s="651"/>
      <c r="C96" s="651"/>
      <c r="D96" s="651"/>
      <c r="E96" s="651"/>
      <c r="F96" s="651"/>
      <c r="G96" s="651"/>
      <c r="H96" s="651"/>
      <c r="I96" s="651"/>
    </row>
    <row r="97" spans="1:9" ht="28.5">
      <c r="A97" s="16" t="s">
        <v>818</v>
      </c>
      <c r="B97" s="17" t="s">
        <v>697</v>
      </c>
      <c r="C97" s="17" t="s">
        <v>12</v>
      </c>
      <c r="D97" s="17" t="s">
        <v>819</v>
      </c>
      <c r="E97" s="16" t="s">
        <v>699</v>
      </c>
      <c r="F97" s="16" t="s">
        <v>657</v>
      </c>
      <c r="G97" s="17" t="s">
        <v>700</v>
      </c>
      <c r="H97" s="16" t="s">
        <v>660</v>
      </c>
      <c r="I97" s="16" t="s">
        <v>27</v>
      </c>
    </row>
    <row r="98" spans="1:9" ht="21.75">
      <c r="A98" s="26">
        <v>1</v>
      </c>
      <c r="B98" s="26" t="s">
        <v>152</v>
      </c>
      <c r="C98" s="26" t="s">
        <v>4409</v>
      </c>
      <c r="D98" s="28" t="s">
        <v>4410</v>
      </c>
      <c r="E98" s="28" t="s">
        <v>703</v>
      </c>
      <c r="F98" s="151" t="s">
        <v>4511</v>
      </c>
      <c r="G98" s="28" t="s">
        <v>4512</v>
      </c>
      <c r="H98" s="28">
        <v>800000</v>
      </c>
      <c r="I98" s="28"/>
    </row>
    <row r="99" spans="1:9" ht="21.75">
      <c r="A99" s="26"/>
      <c r="B99" s="26"/>
      <c r="C99" s="26"/>
      <c r="D99" s="28"/>
      <c r="E99" s="28" t="s">
        <v>4513</v>
      </c>
      <c r="F99" s="151" t="s">
        <v>4511</v>
      </c>
      <c r="G99" s="28" t="s">
        <v>4512</v>
      </c>
      <c r="H99" s="28">
        <v>800000</v>
      </c>
      <c r="I99" s="28"/>
    </row>
    <row r="100" spans="1:9" ht="21.75">
      <c r="A100" s="26"/>
      <c r="B100" s="26"/>
      <c r="C100" s="26"/>
      <c r="D100" s="28"/>
      <c r="E100" s="152" t="s">
        <v>4514</v>
      </c>
      <c r="F100" s="27" t="s">
        <v>4515</v>
      </c>
      <c r="G100" s="26" t="s">
        <v>682</v>
      </c>
      <c r="H100" s="28">
        <v>800000</v>
      </c>
      <c r="I100" s="28" t="s">
        <v>664</v>
      </c>
    </row>
    <row r="101" spans="1:9" ht="21.75">
      <c r="A101" s="26"/>
      <c r="B101" s="26"/>
      <c r="C101" s="26"/>
      <c r="D101" s="28"/>
      <c r="E101" s="152" t="s">
        <v>134</v>
      </c>
      <c r="F101" s="27" t="s">
        <v>4516</v>
      </c>
      <c r="G101" s="26" t="s">
        <v>682</v>
      </c>
      <c r="H101" s="28">
        <v>2400000</v>
      </c>
      <c r="I101" s="28" t="s">
        <v>664</v>
      </c>
    </row>
    <row r="102" spans="1:9" ht="21.75">
      <c r="A102" s="26"/>
      <c r="B102" s="26"/>
      <c r="C102" s="26"/>
      <c r="D102" s="28"/>
      <c r="E102" s="153"/>
      <c r="F102" s="27"/>
      <c r="G102" s="26"/>
      <c r="H102" s="28"/>
      <c r="I102" s="28"/>
    </row>
    <row r="103" spans="1:9" ht="21.75">
      <c r="A103" s="26"/>
      <c r="B103" s="26"/>
      <c r="C103" s="26"/>
      <c r="D103" s="28"/>
      <c r="E103" s="153"/>
      <c r="F103" s="27"/>
      <c r="G103" s="26"/>
      <c r="H103" s="28"/>
      <c r="I103" s="28"/>
    </row>
    <row r="104" spans="1:9" ht="21.75">
      <c r="A104" s="26"/>
      <c r="B104" s="26"/>
      <c r="C104" s="26"/>
      <c r="D104" s="28"/>
      <c r="E104" s="153"/>
      <c r="F104" s="27"/>
      <c r="G104" s="26"/>
      <c r="H104" s="28"/>
      <c r="I104" s="28"/>
    </row>
    <row r="105" spans="1:9" ht="21.75">
      <c r="A105" s="26"/>
      <c r="B105" s="26"/>
      <c r="C105" s="26"/>
      <c r="D105" s="28"/>
      <c r="E105" s="153"/>
      <c r="F105" s="27"/>
      <c r="G105" s="26"/>
      <c r="H105" s="28"/>
      <c r="I105" s="28"/>
    </row>
    <row r="106" spans="1:9" ht="21.75">
      <c r="A106" s="26"/>
      <c r="B106" s="26"/>
      <c r="C106" s="26"/>
      <c r="D106" s="28"/>
      <c r="E106" s="153"/>
      <c r="F106" s="27"/>
      <c r="G106" s="26"/>
      <c r="H106" s="28"/>
      <c r="I106" s="28"/>
    </row>
    <row r="107" spans="1:9" ht="21.75">
      <c r="A107" s="26"/>
      <c r="B107" s="26"/>
      <c r="C107" s="26"/>
      <c r="D107" s="28"/>
      <c r="E107" s="153"/>
      <c r="F107" s="27"/>
      <c r="G107" s="26"/>
      <c r="H107" s="28"/>
      <c r="I107" s="28"/>
    </row>
    <row r="108" spans="1:9" ht="21.75">
      <c r="A108" s="26"/>
      <c r="B108" s="26"/>
      <c r="C108" s="26"/>
      <c r="D108" s="28"/>
      <c r="E108" s="153"/>
      <c r="F108" s="27"/>
      <c r="G108" s="26"/>
      <c r="H108" s="28"/>
      <c r="I108" s="28"/>
    </row>
    <row r="109" spans="1:9" ht="21.75">
      <c r="A109" s="26"/>
      <c r="B109" s="26"/>
      <c r="C109" s="26"/>
      <c r="D109" s="28"/>
      <c r="E109" s="153"/>
      <c r="F109" s="27"/>
      <c r="G109" s="26"/>
      <c r="H109" s="28"/>
      <c r="I109" s="28"/>
    </row>
    <row r="110" spans="1:9" ht="21.75">
      <c r="A110" s="26"/>
      <c r="B110" s="26"/>
      <c r="C110" s="26"/>
      <c r="D110" s="28"/>
      <c r="E110" s="153"/>
      <c r="F110" s="27"/>
      <c r="G110" s="26"/>
      <c r="H110" s="28"/>
      <c r="I110" s="28"/>
    </row>
    <row r="111" spans="1:9" ht="21.75">
      <c r="A111" s="154"/>
      <c r="B111" s="154"/>
      <c r="C111" s="154"/>
      <c r="D111" s="155"/>
      <c r="E111" s="154"/>
      <c r="F111" s="155"/>
      <c r="G111" s="154"/>
      <c r="H111" s="156">
        <f>SUM(H98:H110)</f>
        <v>4800000</v>
      </c>
      <c r="I111" s="155"/>
    </row>
  </sheetData>
  <mergeCells count="11">
    <mergeCell ref="A2:I2"/>
    <mergeCell ref="M2:P2"/>
    <mergeCell ref="M3:M4"/>
    <mergeCell ref="N3:N4"/>
    <mergeCell ref="O3:O4"/>
    <mergeCell ref="P3:P4"/>
    <mergeCell ref="Q3:Q4"/>
    <mergeCell ref="A42:I42"/>
    <mergeCell ref="A59:I59"/>
    <mergeCell ref="A77:I77"/>
    <mergeCell ref="A96:I96"/>
  </mergeCells>
  <hyperlinks>
    <hyperlink ref="A1" location="Name!A1" display="Name!A1" xr:uid="{28C2E299-C1A0-4C67-B467-38A6D0B58964}"/>
  </hyperlinks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717B-2578-4D6E-BB1C-79C6DEADFFC9}">
  <dimension ref="A1:J14"/>
  <sheetViews>
    <sheetView workbookViewId="0"/>
  </sheetViews>
  <sheetFormatPr defaultColWidth="9.140625" defaultRowHeight="21.75"/>
  <cols>
    <col min="1" max="2" width="9.140625" style="25"/>
    <col min="3" max="3" width="17.7109375" style="25" customWidth="1"/>
    <col min="4" max="4" width="29.5703125" style="25" customWidth="1"/>
    <col min="5" max="5" width="9.140625" style="25"/>
    <col min="6" max="6" width="22.140625" style="25" customWidth="1"/>
    <col min="7" max="7" width="21.5703125" style="25" customWidth="1"/>
    <col min="8" max="8" width="20.85546875" style="25" customWidth="1"/>
    <col min="9" max="16384" width="9.140625" style="25"/>
  </cols>
  <sheetData>
    <row r="1" spans="1:10">
      <c r="A1" s="410" t="s">
        <v>648</v>
      </c>
    </row>
    <row r="3" spans="1:10" ht="26.25">
      <c r="A3" s="680" t="s">
        <v>117</v>
      </c>
      <c r="B3" s="680"/>
      <c r="C3" s="680"/>
      <c r="D3" s="680"/>
      <c r="E3" s="680"/>
      <c r="F3" s="680"/>
      <c r="G3" s="680"/>
      <c r="H3" s="680"/>
    </row>
    <row r="4" spans="1:10" ht="43.5">
      <c r="A4" s="33" t="s">
        <v>818</v>
      </c>
      <c r="B4" s="145" t="s">
        <v>697</v>
      </c>
      <c r="C4" s="145" t="s">
        <v>12</v>
      </c>
      <c r="D4" s="33" t="s">
        <v>699</v>
      </c>
      <c r="E4" s="33" t="s">
        <v>657</v>
      </c>
      <c r="F4" s="145" t="s">
        <v>700</v>
      </c>
      <c r="G4" s="33" t="s">
        <v>660</v>
      </c>
      <c r="H4" s="33" t="s">
        <v>27</v>
      </c>
    </row>
    <row r="5" spans="1:10">
      <c r="A5" s="7">
        <v>1</v>
      </c>
      <c r="B5" s="7" t="s">
        <v>4517</v>
      </c>
      <c r="C5" s="7" t="s">
        <v>116</v>
      </c>
      <c r="D5" s="146" t="s">
        <v>4518</v>
      </c>
      <c r="E5" s="147" t="s">
        <v>4519</v>
      </c>
      <c r="F5" s="9" t="s">
        <v>2971</v>
      </c>
      <c r="G5" s="9">
        <f>980000*6</f>
        <v>5880000</v>
      </c>
      <c r="H5" s="9"/>
    </row>
    <row r="6" spans="1:10">
      <c r="A6" s="7"/>
      <c r="B6" s="7"/>
      <c r="C6" s="7"/>
      <c r="D6" s="148" t="s">
        <v>4520</v>
      </c>
      <c r="E6" s="147" t="s">
        <v>4521</v>
      </c>
      <c r="F6" s="9" t="s">
        <v>4522</v>
      </c>
      <c r="G6" s="9">
        <f>980000*6</f>
        <v>5880000</v>
      </c>
      <c r="H6" s="9"/>
      <c r="J6" s="25" t="s">
        <v>4523</v>
      </c>
    </row>
    <row r="7" spans="1:10">
      <c r="A7" s="7"/>
      <c r="B7" s="7"/>
      <c r="C7" s="7"/>
      <c r="D7" s="149" t="s">
        <v>4524</v>
      </c>
      <c r="E7" s="147"/>
      <c r="F7" s="9" t="s">
        <v>4525</v>
      </c>
      <c r="G7" s="9">
        <v>5292000</v>
      </c>
      <c r="H7" s="9" t="s">
        <v>4526</v>
      </c>
    </row>
    <row r="8" spans="1:10">
      <c r="A8" s="7"/>
      <c r="B8" s="7"/>
      <c r="C8" s="7"/>
      <c r="D8" s="149" t="s">
        <v>120</v>
      </c>
      <c r="E8" s="147" t="s">
        <v>4527</v>
      </c>
      <c r="F8" s="9" t="s">
        <v>690</v>
      </c>
      <c r="G8" s="9">
        <v>14040000</v>
      </c>
      <c r="H8" s="9" t="s">
        <v>664</v>
      </c>
    </row>
    <row r="9" spans="1:10">
      <c r="A9" s="7"/>
      <c r="B9" s="7"/>
      <c r="C9" s="7"/>
      <c r="D9" s="149"/>
      <c r="E9" s="147"/>
      <c r="F9" s="9"/>
      <c r="G9" s="9"/>
      <c r="H9" s="9"/>
    </row>
    <row r="10" spans="1:10">
      <c r="A10" s="7"/>
      <c r="B10" s="7"/>
      <c r="C10" s="7"/>
      <c r="D10" s="149"/>
      <c r="E10" s="147"/>
      <c r="F10" s="9"/>
      <c r="G10" s="9"/>
      <c r="H10" s="9"/>
    </row>
    <row r="11" spans="1:10">
      <c r="A11" s="7"/>
      <c r="B11" s="7"/>
      <c r="C11" s="7"/>
      <c r="D11" s="149"/>
      <c r="E11" s="147"/>
      <c r="F11" s="9"/>
      <c r="G11" s="9"/>
      <c r="H11" s="9"/>
    </row>
    <row r="12" spans="1:10">
      <c r="A12" s="7"/>
      <c r="B12" s="7"/>
      <c r="C12" s="7"/>
      <c r="D12" s="149"/>
      <c r="E12" s="147"/>
      <c r="F12" s="9"/>
      <c r="G12" s="9"/>
      <c r="H12" s="9"/>
    </row>
    <row r="13" spans="1:10">
      <c r="A13" s="7"/>
      <c r="B13" s="7"/>
      <c r="C13" s="7"/>
      <c r="D13" s="149"/>
      <c r="E13" s="147"/>
      <c r="F13" s="9"/>
      <c r="G13" s="9"/>
      <c r="H13" s="9"/>
    </row>
    <row r="14" spans="1:10">
      <c r="A14" s="7"/>
      <c r="B14" s="7"/>
      <c r="C14" s="7"/>
      <c r="D14" s="9"/>
      <c r="E14" s="9"/>
      <c r="F14" s="9"/>
      <c r="G14" s="150">
        <f>SUM(G5:G13)</f>
        <v>31092000</v>
      </c>
      <c r="H14" s="9"/>
    </row>
  </sheetData>
  <mergeCells count="1">
    <mergeCell ref="A3:H3"/>
  </mergeCells>
  <hyperlinks>
    <hyperlink ref="A1" location="Name!A1" display="Name!A1" xr:uid="{84C1435D-9274-4FA1-B84A-3FD6D374B2E0}"/>
  </hyperlinks>
  <pageMargins left="0.7" right="0.7" top="0.75" bottom="0.75" header="0.3" footer="0.3"/>
  <pageSetup orientation="portrait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CD69-6AD6-4E75-A17D-F16A95C63D79}">
  <dimension ref="A1:N92"/>
  <sheetViews>
    <sheetView workbookViewId="0"/>
  </sheetViews>
  <sheetFormatPr defaultColWidth="9.140625" defaultRowHeight="18"/>
  <cols>
    <col min="1" max="1" width="6.140625" style="51" customWidth="1"/>
    <col min="2" max="3" width="15.42578125" style="51" customWidth="1"/>
    <col min="4" max="4" width="27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27.140625" style="51" customWidth="1"/>
    <col min="10" max="11" width="9.140625" style="51"/>
    <col min="12" max="12" width="40.5703125" style="51" customWidth="1"/>
    <col min="13" max="14" width="18.140625" style="51" customWidth="1"/>
    <col min="15" max="16384" width="9.140625" style="51"/>
  </cols>
  <sheetData>
    <row r="1" spans="1:14">
      <c r="A1" s="411" t="s">
        <v>648</v>
      </c>
    </row>
    <row r="2" spans="1:14" ht="21.75">
      <c r="A2" s="644" t="s">
        <v>4528</v>
      </c>
      <c r="B2" s="644"/>
      <c r="C2" s="644"/>
      <c r="D2" s="644"/>
      <c r="E2" s="644"/>
      <c r="F2" s="644"/>
      <c r="G2" s="644"/>
      <c r="H2" s="644"/>
      <c r="I2" s="121"/>
      <c r="J2" s="644" t="s">
        <v>973</v>
      </c>
      <c r="K2" s="644"/>
      <c r="L2" s="644"/>
      <c r="M2" s="644"/>
    </row>
    <row r="3" spans="1:14" s="56" customFormat="1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5" t="s">
        <v>657</v>
      </c>
      <c r="G3" s="647" t="s">
        <v>658</v>
      </c>
      <c r="H3" s="3" t="s">
        <v>659</v>
      </c>
      <c r="I3" s="121"/>
      <c r="J3" s="654" t="s">
        <v>653</v>
      </c>
      <c r="K3" s="659" t="s">
        <v>974</v>
      </c>
      <c r="L3" s="661" t="s">
        <v>975</v>
      </c>
      <c r="M3" s="662" t="s">
        <v>976</v>
      </c>
      <c r="N3" s="664" t="s">
        <v>977</v>
      </c>
    </row>
    <row r="4" spans="1:14" ht="21.75">
      <c r="A4" s="646"/>
      <c r="B4" s="646"/>
      <c r="C4" s="646"/>
      <c r="D4" s="646"/>
      <c r="E4" s="648"/>
      <c r="F4" s="646"/>
      <c r="G4" s="646"/>
      <c r="H4" s="6" t="s">
        <v>660</v>
      </c>
      <c r="I4" s="121"/>
      <c r="J4" s="655"/>
      <c r="K4" s="660"/>
      <c r="L4" s="660"/>
      <c r="M4" s="663"/>
      <c r="N4" s="665"/>
    </row>
    <row r="5" spans="1:14" ht="21.75">
      <c r="A5" s="7">
        <v>1</v>
      </c>
      <c r="B5" s="7" t="s">
        <v>110</v>
      </c>
      <c r="C5" s="7"/>
      <c r="D5" s="7" t="s">
        <v>4529</v>
      </c>
      <c r="E5" s="9" t="s">
        <v>703</v>
      </c>
      <c r="F5" s="10" t="s">
        <v>4530</v>
      </c>
      <c r="G5" s="9" t="s">
        <v>4531</v>
      </c>
      <c r="H5" s="9">
        <v>700000</v>
      </c>
      <c r="I5" s="121"/>
      <c r="J5" s="122"/>
      <c r="K5" s="123" t="s">
        <v>4531</v>
      </c>
      <c r="L5" s="124" t="s">
        <v>4532</v>
      </c>
      <c r="M5" s="125">
        <v>49000</v>
      </c>
      <c r="N5" s="126"/>
    </row>
    <row r="6" spans="1:14" ht="21.75">
      <c r="A6" s="7"/>
      <c r="B6" s="7"/>
      <c r="C6" s="7" t="s">
        <v>679</v>
      </c>
      <c r="D6" s="7"/>
      <c r="E6" s="9" t="s">
        <v>4533</v>
      </c>
      <c r="F6" s="10" t="s">
        <v>4530</v>
      </c>
      <c r="G6" s="9" t="s">
        <v>4531</v>
      </c>
      <c r="H6" s="9">
        <v>1400000</v>
      </c>
      <c r="I6" s="121"/>
      <c r="J6" s="122"/>
      <c r="K6" s="123"/>
      <c r="L6" s="127"/>
      <c r="M6" s="125"/>
      <c r="N6" s="126"/>
    </row>
    <row r="7" spans="1:14" ht="21.75">
      <c r="A7" s="7"/>
      <c r="B7" s="7"/>
      <c r="C7" s="7"/>
      <c r="D7" s="7"/>
      <c r="E7" s="9" t="s">
        <v>4534</v>
      </c>
      <c r="F7" s="10" t="s">
        <v>4535</v>
      </c>
      <c r="G7" s="9" t="s">
        <v>4536</v>
      </c>
      <c r="H7" s="9">
        <v>700000</v>
      </c>
      <c r="I7" s="121"/>
      <c r="J7" s="122"/>
      <c r="K7" s="123"/>
      <c r="L7" s="127"/>
      <c r="M7" s="125"/>
      <c r="N7" s="126"/>
    </row>
    <row r="8" spans="1:14" ht="21.75">
      <c r="A8" s="7"/>
      <c r="B8" s="7"/>
      <c r="C8" s="7"/>
      <c r="D8" s="7"/>
      <c r="E8" s="9" t="s">
        <v>4537</v>
      </c>
      <c r="F8" s="10" t="s">
        <v>4538</v>
      </c>
      <c r="G8" s="9" t="s">
        <v>4539</v>
      </c>
      <c r="H8" s="9">
        <v>1400000</v>
      </c>
      <c r="I8" s="121"/>
      <c r="J8" s="122"/>
      <c r="K8" s="123"/>
      <c r="L8" s="127"/>
      <c r="M8" s="125"/>
      <c r="N8" s="126"/>
    </row>
    <row r="9" spans="1:14" ht="21.75">
      <c r="A9" s="7"/>
      <c r="B9" s="7"/>
      <c r="C9" s="7"/>
      <c r="D9" s="7"/>
      <c r="E9" s="9" t="s">
        <v>4540</v>
      </c>
      <c r="F9" s="10" t="s">
        <v>4541</v>
      </c>
      <c r="G9" s="9" t="s">
        <v>4542</v>
      </c>
      <c r="H9" s="9">
        <v>1400000</v>
      </c>
      <c r="I9" s="121"/>
      <c r="J9" s="122"/>
      <c r="K9" s="123"/>
      <c r="L9" s="127"/>
      <c r="M9" s="125"/>
      <c r="N9" s="126"/>
    </row>
    <row r="10" spans="1:14" ht="21.75">
      <c r="A10" s="7"/>
      <c r="B10" s="7"/>
      <c r="C10" s="7"/>
      <c r="D10" s="7"/>
      <c r="E10" s="9" t="s">
        <v>4543</v>
      </c>
      <c r="F10" s="10" t="s">
        <v>4544</v>
      </c>
      <c r="G10" s="9" t="s">
        <v>2137</v>
      </c>
      <c r="H10" s="9">
        <v>1400000</v>
      </c>
      <c r="I10" s="121"/>
      <c r="J10" s="122"/>
      <c r="K10" s="123"/>
      <c r="L10" s="25"/>
      <c r="M10" s="125"/>
      <c r="N10" s="126"/>
    </row>
    <row r="11" spans="1:14" ht="21.75">
      <c r="A11" s="7"/>
      <c r="B11" s="7"/>
      <c r="C11" s="7"/>
      <c r="D11" s="7"/>
      <c r="E11" s="9" t="s">
        <v>4545</v>
      </c>
      <c r="F11" s="10" t="s">
        <v>4546</v>
      </c>
      <c r="G11" s="9" t="s">
        <v>3830</v>
      </c>
      <c r="H11" s="9">
        <v>2100000</v>
      </c>
      <c r="I11" s="121"/>
      <c r="J11" s="122"/>
      <c r="K11" s="123"/>
      <c r="L11" s="25"/>
      <c r="M11" s="125"/>
      <c r="N11" s="126"/>
    </row>
    <row r="12" spans="1:14" ht="21.75">
      <c r="A12" s="7"/>
      <c r="B12" s="7"/>
      <c r="C12" s="7"/>
      <c r="D12" s="7"/>
      <c r="E12" s="9" t="s">
        <v>4547</v>
      </c>
      <c r="F12" s="10" t="s">
        <v>1766</v>
      </c>
      <c r="G12" s="9" t="s">
        <v>4548</v>
      </c>
      <c r="H12" s="9">
        <v>2100000</v>
      </c>
      <c r="I12" s="121"/>
      <c r="J12" s="122"/>
      <c r="K12" s="123"/>
      <c r="L12" s="25"/>
      <c r="M12" s="125"/>
      <c r="N12" s="126"/>
    </row>
    <row r="13" spans="1:14" ht="21.75">
      <c r="A13" s="7"/>
      <c r="B13" s="7"/>
      <c r="C13" s="7"/>
      <c r="D13" s="7"/>
      <c r="E13" s="9" t="s">
        <v>4549</v>
      </c>
      <c r="F13" s="10" t="s">
        <v>4550</v>
      </c>
      <c r="G13" s="9" t="s">
        <v>4464</v>
      </c>
      <c r="H13" s="9">
        <v>2100000</v>
      </c>
      <c r="I13" s="121"/>
      <c r="J13" s="122"/>
      <c r="K13" s="123"/>
      <c r="L13" s="25"/>
      <c r="M13" s="125"/>
      <c r="N13" s="126"/>
    </row>
    <row r="14" spans="1:14" ht="21.75">
      <c r="A14" s="7"/>
      <c r="B14" s="7"/>
      <c r="C14" s="7"/>
      <c r="D14" s="7"/>
      <c r="E14" s="9" t="s">
        <v>4551</v>
      </c>
      <c r="F14" s="10"/>
      <c r="G14" s="9" t="s">
        <v>3404</v>
      </c>
      <c r="H14" s="9">
        <v>1300000</v>
      </c>
      <c r="I14" s="121"/>
      <c r="J14" s="122"/>
      <c r="K14" s="123"/>
      <c r="L14" s="25"/>
      <c r="M14" s="125"/>
      <c r="N14" s="126"/>
    </row>
    <row r="15" spans="1:14" ht="21.75">
      <c r="A15" s="7"/>
      <c r="B15" s="7"/>
      <c r="C15" s="7"/>
      <c r="D15" s="7"/>
      <c r="E15" s="128"/>
      <c r="F15" s="129"/>
      <c r="G15" s="128"/>
      <c r="H15" s="128"/>
      <c r="I15" s="121"/>
      <c r="J15" s="122"/>
      <c r="K15" s="123"/>
      <c r="L15" s="25"/>
      <c r="M15" s="125"/>
      <c r="N15" s="126"/>
    </row>
    <row r="16" spans="1:14" ht="21.75">
      <c r="A16" s="7"/>
      <c r="B16" s="7"/>
      <c r="C16" s="7"/>
      <c r="D16" s="7" t="s">
        <v>4552</v>
      </c>
      <c r="E16" s="9" t="s">
        <v>4553</v>
      </c>
      <c r="F16" s="10" t="s">
        <v>4554</v>
      </c>
      <c r="G16" s="9" t="s">
        <v>1026</v>
      </c>
      <c r="H16" s="9">
        <v>1800000</v>
      </c>
      <c r="I16" s="121"/>
      <c r="J16" s="122"/>
      <c r="K16" s="123"/>
      <c r="L16" s="25"/>
      <c r="M16" s="125"/>
      <c r="N16" s="126"/>
    </row>
    <row r="17" spans="1:14" ht="21.75">
      <c r="A17" s="7"/>
      <c r="B17" s="7"/>
      <c r="C17" s="7"/>
      <c r="D17" s="7"/>
      <c r="E17" s="9"/>
      <c r="F17" s="10"/>
      <c r="G17" s="9"/>
      <c r="H17" s="9"/>
      <c r="I17" s="121"/>
      <c r="J17" s="122"/>
      <c r="K17" s="123"/>
      <c r="L17" s="25"/>
      <c r="M17" s="125"/>
      <c r="N17" s="126"/>
    </row>
    <row r="18" spans="1:14" ht="21.75">
      <c r="A18" s="7"/>
      <c r="B18" s="7"/>
      <c r="C18" s="7"/>
      <c r="D18" s="7"/>
      <c r="E18" s="9"/>
      <c r="F18" s="10"/>
      <c r="G18" s="9"/>
      <c r="H18" s="9"/>
      <c r="I18" s="121"/>
      <c r="J18" s="122"/>
      <c r="K18" s="123"/>
      <c r="L18" s="25"/>
      <c r="M18" s="125"/>
      <c r="N18" s="126"/>
    </row>
    <row r="19" spans="1:14" ht="21.75">
      <c r="A19" s="7"/>
      <c r="B19" s="7"/>
      <c r="C19" s="7"/>
      <c r="D19" s="7"/>
      <c r="E19" s="9"/>
      <c r="F19" s="10"/>
      <c r="G19" s="9"/>
      <c r="H19" s="9"/>
      <c r="I19" s="121"/>
      <c r="J19" s="122"/>
      <c r="K19" s="123"/>
      <c r="L19" s="25"/>
      <c r="M19" s="125"/>
      <c r="N19" s="126"/>
    </row>
    <row r="20" spans="1:14" ht="21.75">
      <c r="A20" s="7"/>
      <c r="B20" s="7"/>
      <c r="C20" s="7"/>
      <c r="D20" s="7"/>
      <c r="E20" s="9"/>
      <c r="F20" s="10"/>
      <c r="G20" s="9"/>
      <c r="H20" s="9"/>
      <c r="I20" s="121"/>
      <c r="J20" s="122"/>
      <c r="K20" s="123"/>
      <c r="L20" s="25"/>
      <c r="M20" s="125"/>
      <c r="N20" s="126"/>
    </row>
    <row r="21" spans="1:14" ht="21.75">
      <c r="A21" s="7"/>
      <c r="B21" s="7"/>
      <c r="C21" s="7"/>
      <c r="D21" s="7"/>
      <c r="E21" s="9"/>
      <c r="F21" s="10"/>
      <c r="G21" s="9"/>
      <c r="H21" s="9"/>
      <c r="I21" s="121"/>
      <c r="J21" s="122"/>
      <c r="K21" s="123"/>
      <c r="L21" s="25"/>
      <c r="M21" s="125"/>
      <c r="N21" s="126"/>
    </row>
    <row r="22" spans="1:14" ht="21.75">
      <c r="A22" s="7"/>
      <c r="B22" s="7"/>
      <c r="C22" s="7"/>
      <c r="D22" s="7"/>
      <c r="E22" s="9"/>
      <c r="F22" s="10"/>
      <c r="G22" s="9"/>
      <c r="H22" s="9"/>
      <c r="I22" s="121"/>
      <c r="J22" s="122"/>
      <c r="K22" s="123"/>
      <c r="L22" s="25"/>
      <c r="M22" s="125"/>
      <c r="N22" s="126"/>
    </row>
    <row r="23" spans="1:14" ht="21.75">
      <c r="A23" s="7"/>
      <c r="B23" s="7"/>
      <c r="C23" s="7"/>
      <c r="D23" s="7"/>
      <c r="E23" s="9"/>
      <c r="F23" s="10"/>
      <c r="G23" s="9"/>
      <c r="H23" s="9"/>
      <c r="I23" s="121"/>
      <c r="J23" s="122"/>
      <c r="K23" s="123"/>
      <c r="L23" s="25"/>
      <c r="M23" s="125"/>
      <c r="N23" s="126"/>
    </row>
    <row r="24" spans="1:14" ht="21.75">
      <c r="A24" s="7"/>
      <c r="B24" s="7"/>
      <c r="C24" s="7"/>
      <c r="D24" s="7"/>
      <c r="E24" s="9"/>
      <c r="F24" s="10"/>
      <c r="G24" s="9"/>
      <c r="H24" s="9"/>
      <c r="I24" s="121"/>
      <c r="J24" s="122"/>
      <c r="K24" s="123"/>
      <c r="L24" s="25"/>
      <c r="M24" s="125"/>
      <c r="N24" s="126"/>
    </row>
    <row r="25" spans="1:14" ht="21.75">
      <c r="A25" s="7"/>
      <c r="B25" s="7"/>
      <c r="C25" s="7"/>
      <c r="D25" s="7"/>
      <c r="E25" s="9"/>
      <c r="F25" s="10"/>
      <c r="G25" s="9"/>
      <c r="H25" s="9"/>
      <c r="I25" s="121"/>
      <c r="J25" s="122"/>
      <c r="K25" s="123"/>
      <c r="L25" s="25"/>
      <c r="M25" s="125"/>
      <c r="N25" s="126"/>
    </row>
    <row r="26" spans="1:14" ht="21.75">
      <c r="A26" s="7"/>
      <c r="B26" s="7"/>
      <c r="C26" s="7"/>
      <c r="D26" s="7"/>
      <c r="E26" s="9"/>
      <c r="F26" s="10"/>
      <c r="G26" s="9"/>
      <c r="H26" s="9"/>
      <c r="I26" s="121"/>
      <c r="J26" s="122"/>
      <c r="K26" s="123"/>
      <c r="L26" s="25"/>
      <c r="M26" s="125"/>
      <c r="N26" s="126"/>
    </row>
    <row r="27" spans="1:14" ht="21.75">
      <c r="A27" s="7"/>
      <c r="B27" s="7"/>
      <c r="C27" s="7"/>
      <c r="D27" s="7"/>
      <c r="E27" s="9"/>
      <c r="F27" s="10"/>
      <c r="G27" s="9"/>
      <c r="H27" s="9">
        <f>SUM(H5:H12)</f>
        <v>11200000</v>
      </c>
      <c r="I27" s="130"/>
      <c r="J27" s="131"/>
      <c r="K27" s="132"/>
      <c r="L27" s="133"/>
      <c r="M27" s="134">
        <f>SUM(M5:M9)</f>
        <v>49000</v>
      </c>
      <c r="N27" s="135">
        <f>H27-M27</f>
        <v>11151000</v>
      </c>
    </row>
    <row r="28" spans="1:14" ht="21.75">
      <c r="A28" s="644" t="s">
        <v>117</v>
      </c>
      <c r="B28" s="644"/>
      <c r="C28" s="644"/>
      <c r="D28" s="644"/>
      <c r="E28" s="644"/>
      <c r="F28" s="644"/>
      <c r="G28" s="644"/>
      <c r="H28" s="644"/>
      <c r="I28" s="121"/>
      <c r="J28" s="122"/>
      <c r="K28" s="123"/>
      <c r="L28" s="127"/>
      <c r="M28" s="125"/>
      <c r="N28" s="126"/>
    </row>
    <row r="29" spans="1:14" ht="21.75">
      <c r="A29" s="645" t="s">
        <v>653</v>
      </c>
      <c r="B29" s="647" t="s">
        <v>654</v>
      </c>
      <c r="C29" s="645" t="s">
        <v>655</v>
      </c>
      <c r="D29" s="645" t="s">
        <v>12</v>
      </c>
      <c r="E29" s="647" t="s">
        <v>656</v>
      </c>
      <c r="F29" s="645" t="s">
        <v>657</v>
      </c>
      <c r="G29" s="647" t="s">
        <v>658</v>
      </c>
      <c r="H29" s="3" t="s">
        <v>659</v>
      </c>
      <c r="I29" s="121"/>
      <c r="J29" s="122"/>
      <c r="K29" s="123"/>
      <c r="L29" s="127"/>
      <c r="M29" s="125"/>
      <c r="N29" s="126"/>
    </row>
    <row r="30" spans="1:14" ht="21.75">
      <c r="A30" s="646"/>
      <c r="B30" s="646"/>
      <c r="C30" s="646"/>
      <c r="D30" s="646"/>
      <c r="E30" s="648"/>
      <c r="F30" s="646"/>
      <c r="G30" s="646"/>
      <c r="H30" s="6" t="s">
        <v>660</v>
      </c>
      <c r="I30" s="121"/>
      <c r="J30" s="122"/>
      <c r="K30" s="123"/>
      <c r="L30" s="123"/>
      <c r="M30" s="125"/>
      <c r="N30" s="126"/>
    </row>
    <row r="31" spans="1:14" ht="21.75">
      <c r="A31" s="7">
        <v>1</v>
      </c>
      <c r="B31" s="7" t="s">
        <v>110</v>
      </c>
      <c r="C31" s="7"/>
      <c r="D31" s="7" t="s">
        <v>4529</v>
      </c>
      <c r="E31" s="9" t="s">
        <v>4555</v>
      </c>
      <c r="F31" s="10" t="s">
        <v>4556</v>
      </c>
      <c r="G31" s="9" t="s">
        <v>4557</v>
      </c>
      <c r="H31" s="9" t="s">
        <v>4558</v>
      </c>
      <c r="I31" s="121"/>
      <c r="J31" s="136"/>
      <c r="K31" s="127"/>
      <c r="L31" s="127"/>
      <c r="M31" s="137"/>
      <c r="N31" s="138"/>
    </row>
    <row r="32" spans="1:14" ht="21.75">
      <c r="A32" s="7"/>
      <c r="B32" s="7"/>
      <c r="C32" s="7" t="s">
        <v>679</v>
      </c>
      <c r="D32" s="7"/>
      <c r="E32" s="9" t="s">
        <v>4559</v>
      </c>
      <c r="F32" s="10" t="s">
        <v>4560</v>
      </c>
      <c r="G32" s="9" t="s">
        <v>4561</v>
      </c>
      <c r="H32" s="9">
        <v>395</v>
      </c>
      <c r="I32" s="121"/>
      <c r="J32" s="122" t="s">
        <v>4562</v>
      </c>
      <c r="K32" s="123"/>
      <c r="L32" s="123"/>
      <c r="M32" s="125"/>
      <c r="N32" s="126"/>
    </row>
    <row r="33" spans="1:14" ht="21.75">
      <c r="A33" s="7"/>
      <c r="B33" s="7"/>
      <c r="C33" s="7"/>
      <c r="D33" s="7"/>
      <c r="E33" s="9"/>
      <c r="F33" s="10"/>
      <c r="G33" s="9"/>
      <c r="H33" s="9" t="s">
        <v>679</v>
      </c>
      <c r="I33" s="121"/>
      <c r="J33" s="122"/>
      <c r="K33" s="123"/>
      <c r="L33" s="123"/>
      <c r="M33" s="125"/>
      <c r="N33" s="126"/>
    </row>
    <row r="34" spans="1:14" ht="21.75">
      <c r="A34" s="7"/>
      <c r="B34" s="7"/>
      <c r="C34" s="7"/>
      <c r="D34" s="7"/>
      <c r="E34" s="9"/>
      <c r="F34" s="10"/>
      <c r="G34" s="9"/>
      <c r="H34" s="9"/>
      <c r="I34" s="121"/>
      <c r="J34" s="136"/>
      <c r="K34" s="127"/>
      <c r="L34" s="127"/>
      <c r="M34" s="137"/>
      <c r="N34" s="138"/>
    </row>
    <row r="35" spans="1:14" ht="21.75">
      <c r="A35" s="7"/>
      <c r="B35" s="7"/>
      <c r="C35" s="7"/>
      <c r="D35" s="7"/>
      <c r="E35" s="9"/>
      <c r="F35" s="10"/>
      <c r="G35" s="9"/>
      <c r="H35" s="9"/>
      <c r="I35" s="121"/>
      <c r="J35" s="122"/>
      <c r="K35" s="123"/>
      <c r="L35" s="123"/>
      <c r="M35" s="125"/>
      <c r="N35" s="126"/>
    </row>
    <row r="36" spans="1:14" ht="21.75">
      <c r="A36" s="7"/>
      <c r="B36" s="7"/>
      <c r="C36" s="7"/>
      <c r="D36" s="7"/>
      <c r="E36" s="9"/>
      <c r="F36" s="10"/>
      <c r="G36" s="9"/>
      <c r="H36" s="9"/>
      <c r="I36" s="121"/>
      <c r="J36" s="122"/>
      <c r="K36" s="123"/>
      <c r="L36" s="123"/>
      <c r="M36" s="125"/>
      <c r="N36" s="126"/>
    </row>
    <row r="37" spans="1:14" ht="21.75">
      <c r="A37" s="7"/>
      <c r="B37" s="7"/>
      <c r="C37" s="7"/>
      <c r="D37" s="7"/>
      <c r="E37" s="9"/>
      <c r="F37" s="10"/>
      <c r="G37" s="9"/>
      <c r="H37" s="9"/>
      <c r="I37" s="121"/>
      <c r="J37" s="122"/>
      <c r="K37" s="123"/>
      <c r="L37" s="123"/>
      <c r="M37" s="125"/>
      <c r="N37" s="126"/>
    </row>
    <row r="38" spans="1:14" ht="21.75">
      <c r="A38" s="7"/>
      <c r="B38" s="7"/>
      <c r="C38" s="7"/>
      <c r="D38" s="7"/>
      <c r="E38" s="9"/>
      <c r="F38" s="10"/>
      <c r="G38" s="9"/>
      <c r="H38" s="9"/>
      <c r="I38" s="121"/>
      <c r="J38" s="122"/>
      <c r="K38" s="123"/>
      <c r="L38" s="123"/>
      <c r="M38" s="125"/>
      <c r="N38" s="126"/>
    </row>
    <row r="39" spans="1:14" ht="21.75">
      <c r="A39" s="7"/>
      <c r="B39" s="7"/>
      <c r="C39" s="7"/>
      <c r="D39" s="7"/>
      <c r="E39" s="9"/>
      <c r="F39" s="10"/>
      <c r="G39" s="9"/>
      <c r="H39" s="9"/>
      <c r="I39" s="121"/>
      <c r="J39" s="122"/>
      <c r="K39" s="123"/>
      <c r="L39" s="123"/>
      <c r="M39" s="125"/>
      <c r="N39" s="126"/>
    </row>
    <row r="40" spans="1:14" ht="21.75">
      <c r="A40" s="7"/>
      <c r="B40" s="7"/>
      <c r="C40" s="7"/>
      <c r="D40" s="7"/>
      <c r="E40" s="9"/>
      <c r="F40" s="10"/>
      <c r="G40" s="9"/>
      <c r="H40" s="9"/>
      <c r="I40" s="121"/>
      <c r="J40" s="122"/>
      <c r="K40" s="123"/>
      <c r="L40" s="123"/>
      <c r="M40" s="125"/>
      <c r="N40" s="126"/>
    </row>
    <row r="41" spans="1:14" ht="21.75">
      <c r="A41" s="7"/>
      <c r="B41" s="7"/>
      <c r="C41" s="7"/>
      <c r="D41" s="7"/>
      <c r="E41" s="128"/>
      <c r="F41" s="129"/>
      <c r="G41" s="128"/>
      <c r="H41" s="128"/>
      <c r="I41" s="121"/>
      <c r="J41" s="122"/>
      <c r="K41" s="123"/>
      <c r="L41" s="123"/>
      <c r="M41" s="125"/>
      <c r="N41" s="126"/>
    </row>
    <row r="42" spans="1:14" ht="21.75">
      <c r="A42" s="7"/>
      <c r="B42" s="7"/>
      <c r="C42" s="7"/>
      <c r="D42" s="7"/>
      <c r="E42" s="9"/>
      <c r="F42" s="10"/>
      <c r="G42" s="9"/>
      <c r="H42" s="9"/>
      <c r="I42" s="121"/>
      <c r="J42" s="122"/>
      <c r="K42" s="123"/>
      <c r="L42" s="123"/>
      <c r="M42" s="125"/>
      <c r="N42" s="126"/>
    </row>
    <row r="43" spans="1:14" ht="21.75">
      <c r="I43" s="121"/>
      <c r="J43" s="122"/>
      <c r="K43" s="123"/>
      <c r="L43" s="123"/>
      <c r="M43" s="125"/>
      <c r="N43" s="126"/>
    </row>
    <row r="44" spans="1:14" ht="21.75">
      <c r="A44" s="644" t="s">
        <v>4563</v>
      </c>
      <c r="B44" s="644"/>
      <c r="C44" s="644"/>
      <c r="D44" s="644"/>
      <c r="E44" s="644"/>
      <c r="F44" s="644"/>
      <c r="G44" s="644"/>
      <c r="H44" s="644"/>
      <c r="I44" s="121"/>
      <c r="J44" s="122"/>
      <c r="K44" s="123"/>
      <c r="L44" s="123"/>
      <c r="M44" s="125"/>
      <c r="N44" s="126"/>
    </row>
    <row r="45" spans="1:14" ht="21.75">
      <c r="A45" s="645" t="s">
        <v>653</v>
      </c>
      <c r="B45" s="647" t="s">
        <v>654</v>
      </c>
      <c r="C45" s="645" t="s">
        <v>655</v>
      </c>
      <c r="D45" s="645" t="s">
        <v>12</v>
      </c>
      <c r="E45" s="647" t="s">
        <v>656</v>
      </c>
      <c r="F45" s="645" t="s">
        <v>657</v>
      </c>
      <c r="G45" s="647" t="s">
        <v>658</v>
      </c>
      <c r="H45" s="3" t="s">
        <v>659</v>
      </c>
      <c r="I45" s="121"/>
      <c r="J45" s="122"/>
      <c r="K45" s="123"/>
      <c r="L45" s="123"/>
      <c r="M45" s="125"/>
      <c r="N45" s="126"/>
    </row>
    <row r="46" spans="1:14" ht="21.75">
      <c r="A46" s="646"/>
      <c r="B46" s="646"/>
      <c r="C46" s="646"/>
      <c r="D46" s="646"/>
      <c r="E46" s="648"/>
      <c r="F46" s="646"/>
      <c r="G46" s="646"/>
      <c r="H46" s="6" t="s">
        <v>660</v>
      </c>
      <c r="I46" s="121"/>
      <c r="J46" s="122"/>
      <c r="K46" s="123"/>
      <c r="L46" s="123"/>
      <c r="M46" s="125"/>
      <c r="N46" s="126"/>
    </row>
    <row r="47" spans="1:14" ht="21.75">
      <c r="A47" s="7">
        <v>1</v>
      </c>
      <c r="B47" s="7" t="s">
        <v>110</v>
      </c>
      <c r="C47" s="7"/>
      <c r="D47" s="7" t="s">
        <v>4529</v>
      </c>
      <c r="E47" s="9" t="s">
        <v>4564</v>
      </c>
      <c r="F47" s="10" t="s">
        <v>4565</v>
      </c>
      <c r="G47" s="9" t="s">
        <v>2172</v>
      </c>
      <c r="H47" s="9">
        <v>600000</v>
      </c>
      <c r="I47" s="121"/>
      <c r="J47" s="122" t="s">
        <v>4566</v>
      </c>
      <c r="K47" s="123"/>
      <c r="L47" s="123"/>
      <c r="M47" s="125"/>
      <c r="N47" s="126"/>
    </row>
    <row r="48" spans="1:14" ht="21.75">
      <c r="A48" s="7"/>
      <c r="B48" s="7"/>
      <c r="C48" s="7" t="s">
        <v>679</v>
      </c>
      <c r="D48" s="7"/>
      <c r="E48" s="9"/>
      <c r="F48" s="10"/>
      <c r="G48" s="9"/>
      <c r="H48" s="9"/>
      <c r="I48" s="121"/>
      <c r="J48" s="122"/>
      <c r="K48" s="123"/>
      <c r="L48" s="123"/>
      <c r="M48" s="125"/>
      <c r="N48" s="126"/>
    </row>
    <row r="49" spans="1:14" ht="21.75">
      <c r="A49" s="7"/>
      <c r="B49" s="7"/>
      <c r="C49" s="7"/>
      <c r="D49" s="7"/>
      <c r="E49" s="9"/>
      <c r="F49" s="10"/>
      <c r="G49" s="9"/>
      <c r="H49" s="9"/>
      <c r="I49" s="121"/>
      <c r="J49" s="139"/>
      <c r="K49" s="140"/>
      <c r="L49" s="140"/>
      <c r="M49" s="141"/>
      <c r="N49" s="142"/>
    </row>
    <row r="50" spans="1:14" ht="21.75">
      <c r="A50" s="7"/>
      <c r="B50" s="7"/>
      <c r="C50" s="7"/>
      <c r="D50" s="7"/>
      <c r="E50" s="9"/>
      <c r="F50" s="10"/>
      <c r="G50" s="9"/>
      <c r="H50" s="9"/>
      <c r="J50" s="51" t="s">
        <v>4567</v>
      </c>
    </row>
    <row r="53" spans="1:14" ht="21.75">
      <c r="I53" s="121"/>
      <c r="J53" s="122"/>
      <c r="K53" s="123"/>
      <c r="L53" s="123"/>
      <c r="M53" s="125"/>
      <c r="N53" s="126"/>
    </row>
    <row r="54" spans="1:14" ht="21.75">
      <c r="A54" s="644" t="s">
        <v>109</v>
      </c>
      <c r="B54" s="644"/>
      <c r="C54" s="644"/>
      <c r="D54" s="644"/>
      <c r="E54" s="644"/>
      <c r="F54" s="644"/>
      <c r="G54" s="644"/>
      <c r="H54" s="644"/>
      <c r="I54" s="121"/>
      <c r="J54" s="122"/>
      <c r="K54" s="123"/>
      <c r="L54" s="123"/>
      <c r="M54" s="125"/>
      <c r="N54" s="126"/>
    </row>
    <row r="55" spans="1:14" ht="21.75">
      <c r="A55" s="645" t="s">
        <v>653</v>
      </c>
      <c r="B55" s="647" t="s">
        <v>654</v>
      </c>
      <c r="C55" s="645" t="s">
        <v>655</v>
      </c>
      <c r="D55" s="645" t="s">
        <v>12</v>
      </c>
      <c r="E55" s="647" t="s">
        <v>656</v>
      </c>
      <c r="F55" s="645" t="s">
        <v>657</v>
      </c>
      <c r="G55" s="647" t="s">
        <v>658</v>
      </c>
      <c r="H55" s="3" t="s">
        <v>659</v>
      </c>
      <c r="I55" s="121"/>
      <c r="J55" s="122"/>
      <c r="K55" s="123"/>
      <c r="L55" s="123"/>
      <c r="M55" s="125"/>
      <c r="N55" s="126"/>
    </row>
    <row r="56" spans="1:14" ht="21.75">
      <c r="A56" s="646"/>
      <c r="B56" s="646"/>
      <c r="C56" s="646"/>
      <c r="D56" s="646"/>
      <c r="E56" s="648"/>
      <c r="F56" s="646"/>
      <c r="G56" s="646"/>
      <c r="H56" s="6" t="s">
        <v>660</v>
      </c>
      <c r="I56" s="121"/>
      <c r="J56" s="122"/>
      <c r="K56" s="123"/>
      <c r="L56" s="123"/>
      <c r="M56" s="125"/>
      <c r="N56" s="126"/>
    </row>
    <row r="57" spans="1:14" ht="21.75">
      <c r="A57" s="7">
        <v>1</v>
      </c>
      <c r="B57" s="7" t="s">
        <v>110</v>
      </c>
      <c r="C57" s="7"/>
      <c r="D57" s="7" t="s">
        <v>4529</v>
      </c>
      <c r="E57" s="9" t="s">
        <v>703</v>
      </c>
      <c r="F57" s="10" t="s">
        <v>4568</v>
      </c>
      <c r="G57" s="9" t="s">
        <v>3433</v>
      </c>
      <c r="H57" s="9">
        <v>700000</v>
      </c>
      <c r="I57" s="121"/>
      <c r="J57" s="122"/>
      <c r="K57" s="123"/>
      <c r="L57" s="123"/>
      <c r="M57" s="125"/>
      <c r="N57" s="126"/>
    </row>
    <row r="58" spans="1:14" ht="21.75">
      <c r="A58" s="7"/>
      <c r="B58" s="7"/>
      <c r="C58" s="7" t="s">
        <v>679</v>
      </c>
      <c r="D58" s="7"/>
      <c r="E58" s="9" t="s">
        <v>1046</v>
      </c>
      <c r="F58" s="10" t="s">
        <v>4568</v>
      </c>
      <c r="G58" s="9" t="s">
        <v>3433</v>
      </c>
      <c r="H58" s="9">
        <v>700000</v>
      </c>
      <c r="I58" s="121"/>
      <c r="J58" s="122"/>
      <c r="K58" s="123"/>
      <c r="L58" s="123"/>
      <c r="M58" s="125"/>
      <c r="N58" s="126"/>
    </row>
    <row r="59" spans="1:14" ht="21.75">
      <c r="A59" s="7"/>
      <c r="B59" s="7"/>
      <c r="C59" s="7"/>
      <c r="D59" s="7"/>
      <c r="E59" s="9" t="s">
        <v>4569</v>
      </c>
      <c r="F59" s="10" t="s">
        <v>4570</v>
      </c>
      <c r="G59" s="9" t="s">
        <v>4571</v>
      </c>
      <c r="H59" s="9">
        <v>700000</v>
      </c>
      <c r="I59" s="121"/>
      <c r="J59" s="139"/>
      <c r="K59" s="140"/>
      <c r="L59" s="140"/>
      <c r="M59" s="141"/>
      <c r="N59" s="142"/>
    </row>
    <row r="60" spans="1:14" ht="21.75">
      <c r="A60" s="7"/>
      <c r="B60" s="7"/>
      <c r="C60" s="7"/>
      <c r="D60" s="7"/>
      <c r="E60" s="9" t="s">
        <v>1052</v>
      </c>
      <c r="F60" s="10" t="s">
        <v>4572</v>
      </c>
      <c r="G60" s="9" t="s">
        <v>3585</v>
      </c>
      <c r="H60" s="9">
        <v>700000</v>
      </c>
      <c r="I60" s="121"/>
      <c r="J60" s="143"/>
      <c r="K60" s="143"/>
      <c r="L60" s="143"/>
      <c r="M60" s="144"/>
    </row>
    <row r="61" spans="1:14" ht="21.75">
      <c r="A61" s="7"/>
      <c r="B61" s="7"/>
      <c r="C61" s="7"/>
      <c r="D61" s="7"/>
      <c r="E61" s="9" t="s">
        <v>4573</v>
      </c>
      <c r="F61" s="10" t="s">
        <v>1697</v>
      </c>
      <c r="G61" s="9" t="s">
        <v>1336</v>
      </c>
      <c r="H61" s="9">
        <v>700000</v>
      </c>
      <c r="I61" s="121" t="s">
        <v>1042</v>
      </c>
      <c r="J61" s="143"/>
      <c r="K61" s="143"/>
      <c r="L61" s="143"/>
      <c r="M61" s="144"/>
    </row>
    <row r="62" spans="1:14" ht="21.75">
      <c r="A62" s="7"/>
      <c r="B62" s="7"/>
      <c r="C62" s="7"/>
      <c r="D62" s="7"/>
      <c r="E62" s="9" t="s">
        <v>4574</v>
      </c>
      <c r="F62" s="10" t="s">
        <v>4575</v>
      </c>
      <c r="G62" s="9" t="s">
        <v>4576</v>
      </c>
      <c r="H62" s="9">
        <v>1400000</v>
      </c>
      <c r="I62" s="121"/>
      <c r="J62" s="143"/>
      <c r="K62" s="143"/>
      <c r="L62" s="143"/>
      <c r="M62" s="144"/>
    </row>
    <row r="63" spans="1:14" ht="21.75">
      <c r="A63" s="7"/>
      <c r="B63" s="7"/>
      <c r="C63" s="7"/>
      <c r="D63" s="7"/>
      <c r="E63" s="9" t="s">
        <v>3767</v>
      </c>
      <c r="F63" s="10" t="s">
        <v>4324</v>
      </c>
      <c r="G63" s="9" t="s">
        <v>2594</v>
      </c>
      <c r="H63" s="9">
        <v>800000</v>
      </c>
      <c r="I63" s="121" t="s">
        <v>1042</v>
      </c>
      <c r="J63" s="143"/>
      <c r="K63" s="143"/>
      <c r="L63" s="143"/>
      <c r="M63" s="144"/>
    </row>
    <row r="64" spans="1:14" ht="21.75">
      <c r="A64" s="7"/>
      <c r="B64" s="7"/>
      <c r="C64" s="7"/>
      <c r="D64" s="7"/>
      <c r="E64" s="9" t="s">
        <v>4497</v>
      </c>
      <c r="F64" s="10" t="s">
        <v>4577</v>
      </c>
      <c r="G64" s="9" t="s">
        <v>4578</v>
      </c>
      <c r="H64" s="9">
        <v>800000</v>
      </c>
      <c r="I64" s="121" t="s">
        <v>1042</v>
      </c>
      <c r="J64" s="143"/>
      <c r="K64" s="143"/>
      <c r="L64" s="143"/>
      <c r="M64" s="144"/>
    </row>
    <row r="65" spans="1:13" ht="21.75">
      <c r="A65" s="7"/>
      <c r="B65" s="7"/>
      <c r="C65" s="7"/>
      <c r="D65" s="7"/>
      <c r="E65" s="9" t="s">
        <v>2465</v>
      </c>
      <c r="F65" s="10" t="s">
        <v>2925</v>
      </c>
      <c r="G65" s="9" t="s">
        <v>2523</v>
      </c>
      <c r="H65" s="9">
        <v>800000</v>
      </c>
      <c r="I65" s="121" t="s">
        <v>1042</v>
      </c>
      <c r="J65" s="143"/>
      <c r="K65" s="143"/>
      <c r="L65" s="143"/>
      <c r="M65" s="144"/>
    </row>
    <row r="66" spans="1:13" ht="21.75">
      <c r="A66" s="7"/>
      <c r="B66" s="7"/>
      <c r="C66" s="7"/>
      <c r="D66" s="7"/>
      <c r="E66" s="9" t="s">
        <v>2466</v>
      </c>
      <c r="F66" s="10" t="s">
        <v>4579</v>
      </c>
      <c r="G66" s="9" t="s">
        <v>721</v>
      </c>
      <c r="H66" s="9">
        <v>800000</v>
      </c>
      <c r="I66" s="121" t="s">
        <v>1042</v>
      </c>
      <c r="J66" s="143"/>
      <c r="K66" s="143"/>
      <c r="L66" s="143"/>
      <c r="M66" s="144"/>
    </row>
    <row r="67" spans="1:13" ht="21.75">
      <c r="A67" s="7"/>
      <c r="B67" s="7"/>
      <c r="C67" s="7"/>
      <c r="D67" s="7"/>
      <c r="E67" s="9" t="s">
        <v>4580</v>
      </c>
      <c r="F67" s="10" t="s">
        <v>4581</v>
      </c>
      <c r="G67" s="9" t="s">
        <v>4582</v>
      </c>
      <c r="H67" s="9">
        <v>1600000</v>
      </c>
      <c r="I67" s="121" t="s">
        <v>2776</v>
      </c>
      <c r="J67" s="143"/>
      <c r="K67" s="143"/>
      <c r="L67" s="143"/>
      <c r="M67" s="144"/>
    </row>
    <row r="68" spans="1:13" ht="21.75">
      <c r="A68" s="7"/>
      <c r="B68" s="7"/>
      <c r="C68" s="7"/>
      <c r="D68" s="7"/>
      <c r="E68" s="9" t="s">
        <v>4583</v>
      </c>
      <c r="F68" s="10" t="s">
        <v>4584</v>
      </c>
      <c r="G68" s="9" t="s">
        <v>3380</v>
      </c>
      <c r="H68" s="9">
        <v>800000</v>
      </c>
      <c r="I68" s="121" t="s">
        <v>4585</v>
      </c>
      <c r="J68" s="143"/>
      <c r="K68" s="143"/>
      <c r="L68" s="143"/>
      <c r="M68" s="144"/>
    </row>
    <row r="69" spans="1:13" ht="21.75">
      <c r="A69" s="7"/>
      <c r="B69" s="7"/>
      <c r="C69" s="7"/>
      <c r="D69" s="7"/>
      <c r="E69" s="9" t="s">
        <v>4586</v>
      </c>
      <c r="F69" s="10" t="s">
        <v>4587</v>
      </c>
      <c r="G69" s="9" t="s">
        <v>2530</v>
      </c>
      <c r="H69" s="9">
        <v>800000</v>
      </c>
      <c r="I69" s="121" t="s">
        <v>4585</v>
      </c>
      <c r="J69" s="143"/>
      <c r="K69" s="143"/>
      <c r="L69" s="143"/>
      <c r="M69" s="144"/>
    </row>
    <row r="70" spans="1:13" ht="21.75">
      <c r="A70" s="7"/>
      <c r="B70" s="7"/>
      <c r="C70" s="7"/>
      <c r="D70" s="7"/>
      <c r="E70" s="9" t="s">
        <v>1076</v>
      </c>
      <c r="F70" s="10"/>
      <c r="G70" s="9"/>
      <c r="H70" s="9">
        <v>-378000</v>
      </c>
      <c r="I70" s="121"/>
      <c r="J70" s="143"/>
      <c r="K70" s="143"/>
      <c r="L70" s="143"/>
      <c r="M70" s="144"/>
    </row>
    <row r="71" spans="1:13" ht="21.75">
      <c r="A71" s="7"/>
      <c r="B71" s="7"/>
      <c r="C71" s="7"/>
      <c r="D71" s="7"/>
      <c r="E71" s="9" t="s">
        <v>4588</v>
      </c>
      <c r="F71" s="10" t="s">
        <v>4589</v>
      </c>
      <c r="G71" s="9" t="s">
        <v>2071</v>
      </c>
      <c r="H71" s="9">
        <v>1300000</v>
      </c>
      <c r="I71" s="121" t="s">
        <v>799</v>
      </c>
      <c r="J71" s="143"/>
      <c r="K71" s="143"/>
      <c r="L71" s="143"/>
      <c r="M71" s="144"/>
    </row>
    <row r="72" spans="1:13" ht="21.75">
      <c r="A72" s="7"/>
      <c r="B72" s="7"/>
      <c r="C72" s="7"/>
      <c r="D72" s="7"/>
      <c r="E72" s="9" t="s">
        <v>1146</v>
      </c>
      <c r="F72" s="10" t="s">
        <v>4590</v>
      </c>
      <c r="G72" s="9" t="s">
        <v>2071</v>
      </c>
      <c r="H72" s="9">
        <v>1300000</v>
      </c>
      <c r="I72" s="121" t="s">
        <v>799</v>
      </c>
      <c r="J72" s="143"/>
      <c r="K72" s="143"/>
      <c r="L72" s="143"/>
      <c r="M72" s="144"/>
    </row>
    <row r="73" spans="1:13" ht="21.75">
      <c r="A73" s="7"/>
      <c r="B73" s="7"/>
      <c r="C73" s="7"/>
      <c r="D73" s="7"/>
      <c r="E73" s="9" t="s">
        <v>4591</v>
      </c>
      <c r="F73" s="10" t="s">
        <v>4592</v>
      </c>
      <c r="G73" s="9" t="s">
        <v>2538</v>
      </c>
      <c r="H73" s="9">
        <v>2600000</v>
      </c>
      <c r="I73" s="121" t="s">
        <v>799</v>
      </c>
      <c r="J73" s="143"/>
      <c r="K73" s="143"/>
      <c r="L73" s="143"/>
      <c r="M73" s="144"/>
    </row>
    <row r="74" spans="1:13" ht="21.75">
      <c r="A74" s="7"/>
      <c r="B74" s="7"/>
      <c r="C74" s="7"/>
      <c r="D74" s="7"/>
      <c r="E74" s="9" t="s">
        <v>4593</v>
      </c>
      <c r="F74" s="10" t="s">
        <v>4594</v>
      </c>
      <c r="G74" s="9" t="s">
        <v>928</v>
      </c>
      <c r="H74" s="9">
        <v>1300000</v>
      </c>
      <c r="I74" s="121" t="s">
        <v>4595</v>
      </c>
      <c r="J74" s="143"/>
      <c r="K74" s="143"/>
      <c r="L74" s="143"/>
      <c r="M74" s="144"/>
    </row>
    <row r="75" spans="1:13" ht="21.75">
      <c r="A75" s="7"/>
      <c r="B75" s="7"/>
      <c r="C75" s="7"/>
      <c r="D75" s="7"/>
      <c r="E75" s="9" t="s">
        <v>4596</v>
      </c>
      <c r="F75" s="10" t="s">
        <v>4597</v>
      </c>
      <c r="G75" s="9" t="s">
        <v>775</v>
      </c>
      <c r="H75" s="9">
        <v>1300000</v>
      </c>
      <c r="I75" s="121" t="s">
        <v>664</v>
      </c>
      <c r="J75" s="143"/>
      <c r="K75" s="143"/>
      <c r="L75" s="143"/>
      <c r="M75" s="144"/>
    </row>
    <row r="76" spans="1:13" ht="21.75">
      <c r="A76" s="7"/>
      <c r="B76" s="7"/>
      <c r="C76" s="7"/>
      <c r="D76" s="7"/>
      <c r="E76" s="9" t="s">
        <v>4598</v>
      </c>
      <c r="F76" s="10" t="s">
        <v>4599</v>
      </c>
      <c r="G76" s="9" t="s">
        <v>692</v>
      </c>
      <c r="H76" s="9">
        <v>1300000</v>
      </c>
      <c r="I76" s="121" t="s">
        <v>664</v>
      </c>
      <c r="J76" s="143"/>
      <c r="K76" s="143"/>
      <c r="L76" s="143"/>
      <c r="M76" s="144"/>
    </row>
    <row r="77" spans="1:13" ht="21.75">
      <c r="A77" s="7"/>
      <c r="B77" s="7"/>
      <c r="C77" s="7"/>
      <c r="D77" s="7"/>
      <c r="E77" s="9" t="s">
        <v>4600</v>
      </c>
      <c r="F77" s="10" t="s">
        <v>4601</v>
      </c>
      <c r="G77" s="9" t="s">
        <v>885</v>
      </c>
      <c r="H77" s="9">
        <v>1300000</v>
      </c>
      <c r="I77" s="121" t="s">
        <v>891</v>
      </c>
      <c r="J77" s="143"/>
      <c r="K77" s="143"/>
      <c r="L77" s="143"/>
      <c r="M77" s="144"/>
    </row>
    <row r="78" spans="1:13" ht="21.75">
      <c r="A78" s="7"/>
      <c r="B78" s="7"/>
      <c r="C78" s="7"/>
      <c r="D78" s="7"/>
      <c r="E78" s="9" t="s">
        <v>112</v>
      </c>
      <c r="F78" s="10">
        <v>507</v>
      </c>
      <c r="G78" s="9" t="s">
        <v>694</v>
      </c>
      <c r="H78" s="9">
        <v>1258000</v>
      </c>
      <c r="I78" s="121" t="s">
        <v>664</v>
      </c>
      <c r="J78" s="143"/>
      <c r="K78" s="143"/>
      <c r="L78" s="143"/>
      <c r="M78" s="144"/>
    </row>
    <row r="79" spans="1:13" ht="21.75">
      <c r="A79" s="7"/>
      <c r="B79" s="7"/>
      <c r="C79" s="7"/>
      <c r="D79" s="7"/>
      <c r="E79" s="9"/>
      <c r="F79" s="10"/>
      <c r="G79" s="9"/>
      <c r="H79" s="9"/>
      <c r="I79" s="121"/>
      <c r="J79" s="143"/>
      <c r="K79" s="143"/>
      <c r="L79" s="143"/>
      <c r="M79" s="144"/>
    </row>
    <row r="80" spans="1:13" ht="21.75">
      <c r="A80" s="7"/>
      <c r="B80" s="7"/>
      <c r="C80" s="7"/>
      <c r="D80" s="7"/>
      <c r="E80" s="9"/>
      <c r="F80" s="10"/>
      <c r="G80" s="9"/>
      <c r="H80" s="9"/>
      <c r="I80" s="121"/>
      <c r="J80" s="143"/>
      <c r="K80" s="143"/>
      <c r="L80" s="143"/>
      <c r="M80" s="144"/>
    </row>
    <row r="81" spans="1:13" ht="21.75">
      <c r="A81" s="7"/>
      <c r="B81" s="7"/>
      <c r="C81" s="7"/>
      <c r="D81" s="7"/>
      <c r="E81" s="9"/>
      <c r="F81" s="10"/>
      <c r="G81" s="9"/>
      <c r="H81" s="9" t="s">
        <v>679</v>
      </c>
      <c r="I81" s="121"/>
      <c r="J81" s="143"/>
      <c r="K81" s="143"/>
      <c r="L81" s="143"/>
      <c r="M81" s="144"/>
    </row>
    <row r="82" spans="1:13" ht="21.75">
      <c r="A82" s="7"/>
      <c r="B82" s="7"/>
      <c r="C82" s="7"/>
      <c r="D82" s="7"/>
      <c r="E82" s="9"/>
      <c r="F82" s="10"/>
      <c r="G82" s="9"/>
      <c r="H82" s="9"/>
      <c r="I82" s="121"/>
      <c r="J82" s="143"/>
      <c r="K82" s="143"/>
      <c r="L82" s="143"/>
      <c r="M82" s="144"/>
    </row>
    <row r="83" spans="1:13" ht="21.75">
      <c r="A83" s="7"/>
      <c r="B83" s="7"/>
      <c r="C83" s="7"/>
      <c r="D83" s="7"/>
      <c r="E83" s="9"/>
      <c r="F83" s="10"/>
      <c r="G83" s="9"/>
      <c r="H83" s="9"/>
      <c r="I83" s="121"/>
      <c r="J83" s="143"/>
      <c r="K83" s="143"/>
      <c r="L83" s="143"/>
      <c r="M83" s="144"/>
    </row>
    <row r="84" spans="1:13" ht="21.75">
      <c r="A84" s="7"/>
      <c r="B84" s="7"/>
      <c r="C84" s="7"/>
      <c r="D84" s="7"/>
      <c r="E84" s="9"/>
      <c r="F84" s="10"/>
      <c r="G84" s="9"/>
      <c r="H84" s="9"/>
      <c r="I84" s="121"/>
      <c r="J84" s="143"/>
      <c r="K84" s="143"/>
      <c r="L84" s="143"/>
      <c r="M84" s="144"/>
    </row>
    <row r="85" spans="1:13" ht="21.75">
      <c r="A85" s="7"/>
      <c r="B85" s="7"/>
      <c r="C85" s="7"/>
      <c r="D85" s="7"/>
      <c r="E85" s="9"/>
      <c r="F85" s="10"/>
      <c r="G85" s="9"/>
      <c r="H85" s="9"/>
      <c r="I85" s="121"/>
      <c r="J85" s="143"/>
      <c r="K85" s="143"/>
      <c r="L85" s="143"/>
      <c r="M85" s="144"/>
    </row>
    <row r="86" spans="1:13" ht="21.75">
      <c r="A86" s="7"/>
      <c r="B86" s="7"/>
      <c r="C86" s="7"/>
      <c r="D86" s="7"/>
      <c r="E86" s="9"/>
      <c r="F86" s="10"/>
      <c r="G86" s="9"/>
      <c r="H86" s="9"/>
      <c r="I86" s="121"/>
      <c r="J86" s="143"/>
      <c r="K86" s="143"/>
      <c r="L86" s="143"/>
      <c r="M86" s="144"/>
    </row>
    <row r="87" spans="1:13" ht="21.75">
      <c r="A87" s="7"/>
      <c r="B87" s="7"/>
      <c r="C87" s="7"/>
      <c r="D87" s="7"/>
      <c r="E87" s="9"/>
      <c r="F87" s="10"/>
      <c r="G87" s="9"/>
      <c r="H87" s="9"/>
      <c r="I87" s="121"/>
      <c r="J87" s="143"/>
      <c r="K87" s="143"/>
      <c r="L87" s="143"/>
      <c r="M87" s="144"/>
    </row>
    <row r="88" spans="1:13" ht="21.75">
      <c r="A88" s="7"/>
      <c r="B88" s="7"/>
      <c r="C88" s="7"/>
      <c r="D88" s="7"/>
      <c r="E88" s="9"/>
      <c r="F88" s="10"/>
      <c r="G88" s="9"/>
      <c r="H88" s="9"/>
      <c r="I88" s="121"/>
      <c r="J88" s="143"/>
      <c r="K88" s="143"/>
      <c r="L88" s="143"/>
      <c r="M88" s="144"/>
    </row>
    <row r="89" spans="1:13" ht="21.75">
      <c r="A89" s="7"/>
      <c r="B89" s="7"/>
      <c r="C89" s="7"/>
      <c r="D89" s="7"/>
      <c r="E89" s="9"/>
      <c r="F89" s="10"/>
      <c r="G89" s="9"/>
      <c r="H89" s="9"/>
      <c r="I89" s="121"/>
      <c r="J89" s="143"/>
      <c r="K89" s="143"/>
      <c r="L89" s="143"/>
      <c r="M89" s="144"/>
    </row>
    <row r="90" spans="1:13" ht="21.75">
      <c r="A90" s="7"/>
      <c r="B90" s="7"/>
      <c r="C90" s="7"/>
      <c r="D90" s="7"/>
      <c r="E90" s="9"/>
      <c r="F90" s="10"/>
      <c r="G90" s="9"/>
      <c r="H90" s="9"/>
      <c r="I90" s="121"/>
      <c r="J90" s="143"/>
      <c r="K90" s="143"/>
      <c r="L90" s="143"/>
      <c r="M90" s="144"/>
    </row>
    <row r="91" spans="1:13" ht="21.75">
      <c r="A91" s="7"/>
      <c r="B91" s="7"/>
      <c r="C91" s="7"/>
      <c r="D91" s="7"/>
      <c r="E91" s="9"/>
      <c r="F91" s="10"/>
      <c r="G91" s="9"/>
      <c r="H91" s="9"/>
      <c r="I91" s="121"/>
      <c r="J91" s="143"/>
      <c r="K91" s="143"/>
      <c r="L91" s="143"/>
      <c r="M91" s="144"/>
    </row>
    <row r="92" spans="1:13" ht="21.75">
      <c r="A92" s="7"/>
      <c r="B92" s="7"/>
      <c r="C92" s="7"/>
      <c r="D92" s="7"/>
      <c r="E92" s="9"/>
      <c r="F92" s="10"/>
      <c r="G92" s="9"/>
      <c r="H92" s="9">
        <f>SUM(H57:H77)</f>
        <v>21322000</v>
      </c>
    </row>
  </sheetData>
  <mergeCells count="38">
    <mergeCell ref="A2:H2"/>
    <mergeCell ref="J2:M2"/>
    <mergeCell ref="A3:A4"/>
    <mergeCell ref="B3:B4"/>
    <mergeCell ref="C3:C4"/>
    <mergeCell ref="D3:D4"/>
    <mergeCell ref="E3:E4"/>
    <mergeCell ref="F3:F4"/>
    <mergeCell ref="G3:G4"/>
    <mergeCell ref="J3:J4"/>
    <mergeCell ref="K3:K4"/>
    <mergeCell ref="L3:L4"/>
    <mergeCell ref="M3:M4"/>
    <mergeCell ref="N3:N4"/>
    <mergeCell ref="A28:H28"/>
    <mergeCell ref="F29:F30"/>
    <mergeCell ref="G29:G30"/>
    <mergeCell ref="A44:H44"/>
    <mergeCell ref="F45:F46"/>
    <mergeCell ref="G45:G46"/>
    <mergeCell ref="A29:A30"/>
    <mergeCell ref="B29:B30"/>
    <mergeCell ref="C29:C30"/>
    <mergeCell ref="D29:D30"/>
    <mergeCell ref="E29:E30"/>
    <mergeCell ref="A45:A46"/>
    <mergeCell ref="B45:B46"/>
    <mergeCell ref="C45:C46"/>
    <mergeCell ref="D45:D46"/>
    <mergeCell ref="E45:E46"/>
    <mergeCell ref="A54:H54"/>
    <mergeCell ref="A55:A56"/>
    <mergeCell ref="B55:B56"/>
    <mergeCell ref="C55:C56"/>
    <mergeCell ref="D55:D56"/>
    <mergeCell ref="E55:E56"/>
    <mergeCell ref="F55:F56"/>
    <mergeCell ref="G55:G56"/>
  </mergeCells>
  <hyperlinks>
    <hyperlink ref="A1" location="Name!A1" display="Name!A1" xr:uid="{812A1786-4C94-4EC2-A45A-ADFB629E0482}"/>
  </hyperlinks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E549-F3EA-46E9-95DA-5F0163493AB3}">
  <dimension ref="A1:O192"/>
  <sheetViews>
    <sheetView topLeftCell="A154" workbookViewId="0">
      <selection activeCell="A162" sqref="A162"/>
    </sheetView>
  </sheetViews>
  <sheetFormatPr defaultColWidth="9.140625" defaultRowHeight="22.5"/>
  <cols>
    <col min="1" max="1" width="6.140625" style="51" customWidth="1"/>
    <col min="2" max="2" width="24.7109375" style="51" customWidth="1"/>
    <col min="3" max="4" width="17.28515625" style="51" customWidth="1"/>
    <col min="5" max="5" width="30" style="104" customWidth="1"/>
    <col min="6" max="6" width="13.42578125" style="51" customWidth="1"/>
    <col min="7" max="7" width="12.7109375" style="104" customWidth="1"/>
    <col min="8" max="9" width="14" style="51" customWidth="1"/>
    <col min="10" max="10" width="14.140625" style="51" customWidth="1"/>
    <col min="11" max="12" width="9.140625" style="51"/>
    <col min="13" max="13" width="9.140625" style="529"/>
    <col min="14" max="14" width="65.140625" style="529" customWidth="1"/>
    <col min="15" max="15" width="18.28515625" style="530" customWidth="1"/>
    <col min="16" max="16384" width="9.140625" style="51"/>
  </cols>
  <sheetData>
    <row r="1" spans="1:15">
      <c r="B1" s="411" t="s">
        <v>648</v>
      </c>
    </row>
    <row r="2" spans="1:15">
      <c r="A2" s="651" t="s">
        <v>4602</v>
      </c>
      <c r="B2" s="651"/>
      <c r="C2" s="651"/>
      <c r="D2" s="651"/>
      <c r="E2" s="651"/>
      <c r="F2" s="651"/>
      <c r="G2" s="651"/>
      <c r="H2" s="651"/>
      <c r="I2" s="651"/>
      <c r="J2" s="651"/>
    </row>
    <row r="3" spans="1:15" s="56" customFormat="1" ht="28.5">
      <c r="A3" s="16" t="s">
        <v>818</v>
      </c>
      <c r="B3" s="17" t="s">
        <v>697</v>
      </c>
      <c r="C3" s="17" t="s">
        <v>12</v>
      </c>
      <c r="D3" s="17" t="s">
        <v>15</v>
      </c>
      <c r="E3" s="16" t="s">
        <v>699</v>
      </c>
      <c r="F3" s="16" t="s">
        <v>657</v>
      </c>
      <c r="G3" s="17" t="s">
        <v>700</v>
      </c>
      <c r="H3" s="16" t="s">
        <v>660</v>
      </c>
      <c r="I3" s="16"/>
      <c r="J3" s="16" t="s">
        <v>27</v>
      </c>
      <c r="M3" s="531"/>
      <c r="N3" s="531"/>
      <c r="O3" s="532"/>
    </row>
    <row r="4" spans="1:15">
      <c r="A4" s="18">
        <v>1</v>
      </c>
      <c r="B4" s="18" t="s">
        <v>102</v>
      </c>
      <c r="C4" s="18" t="s">
        <v>101</v>
      </c>
      <c r="D4" s="34" t="s">
        <v>103</v>
      </c>
      <c r="E4" s="96" t="s">
        <v>703</v>
      </c>
      <c r="F4" s="20" t="s">
        <v>4603</v>
      </c>
      <c r="G4" s="21" t="s">
        <v>2324</v>
      </c>
      <c r="H4" s="21">
        <v>150000</v>
      </c>
      <c r="I4" s="21"/>
      <c r="J4" s="21"/>
      <c r="K4" s="51" t="s">
        <v>4604</v>
      </c>
    </row>
    <row r="5" spans="1:15">
      <c r="A5" s="18"/>
      <c r="B5" s="18"/>
      <c r="C5" s="18"/>
      <c r="D5" s="224"/>
      <c r="E5" s="97" t="s">
        <v>4605</v>
      </c>
      <c r="F5" s="20" t="s">
        <v>4603</v>
      </c>
      <c r="G5" s="21" t="s">
        <v>2324</v>
      </c>
      <c r="H5" s="21">
        <v>1000000</v>
      </c>
      <c r="I5" s="21"/>
      <c r="J5" s="21"/>
      <c r="K5" s="51" t="s">
        <v>4604</v>
      </c>
    </row>
    <row r="6" spans="1:15">
      <c r="A6" s="18"/>
      <c r="B6" s="18"/>
      <c r="C6" s="18"/>
      <c r="D6" s="224"/>
      <c r="E6" s="98" t="s">
        <v>4606</v>
      </c>
      <c r="F6" s="20"/>
      <c r="G6" s="21" t="s">
        <v>4607</v>
      </c>
      <c r="H6" s="21">
        <v>350000</v>
      </c>
      <c r="I6" s="21"/>
      <c r="J6" s="21"/>
      <c r="K6" s="51" t="s">
        <v>152</v>
      </c>
    </row>
    <row r="7" spans="1:15">
      <c r="A7" s="18"/>
      <c r="B7" s="18"/>
      <c r="C7" s="18"/>
      <c r="D7" s="224"/>
      <c r="E7" s="98" t="s">
        <v>703</v>
      </c>
      <c r="F7" s="20"/>
      <c r="G7" s="21"/>
      <c r="H7" s="21"/>
      <c r="I7" s="21"/>
      <c r="J7" s="21"/>
    </row>
    <row r="8" spans="1:15">
      <c r="A8" s="18"/>
      <c r="B8" s="18"/>
      <c r="C8" s="18"/>
      <c r="D8" s="224"/>
      <c r="E8" s="98"/>
      <c r="F8" s="20"/>
      <c r="G8" s="21"/>
      <c r="H8" s="21"/>
      <c r="I8" s="21"/>
      <c r="J8" s="21"/>
    </row>
    <row r="9" spans="1:15">
      <c r="A9" s="18"/>
      <c r="B9" s="18"/>
      <c r="C9" s="18"/>
      <c r="D9" s="224"/>
      <c r="E9" s="98"/>
      <c r="F9" s="20"/>
      <c r="G9" s="21"/>
      <c r="H9" s="21"/>
      <c r="I9" s="21"/>
      <c r="J9" s="21"/>
    </row>
    <row r="10" spans="1:15">
      <c r="A10" s="99"/>
      <c r="B10" s="99"/>
      <c r="C10" s="99"/>
      <c r="D10" s="501"/>
      <c r="E10" s="100"/>
      <c r="F10" s="101"/>
      <c r="G10" s="102"/>
      <c r="H10" s="102"/>
      <c r="I10" s="102"/>
      <c r="J10" s="102"/>
    </row>
    <row r="11" spans="1:15">
      <c r="A11" s="785" t="s">
        <v>4608</v>
      </c>
      <c r="B11" s="786"/>
      <c r="C11" s="786"/>
      <c r="D11" s="786"/>
      <c r="E11" s="786"/>
      <c r="F11" s="786"/>
      <c r="G11" s="786"/>
      <c r="H11" s="786"/>
      <c r="I11" s="786"/>
      <c r="J11" s="787"/>
    </row>
    <row r="12" spans="1:15">
      <c r="A12" s="18">
        <v>1</v>
      </c>
      <c r="B12" s="18" t="s">
        <v>102</v>
      </c>
      <c r="C12" s="18" t="s">
        <v>101</v>
      </c>
      <c r="D12" s="224"/>
      <c r="E12" s="98" t="s">
        <v>703</v>
      </c>
      <c r="F12" s="20" t="s">
        <v>4609</v>
      </c>
      <c r="G12" s="21"/>
      <c r="H12" s="21">
        <v>200000</v>
      </c>
      <c r="I12" s="21"/>
      <c r="J12" s="21"/>
    </row>
    <row r="13" spans="1:15">
      <c r="A13" s="18"/>
      <c r="B13" s="18"/>
      <c r="C13" s="18"/>
      <c r="D13" s="224"/>
      <c r="E13" s="98"/>
      <c r="F13" s="20"/>
      <c r="G13" s="21"/>
      <c r="H13" s="21">
        <v>25000</v>
      </c>
      <c r="I13" s="21"/>
      <c r="J13" s="21"/>
    </row>
    <row r="14" spans="1:15">
      <c r="A14" s="18"/>
      <c r="B14" s="18"/>
      <c r="C14" s="18"/>
      <c r="D14" s="224"/>
      <c r="E14" s="98"/>
      <c r="F14" s="20"/>
      <c r="G14" s="21"/>
      <c r="H14" s="21"/>
      <c r="I14" s="21"/>
      <c r="J14" s="21"/>
    </row>
    <row r="15" spans="1:15">
      <c r="A15" s="18"/>
      <c r="B15" s="18"/>
      <c r="C15" s="18"/>
      <c r="D15" s="224"/>
      <c r="E15" s="98"/>
      <c r="F15" s="20"/>
      <c r="G15" s="21"/>
      <c r="H15" s="21"/>
      <c r="I15" s="21"/>
      <c r="J15" s="21"/>
    </row>
    <row r="16" spans="1:15">
      <c r="A16" s="785" t="s">
        <v>4610</v>
      </c>
      <c r="B16" s="786"/>
      <c r="C16" s="786"/>
      <c r="D16" s="786"/>
      <c r="E16" s="786"/>
      <c r="F16" s="786"/>
      <c r="G16" s="786"/>
      <c r="H16" s="786"/>
      <c r="I16" s="786"/>
      <c r="J16" s="787"/>
    </row>
    <row r="17" spans="1:11">
      <c r="A17" s="18">
        <v>1</v>
      </c>
      <c r="B17" s="18" t="s">
        <v>102</v>
      </c>
      <c r="C17" s="18" t="s">
        <v>101</v>
      </c>
      <c r="D17" s="224"/>
      <c r="E17" s="98" t="s">
        <v>703</v>
      </c>
      <c r="F17" s="20" t="s">
        <v>4611</v>
      </c>
      <c r="G17" s="21" t="s">
        <v>4612</v>
      </c>
      <c r="H17" s="21">
        <v>500000</v>
      </c>
      <c r="I17" s="21"/>
      <c r="J17" s="21"/>
    </row>
    <row r="18" spans="1:11">
      <c r="A18" s="18"/>
      <c r="B18" s="18"/>
      <c r="C18" s="18"/>
      <c r="D18" s="224"/>
      <c r="E18" s="98" t="s">
        <v>4613</v>
      </c>
      <c r="F18" s="20" t="s">
        <v>4611</v>
      </c>
      <c r="G18" s="21" t="s">
        <v>4612</v>
      </c>
      <c r="H18" s="21">
        <v>500000</v>
      </c>
      <c r="I18" s="21"/>
      <c r="J18" s="21"/>
      <c r="K18" s="51" t="s">
        <v>4614</v>
      </c>
    </row>
    <row r="19" spans="1:11">
      <c r="A19" s="18"/>
      <c r="B19" s="18"/>
      <c r="C19" s="18"/>
      <c r="D19" s="224"/>
      <c r="E19" s="98" t="s">
        <v>4615</v>
      </c>
      <c r="F19" s="20" t="s">
        <v>4616</v>
      </c>
      <c r="G19" s="21" t="s">
        <v>3830</v>
      </c>
      <c r="H19" s="21">
        <v>1000000</v>
      </c>
      <c r="I19" s="21"/>
      <c r="J19" s="21"/>
      <c r="K19" s="51" t="s">
        <v>4617</v>
      </c>
    </row>
    <row r="20" spans="1:11">
      <c r="A20" s="18"/>
      <c r="B20" s="18"/>
      <c r="C20" s="18"/>
      <c r="D20" s="224"/>
      <c r="E20" s="98" t="s">
        <v>4618</v>
      </c>
      <c r="F20" s="20" t="s">
        <v>4619</v>
      </c>
      <c r="G20" s="21" t="s">
        <v>3558</v>
      </c>
      <c r="H20" s="21">
        <v>900000</v>
      </c>
      <c r="I20" s="21"/>
      <c r="J20" s="21"/>
    </row>
    <row r="21" spans="1:11">
      <c r="A21" s="18"/>
      <c r="B21" s="18"/>
      <c r="C21" s="18"/>
      <c r="D21" s="224"/>
      <c r="E21" s="98" t="s">
        <v>4620</v>
      </c>
      <c r="F21" s="20" t="s">
        <v>4621</v>
      </c>
      <c r="G21" s="21" t="s">
        <v>4622</v>
      </c>
      <c r="H21" s="21">
        <v>500000</v>
      </c>
      <c r="I21" s="21"/>
      <c r="J21" s="21"/>
    </row>
    <row r="22" spans="1:11">
      <c r="A22" s="18"/>
      <c r="B22" s="18"/>
      <c r="C22" s="18"/>
      <c r="D22" s="224"/>
      <c r="E22" s="98" t="s">
        <v>1006</v>
      </c>
      <c r="F22" s="20" t="s">
        <v>4621</v>
      </c>
      <c r="G22" s="21" t="s">
        <v>4622</v>
      </c>
      <c r="H22" s="21">
        <v>-250000</v>
      </c>
      <c r="I22" s="21"/>
      <c r="J22" s="21"/>
    </row>
    <row r="23" spans="1:11">
      <c r="A23" s="18"/>
      <c r="B23" s="18"/>
      <c r="C23" s="18"/>
      <c r="D23" s="224"/>
      <c r="E23" s="98" t="s">
        <v>4623</v>
      </c>
      <c r="F23" s="20" t="s">
        <v>4621</v>
      </c>
      <c r="G23" s="21" t="s">
        <v>4622</v>
      </c>
      <c r="H23" s="21">
        <v>400000</v>
      </c>
      <c r="I23" s="21"/>
      <c r="J23" s="21"/>
    </row>
    <row r="24" spans="1:11">
      <c r="A24" s="18"/>
      <c r="B24" s="18"/>
      <c r="C24" s="18"/>
      <c r="D24" s="224"/>
      <c r="E24" s="98" t="s">
        <v>1066</v>
      </c>
      <c r="F24" s="20" t="s">
        <v>4621</v>
      </c>
      <c r="G24" s="21" t="s">
        <v>4622</v>
      </c>
      <c r="H24" s="21">
        <v>-500000</v>
      </c>
      <c r="I24" s="21"/>
      <c r="J24" s="21"/>
      <c r="K24" s="51" t="s">
        <v>4624</v>
      </c>
    </row>
    <row r="25" spans="1:11">
      <c r="A25" s="18"/>
      <c r="B25" s="18"/>
      <c r="C25" s="18"/>
      <c r="D25" s="224"/>
      <c r="E25" s="98"/>
      <c r="F25" s="20" t="s">
        <v>4625</v>
      </c>
      <c r="G25" s="21" t="s">
        <v>3565</v>
      </c>
      <c r="H25" s="21">
        <v>50000</v>
      </c>
      <c r="I25" s="21"/>
      <c r="J25" s="21"/>
      <c r="K25" s="51" t="s">
        <v>4626</v>
      </c>
    </row>
    <row r="26" spans="1:11">
      <c r="A26" s="18"/>
      <c r="B26" s="18"/>
      <c r="C26" s="18"/>
      <c r="D26" s="18"/>
      <c r="E26" s="21"/>
      <c r="F26" s="21"/>
      <c r="G26" s="21"/>
      <c r="H26" s="50">
        <f>SUM(H4:H13)</f>
        <v>1725000</v>
      </c>
      <c r="I26" s="50"/>
      <c r="J26" s="21"/>
    </row>
    <row r="27" spans="1:11">
      <c r="A27" s="785" t="s">
        <v>4627</v>
      </c>
      <c r="B27" s="786"/>
      <c r="C27" s="786"/>
      <c r="D27" s="786"/>
      <c r="E27" s="786"/>
      <c r="F27" s="786"/>
      <c r="G27" s="786"/>
      <c r="H27" s="786"/>
      <c r="I27" s="786"/>
      <c r="J27" s="787"/>
    </row>
    <row r="28" spans="1:11">
      <c r="A28" s="18">
        <v>1</v>
      </c>
      <c r="B28" s="18" t="s">
        <v>102</v>
      </c>
      <c r="C28" s="18" t="s">
        <v>101</v>
      </c>
      <c r="D28" s="224"/>
      <c r="E28" s="98" t="s">
        <v>703</v>
      </c>
      <c r="F28" s="20" t="s">
        <v>4628</v>
      </c>
      <c r="G28" s="21" t="s">
        <v>3527</v>
      </c>
      <c r="H28" s="21"/>
      <c r="I28" s="21">
        <v>500000</v>
      </c>
      <c r="J28" s="21"/>
      <c r="K28" s="51" t="s">
        <v>4629</v>
      </c>
    </row>
    <row r="29" spans="1:11">
      <c r="A29" s="18"/>
      <c r="B29" s="18"/>
      <c r="C29" s="18"/>
      <c r="D29" s="224"/>
      <c r="E29" s="98" t="s">
        <v>4630</v>
      </c>
      <c r="F29" s="20" t="s">
        <v>4631</v>
      </c>
      <c r="G29" s="21" t="s">
        <v>3527</v>
      </c>
      <c r="H29" s="21"/>
      <c r="I29" s="21">
        <v>500000</v>
      </c>
      <c r="J29" s="21"/>
    </row>
    <row r="30" spans="1:11">
      <c r="A30" s="18"/>
      <c r="B30" s="18"/>
      <c r="C30" s="18"/>
      <c r="D30" s="224"/>
      <c r="E30" s="98"/>
      <c r="F30" s="20"/>
      <c r="G30" s="21"/>
      <c r="H30" s="21"/>
      <c r="I30" s="21"/>
      <c r="J30" s="21"/>
    </row>
    <row r="31" spans="1:11">
      <c r="A31" s="18"/>
      <c r="B31" s="18"/>
      <c r="C31" s="18"/>
      <c r="D31" s="224"/>
      <c r="E31" s="98"/>
      <c r="F31" s="20"/>
      <c r="G31" s="21"/>
      <c r="H31" s="21"/>
      <c r="I31" s="21"/>
      <c r="J31" s="21"/>
    </row>
    <row r="32" spans="1:11">
      <c r="A32" s="18"/>
      <c r="B32" s="18"/>
      <c r="C32" s="18"/>
      <c r="D32" s="224"/>
      <c r="E32" s="98"/>
      <c r="F32" s="20"/>
      <c r="G32" s="21"/>
      <c r="H32" s="21"/>
      <c r="I32" s="21"/>
      <c r="J32" s="21"/>
    </row>
    <row r="33" spans="1:11">
      <c r="A33" s="18"/>
      <c r="B33" s="18"/>
      <c r="C33" s="18"/>
      <c r="D33" s="224"/>
      <c r="E33" s="98"/>
      <c r="F33" s="20"/>
      <c r="G33" s="21"/>
      <c r="H33" s="21"/>
      <c r="I33" s="21"/>
      <c r="J33" s="21"/>
    </row>
    <row r="41" spans="1:11" ht="28.5">
      <c r="C41" s="17" t="s">
        <v>12</v>
      </c>
      <c r="D41" s="17"/>
      <c r="E41" s="16" t="s">
        <v>699</v>
      </c>
      <c r="F41" s="16" t="s">
        <v>657</v>
      </c>
      <c r="G41" s="17" t="s">
        <v>700</v>
      </c>
      <c r="H41" s="16" t="s">
        <v>660</v>
      </c>
      <c r="I41" s="16"/>
      <c r="J41" s="16" t="s">
        <v>27</v>
      </c>
    </row>
    <row r="42" spans="1:11">
      <c r="C42" s="18" t="s">
        <v>101</v>
      </c>
      <c r="D42" s="34"/>
      <c r="E42" s="96" t="s">
        <v>703</v>
      </c>
      <c r="F42" s="20" t="s">
        <v>4632</v>
      </c>
      <c r="G42" s="21" t="s">
        <v>4633</v>
      </c>
      <c r="H42" s="21">
        <v>500000</v>
      </c>
      <c r="I42" s="21"/>
      <c r="J42" s="21"/>
    </row>
    <row r="43" spans="1:11">
      <c r="C43" s="18"/>
      <c r="D43" s="224"/>
      <c r="E43" s="97" t="s">
        <v>4634</v>
      </c>
      <c r="F43" s="20" t="s">
        <v>4632</v>
      </c>
      <c r="G43" s="21" t="s">
        <v>4633</v>
      </c>
      <c r="H43" s="21">
        <v>500000</v>
      </c>
      <c r="I43" s="21"/>
      <c r="J43" s="21"/>
    </row>
    <row r="44" spans="1:11">
      <c r="C44" s="18"/>
      <c r="D44" s="224"/>
      <c r="E44" s="98"/>
      <c r="F44" s="20"/>
      <c r="G44" s="21" t="s">
        <v>4635</v>
      </c>
      <c r="H44" s="21">
        <v>-500000</v>
      </c>
      <c r="I44" s="21"/>
      <c r="J44" s="21"/>
    </row>
    <row r="45" spans="1:11">
      <c r="C45" s="18"/>
      <c r="D45" s="224"/>
      <c r="E45" s="98"/>
      <c r="F45" s="20"/>
      <c r="G45" s="21" t="s">
        <v>4635</v>
      </c>
      <c r="H45" s="21">
        <v>-129000</v>
      </c>
      <c r="I45" s="21"/>
      <c r="J45" s="21"/>
    </row>
    <row r="46" spans="1:11">
      <c r="C46" s="18"/>
      <c r="D46" s="18"/>
      <c r="E46" s="21"/>
      <c r="F46" s="21"/>
      <c r="G46" s="21"/>
      <c r="H46" s="50">
        <f>H42+H43+H44+H45</f>
        <v>371000</v>
      </c>
      <c r="I46" s="50"/>
      <c r="J46" s="21"/>
      <c r="K46" s="103" t="s">
        <v>4636</v>
      </c>
    </row>
    <row r="49" spans="1:15">
      <c r="A49" s="51" t="s">
        <v>4637</v>
      </c>
    </row>
    <row r="50" spans="1:15">
      <c r="A50" s="57" t="s">
        <v>4638</v>
      </c>
      <c r="B50" s="59" t="s">
        <v>974</v>
      </c>
      <c r="C50" s="59" t="s">
        <v>975</v>
      </c>
      <c r="D50" s="502"/>
      <c r="E50" s="60" t="s">
        <v>976</v>
      </c>
      <c r="F50" s="104"/>
    </row>
    <row r="51" spans="1:15" s="109" customFormat="1">
      <c r="A51" s="105"/>
      <c r="B51" s="106"/>
      <c r="C51" s="106" t="s">
        <v>4639</v>
      </c>
      <c r="D51" s="503"/>
      <c r="E51" s="107">
        <v>1000000</v>
      </c>
      <c r="F51" s="108"/>
      <c r="G51" s="108"/>
      <c r="M51" s="533"/>
      <c r="N51" s="533"/>
      <c r="O51" s="534"/>
    </row>
    <row r="52" spans="1:15" s="109" customFormat="1">
      <c r="A52" s="105"/>
      <c r="B52" s="106"/>
      <c r="C52" s="106" t="s">
        <v>4640</v>
      </c>
      <c r="D52" s="504"/>
      <c r="E52" s="110">
        <v>500000</v>
      </c>
      <c r="F52" s="108"/>
      <c r="G52" s="108"/>
      <c r="M52" s="533"/>
      <c r="N52" s="533"/>
      <c r="O52" s="534"/>
    </row>
    <row r="53" spans="1:15" s="109" customFormat="1" ht="23.25" thickBot="1">
      <c r="A53" s="105"/>
      <c r="B53" s="788" t="s">
        <v>4641</v>
      </c>
      <c r="C53" s="789"/>
      <c r="D53" s="505"/>
      <c r="E53" s="111">
        <f>SUM(E51:E52)</f>
        <v>1500000</v>
      </c>
      <c r="F53" s="108"/>
      <c r="G53" s="108"/>
      <c r="M53" s="533"/>
      <c r="N53" s="533"/>
      <c r="O53" s="534"/>
    </row>
    <row r="54" spans="1:15" ht="23.25" thickTop="1">
      <c r="A54" s="66">
        <v>1</v>
      </c>
      <c r="B54" s="68" t="s">
        <v>2324</v>
      </c>
      <c r="C54" s="68" t="s">
        <v>4642</v>
      </c>
      <c r="D54" s="506"/>
      <c r="E54" s="112">
        <v>86000</v>
      </c>
      <c r="F54" s="104"/>
    </row>
    <row r="55" spans="1:15">
      <c r="A55" s="66"/>
      <c r="B55" s="68"/>
      <c r="C55" s="68" t="s">
        <v>998</v>
      </c>
      <c r="D55" s="507"/>
      <c r="E55" s="69">
        <v>160500</v>
      </c>
    </row>
    <row r="56" spans="1:15">
      <c r="A56" s="66"/>
      <c r="B56" s="68"/>
      <c r="C56" s="68" t="s">
        <v>4643</v>
      </c>
      <c r="D56" s="507"/>
      <c r="E56" s="69">
        <v>65000</v>
      </c>
      <c r="H56" s="90"/>
      <c r="I56" s="90"/>
    </row>
    <row r="57" spans="1:15">
      <c r="A57" s="66"/>
      <c r="B57" s="68"/>
      <c r="C57" s="68" t="s">
        <v>4644</v>
      </c>
      <c r="D57" s="507"/>
      <c r="E57" s="69">
        <v>12000</v>
      </c>
    </row>
    <row r="58" spans="1:15">
      <c r="A58" s="66"/>
      <c r="B58" s="68"/>
      <c r="C58" s="68" t="s">
        <v>4645</v>
      </c>
      <c r="D58" s="507"/>
      <c r="E58" s="69">
        <v>68000</v>
      </c>
    </row>
    <row r="59" spans="1:15">
      <c r="A59" s="66"/>
      <c r="B59" s="68"/>
      <c r="C59" s="68" t="s">
        <v>4646</v>
      </c>
      <c r="D59" s="507"/>
      <c r="E59" s="69">
        <v>48000</v>
      </c>
    </row>
    <row r="60" spans="1:15">
      <c r="A60" s="66"/>
      <c r="B60" s="68"/>
      <c r="C60" s="68" t="s">
        <v>4647</v>
      </c>
      <c r="D60" s="507"/>
      <c r="E60" s="69">
        <v>10000</v>
      </c>
    </row>
    <row r="61" spans="1:15">
      <c r="A61" s="66"/>
      <c r="B61" s="68"/>
      <c r="C61" s="68" t="s">
        <v>4648</v>
      </c>
      <c r="D61" s="507"/>
      <c r="E61" s="69">
        <v>8000</v>
      </c>
    </row>
    <row r="62" spans="1:15">
      <c r="A62" s="66"/>
      <c r="B62" s="68"/>
      <c r="C62" s="68" t="s">
        <v>4649</v>
      </c>
      <c r="D62" s="507"/>
      <c r="E62" s="69">
        <v>13000</v>
      </c>
    </row>
    <row r="63" spans="1:15">
      <c r="A63" s="66"/>
      <c r="B63" s="68"/>
      <c r="C63" s="68" t="s">
        <v>4650</v>
      </c>
      <c r="D63" s="507"/>
      <c r="E63" s="69">
        <v>3000</v>
      </c>
    </row>
    <row r="64" spans="1:15">
      <c r="A64" s="66"/>
      <c r="B64" s="68"/>
      <c r="C64" s="68"/>
      <c r="D64" s="507"/>
      <c r="E64" s="69"/>
    </row>
    <row r="65" spans="1:15">
      <c r="A65" s="66"/>
      <c r="B65" s="68"/>
      <c r="C65" s="68" t="s">
        <v>4651</v>
      </c>
      <c r="D65" s="507"/>
      <c r="E65" s="69">
        <v>308500</v>
      </c>
    </row>
    <row r="66" spans="1:15">
      <c r="A66" s="66"/>
      <c r="B66" s="68"/>
      <c r="C66" s="68" t="s">
        <v>4652</v>
      </c>
      <c r="D66" s="507"/>
      <c r="E66" s="69">
        <v>205000</v>
      </c>
    </row>
    <row r="67" spans="1:15">
      <c r="A67" s="66"/>
      <c r="B67" s="68"/>
      <c r="C67" s="68" t="s">
        <v>4653</v>
      </c>
      <c r="D67" s="507"/>
      <c r="E67" s="69">
        <v>5000</v>
      </c>
    </row>
    <row r="68" spans="1:15">
      <c r="A68" s="66"/>
      <c r="B68" s="68"/>
      <c r="C68" s="68" t="s">
        <v>4654</v>
      </c>
      <c r="D68" s="507"/>
      <c r="E68" s="69">
        <v>198000</v>
      </c>
    </row>
    <row r="69" spans="1:15">
      <c r="A69" s="66"/>
      <c r="B69" s="68"/>
      <c r="C69" s="68" t="s">
        <v>4655</v>
      </c>
      <c r="D69" s="508"/>
      <c r="E69" s="80">
        <v>60000</v>
      </c>
    </row>
    <row r="70" spans="1:15" ht="23.25" thickBot="1">
      <c r="A70" s="66"/>
      <c r="B70" s="790" t="s">
        <v>4656</v>
      </c>
      <c r="C70" s="791"/>
      <c r="D70" s="310"/>
      <c r="E70" s="113">
        <f>SUM(E54:E69)</f>
        <v>1250000</v>
      </c>
    </row>
    <row r="71" spans="1:15" ht="23.25" thickTop="1">
      <c r="A71" s="66"/>
      <c r="B71" s="68"/>
      <c r="C71" s="68"/>
      <c r="D71" s="506"/>
      <c r="E71" s="112"/>
    </row>
    <row r="72" spans="1:15">
      <c r="A72" s="86"/>
      <c r="B72" s="792" t="s">
        <v>4657</v>
      </c>
      <c r="C72" s="793"/>
      <c r="D72" s="509"/>
      <c r="E72" s="89">
        <f>E53-E70</f>
        <v>250000</v>
      </c>
      <c r="F72" s="51" t="s">
        <v>4658</v>
      </c>
    </row>
    <row r="73" spans="1:15" s="114" customFormat="1">
      <c r="E73" s="115"/>
      <c r="G73" s="115"/>
      <c r="M73" s="535"/>
      <c r="N73" s="535"/>
      <c r="O73" s="536"/>
    </row>
    <row r="74" spans="1:15">
      <c r="A74" s="651" t="s">
        <v>4659</v>
      </c>
      <c r="B74" s="651"/>
      <c r="C74" s="651"/>
      <c r="D74" s="651"/>
      <c r="E74" s="651"/>
      <c r="F74" s="651"/>
      <c r="G74" s="651"/>
      <c r="H74" s="651"/>
      <c r="I74" s="651"/>
      <c r="J74" s="651"/>
    </row>
    <row r="75" spans="1:15" ht="28.5">
      <c r="A75" s="16" t="s">
        <v>818</v>
      </c>
      <c r="B75" s="17" t="s">
        <v>697</v>
      </c>
      <c r="C75" s="17" t="s">
        <v>12</v>
      </c>
      <c r="D75" s="17" t="s">
        <v>15</v>
      </c>
      <c r="E75" s="16" t="s">
        <v>699</v>
      </c>
      <c r="F75" s="16" t="s">
        <v>657</v>
      </c>
      <c r="G75" s="17" t="s">
        <v>700</v>
      </c>
      <c r="H75" s="16" t="s">
        <v>660</v>
      </c>
      <c r="I75" s="16"/>
      <c r="J75" s="16" t="s">
        <v>27</v>
      </c>
    </row>
    <row r="76" spans="1:15">
      <c r="A76" s="18">
        <v>1</v>
      </c>
      <c r="B76" s="18" t="s">
        <v>102</v>
      </c>
      <c r="C76" s="18" t="s">
        <v>101</v>
      </c>
      <c r="D76" s="34" t="s">
        <v>103</v>
      </c>
      <c r="E76" s="96" t="s">
        <v>703</v>
      </c>
      <c r="F76" s="20" t="s">
        <v>4660</v>
      </c>
      <c r="G76" s="21" t="s">
        <v>4110</v>
      </c>
      <c r="H76" s="21">
        <v>500000</v>
      </c>
      <c r="I76" s="21"/>
      <c r="J76" s="21"/>
    </row>
    <row r="77" spans="1:15">
      <c r="A77" s="18"/>
      <c r="B77" s="18"/>
      <c r="C77" s="18"/>
      <c r="D77" s="224"/>
      <c r="E77" s="97" t="s">
        <v>4661</v>
      </c>
      <c r="F77" s="20" t="s">
        <v>4660</v>
      </c>
      <c r="G77" s="21" t="s">
        <v>4110</v>
      </c>
      <c r="H77" s="21">
        <v>500000</v>
      </c>
      <c r="I77" s="21"/>
      <c r="J77" s="21"/>
    </row>
    <row r="78" spans="1:15">
      <c r="A78" s="18"/>
      <c r="B78" s="18"/>
      <c r="C78" s="18"/>
      <c r="D78" s="224"/>
      <c r="E78" s="98" t="s">
        <v>4662</v>
      </c>
      <c r="F78" s="20"/>
      <c r="G78" s="21" t="s">
        <v>4663</v>
      </c>
      <c r="H78" s="21">
        <v>241935</v>
      </c>
      <c r="I78" s="21"/>
      <c r="J78" s="21"/>
    </row>
    <row r="79" spans="1:15">
      <c r="A79" s="18"/>
      <c r="B79" s="18"/>
      <c r="C79" s="18"/>
      <c r="D79" s="224"/>
      <c r="E79" s="98" t="s">
        <v>1066</v>
      </c>
      <c r="F79" s="20"/>
      <c r="G79" s="21" t="s">
        <v>4663</v>
      </c>
      <c r="H79" s="21">
        <v>-500000</v>
      </c>
      <c r="I79" s="21"/>
      <c r="J79" s="21"/>
      <c r="K79" s="51" t="s">
        <v>4664</v>
      </c>
    </row>
    <row r="80" spans="1:15">
      <c r="A80" s="18"/>
      <c r="B80" s="18"/>
      <c r="C80" s="18"/>
      <c r="D80" s="18"/>
      <c r="E80" s="21"/>
      <c r="F80" s="21"/>
      <c r="G80" s="21"/>
      <c r="H80" s="50">
        <f>H76+H77+H78+H79</f>
        <v>741935</v>
      </c>
      <c r="I80" s="50"/>
      <c r="J80" s="21"/>
    </row>
    <row r="83" spans="1:10">
      <c r="A83" s="51" t="s">
        <v>4637</v>
      </c>
    </row>
    <row r="84" spans="1:10">
      <c r="A84" s="57" t="s">
        <v>4638</v>
      </c>
      <c r="B84" s="59" t="s">
        <v>974</v>
      </c>
      <c r="C84" s="59" t="s">
        <v>975</v>
      </c>
      <c r="D84" s="502"/>
      <c r="E84" s="60" t="s">
        <v>976</v>
      </c>
    </row>
    <row r="85" spans="1:10">
      <c r="A85" s="105"/>
      <c r="B85" s="106"/>
      <c r="C85" s="106" t="s">
        <v>4665</v>
      </c>
      <c r="D85" s="503"/>
      <c r="E85" s="107">
        <v>500000</v>
      </c>
    </row>
    <row r="86" spans="1:10">
      <c r="A86" s="105"/>
      <c r="B86" s="106"/>
      <c r="C86" s="106" t="s">
        <v>4666</v>
      </c>
      <c r="D86" s="504"/>
      <c r="E86" s="110">
        <v>500000</v>
      </c>
    </row>
    <row r="87" spans="1:10" ht="23.25" thickBot="1">
      <c r="A87" s="116"/>
      <c r="B87" s="783" t="s">
        <v>4641</v>
      </c>
      <c r="C87" s="784"/>
      <c r="D87" s="505"/>
      <c r="E87" s="111">
        <f>SUM(E85:E86)</f>
        <v>1000000</v>
      </c>
    </row>
    <row r="88" spans="1:10" ht="23.25" thickTop="1">
      <c r="A88" s="117">
        <v>1</v>
      </c>
      <c r="B88" s="118" t="s">
        <v>4667</v>
      </c>
      <c r="C88" s="119" t="s">
        <v>4668</v>
      </c>
      <c r="D88" s="510"/>
      <c r="E88" s="120">
        <v>15000</v>
      </c>
    </row>
    <row r="89" spans="1:10">
      <c r="A89" s="66">
        <v>2</v>
      </c>
      <c r="B89" s="68" t="s">
        <v>4669</v>
      </c>
      <c r="C89" s="119" t="s">
        <v>4670</v>
      </c>
      <c r="D89" s="511"/>
      <c r="E89" s="69">
        <v>80000</v>
      </c>
    </row>
    <row r="90" spans="1:10">
      <c r="A90" s="66">
        <v>3</v>
      </c>
      <c r="B90" s="68"/>
      <c r="C90" s="119" t="s">
        <v>4671</v>
      </c>
      <c r="D90" s="511"/>
      <c r="E90" s="69">
        <v>15000</v>
      </c>
    </row>
    <row r="91" spans="1:10" ht="23.25" thickBot="1">
      <c r="A91" s="66"/>
      <c r="B91" s="790" t="s">
        <v>4656</v>
      </c>
      <c r="C91" s="791"/>
      <c r="D91" s="310"/>
      <c r="E91" s="113">
        <f>SUM(E89:E90)</f>
        <v>95000</v>
      </c>
    </row>
    <row r="92" spans="1:10" ht="23.25" thickTop="1">
      <c r="A92" s="86"/>
      <c r="B92" s="792" t="s">
        <v>4657</v>
      </c>
      <c r="C92" s="793"/>
      <c r="D92" s="509"/>
      <c r="E92" s="89">
        <f>E87-E91</f>
        <v>905000</v>
      </c>
      <c r="F92" s="51" t="s">
        <v>4672</v>
      </c>
    </row>
    <row r="96" spans="1:10">
      <c r="A96" s="651" t="s">
        <v>4673</v>
      </c>
      <c r="B96" s="651"/>
      <c r="C96" s="651"/>
      <c r="D96" s="651"/>
      <c r="E96" s="651"/>
      <c r="F96" s="651"/>
      <c r="G96" s="651"/>
      <c r="H96" s="651"/>
      <c r="I96" s="651"/>
      <c r="J96" s="651"/>
    </row>
    <row r="97" spans="1:11" ht="28.5">
      <c r="A97" s="16" t="s">
        <v>818</v>
      </c>
      <c r="B97" s="17" t="s">
        <v>697</v>
      </c>
      <c r="C97" s="17" t="s">
        <v>12</v>
      </c>
      <c r="D97" s="17" t="s">
        <v>15</v>
      </c>
      <c r="E97" s="16" t="s">
        <v>699</v>
      </c>
      <c r="F97" s="16" t="s">
        <v>657</v>
      </c>
      <c r="G97" s="17" t="s">
        <v>700</v>
      </c>
      <c r="H97" s="16" t="s">
        <v>660</v>
      </c>
      <c r="I97" s="16"/>
      <c r="J97" s="16" t="s">
        <v>27</v>
      </c>
    </row>
    <row r="98" spans="1:11">
      <c r="A98" s="18">
        <v>1</v>
      </c>
      <c r="B98" s="18" t="s">
        <v>102</v>
      </c>
      <c r="C98" s="18" t="s">
        <v>101</v>
      </c>
      <c r="D98" s="34" t="s">
        <v>103</v>
      </c>
      <c r="E98" s="96" t="s">
        <v>4674</v>
      </c>
      <c r="F98" s="20" t="s">
        <v>4675</v>
      </c>
      <c r="G98" s="21" t="s">
        <v>4676</v>
      </c>
      <c r="H98" s="21">
        <v>459000</v>
      </c>
      <c r="I98" s="21"/>
      <c r="J98" s="21"/>
      <c r="K98" s="51" t="s">
        <v>4677</v>
      </c>
    </row>
    <row r="99" spans="1:11">
      <c r="A99" s="18"/>
      <c r="B99" s="18"/>
      <c r="C99" s="18"/>
      <c r="D99" s="224"/>
      <c r="E99" s="97"/>
      <c r="F99" s="20"/>
      <c r="G99" s="21" t="s">
        <v>4612</v>
      </c>
      <c r="H99" s="21">
        <v>50000</v>
      </c>
      <c r="I99" s="21"/>
      <c r="J99" s="21"/>
    </row>
    <row r="100" spans="1:11">
      <c r="A100" s="18"/>
      <c r="B100" s="18"/>
      <c r="C100" s="18"/>
      <c r="D100" s="224"/>
      <c r="E100" s="98"/>
      <c r="F100" s="20"/>
      <c r="G100" s="21"/>
      <c r="H100" s="21"/>
      <c r="I100" s="21"/>
      <c r="J100" s="21"/>
    </row>
    <row r="101" spans="1:11">
      <c r="A101" s="18"/>
      <c r="B101" s="18"/>
      <c r="C101" s="18"/>
      <c r="D101" s="224"/>
      <c r="E101" s="98"/>
      <c r="F101" s="20"/>
      <c r="G101" s="21"/>
      <c r="H101" s="21"/>
      <c r="I101" s="21"/>
      <c r="J101" s="21"/>
    </row>
    <row r="102" spans="1:11">
      <c r="A102" s="18"/>
      <c r="B102" s="18"/>
      <c r="C102" s="18"/>
      <c r="D102" s="18"/>
      <c r="E102" s="21"/>
      <c r="F102" s="21"/>
      <c r="G102" s="21"/>
      <c r="H102" s="50">
        <f>H98+H99+H100+H101</f>
        <v>509000</v>
      </c>
      <c r="I102" s="50"/>
      <c r="J102" s="21"/>
    </row>
    <row r="105" spans="1:11">
      <c r="A105" s="51" t="s">
        <v>4637</v>
      </c>
    </row>
    <row r="106" spans="1:11">
      <c r="A106" s="57" t="s">
        <v>4638</v>
      </c>
      <c r="B106" s="59" t="s">
        <v>974</v>
      </c>
      <c r="C106" s="59" t="s">
        <v>975</v>
      </c>
      <c r="D106" s="502"/>
      <c r="E106" s="60" t="s">
        <v>976</v>
      </c>
    </row>
    <row r="107" spans="1:11">
      <c r="A107" s="105"/>
      <c r="B107" s="106" t="s">
        <v>4678</v>
      </c>
      <c r="C107" s="106" t="s">
        <v>4679</v>
      </c>
      <c r="D107" s="503"/>
      <c r="E107" s="107">
        <v>500000</v>
      </c>
    </row>
    <row r="108" spans="1:11">
      <c r="A108" s="105"/>
      <c r="B108" s="106"/>
      <c r="C108" s="106" t="s">
        <v>4680</v>
      </c>
      <c r="D108" s="504"/>
      <c r="E108" s="110">
        <v>500000</v>
      </c>
    </row>
    <row r="109" spans="1:11" ht="23.25" thickBot="1">
      <c r="A109" s="116"/>
      <c r="B109" s="783" t="s">
        <v>4641</v>
      </c>
      <c r="C109" s="784"/>
      <c r="D109" s="505"/>
      <c r="E109" s="111">
        <f>SUM(E107:E108)</f>
        <v>1000000</v>
      </c>
      <c r="F109" s="51" t="s">
        <v>4034</v>
      </c>
    </row>
    <row r="110" spans="1:11" ht="23.25" thickTop="1"/>
    <row r="111" spans="1:11">
      <c r="A111" s="51" t="s">
        <v>4637</v>
      </c>
    </row>
    <row r="112" spans="1:11">
      <c r="A112" s="57" t="s">
        <v>4638</v>
      </c>
      <c r="B112" s="59" t="s">
        <v>974</v>
      </c>
      <c r="C112" s="59" t="s">
        <v>975</v>
      </c>
      <c r="D112" s="502"/>
      <c r="E112" s="60" t="s">
        <v>976</v>
      </c>
    </row>
    <row r="113" spans="1:10">
      <c r="A113" s="105"/>
      <c r="B113" s="106" t="s">
        <v>4120</v>
      </c>
      <c r="C113" s="106" t="s">
        <v>4681</v>
      </c>
      <c r="D113" s="503"/>
      <c r="E113" s="107">
        <v>500000</v>
      </c>
      <c r="F113" s="51" t="s">
        <v>4682</v>
      </c>
    </row>
    <row r="114" spans="1:10" ht="23.25" thickBot="1">
      <c r="A114" s="116"/>
      <c r="B114" s="783" t="s">
        <v>4641</v>
      </c>
      <c r="C114" s="784"/>
      <c r="D114" s="505"/>
      <c r="E114" s="111">
        <f>SUM(E113:E113)</f>
        <v>500000</v>
      </c>
    </row>
    <row r="115" spans="1:10" ht="23.25" thickTop="1"/>
    <row r="118" spans="1:10">
      <c r="A118" s="651" t="s">
        <v>4683</v>
      </c>
      <c r="B118" s="651"/>
      <c r="C118" s="651"/>
      <c r="D118" s="651"/>
      <c r="E118" s="651"/>
      <c r="F118" s="651"/>
      <c r="G118" s="651"/>
      <c r="H118" s="651"/>
      <c r="I118" s="651"/>
      <c r="J118" s="651"/>
    </row>
    <row r="119" spans="1:10" ht="28.5">
      <c r="A119" s="16" t="s">
        <v>818</v>
      </c>
      <c r="B119" s="17" t="s">
        <v>697</v>
      </c>
      <c r="C119" s="17" t="s">
        <v>12</v>
      </c>
      <c r="D119" s="17" t="s">
        <v>15</v>
      </c>
      <c r="E119" s="16" t="s">
        <v>699</v>
      </c>
      <c r="F119" s="16" t="s">
        <v>657</v>
      </c>
      <c r="G119" s="17" t="s">
        <v>700</v>
      </c>
      <c r="H119" s="16" t="s">
        <v>660</v>
      </c>
      <c r="I119" s="16"/>
      <c r="J119" s="16" t="s">
        <v>27</v>
      </c>
    </row>
    <row r="120" spans="1:10">
      <c r="A120" s="18">
        <v>1</v>
      </c>
      <c r="B120" s="18" t="s">
        <v>102</v>
      </c>
      <c r="C120" s="18" t="s">
        <v>101</v>
      </c>
      <c r="D120" s="34" t="s">
        <v>103</v>
      </c>
      <c r="E120" s="96" t="s">
        <v>4684</v>
      </c>
      <c r="F120" s="20" t="s">
        <v>4675</v>
      </c>
      <c r="G120" s="21" t="s">
        <v>4685</v>
      </c>
      <c r="H120" s="21">
        <v>400000</v>
      </c>
      <c r="I120" s="21"/>
      <c r="J120" s="21"/>
    </row>
    <row r="121" spans="1:10">
      <c r="A121" s="18"/>
      <c r="B121" s="18"/>
      <c r="C121" s="18"/>
      <c r="D121" s="224"/>
      <c r="E121" s="97" t="s">
        <v>4686</v>
      </c>
      <c r="F121" s="20" t="s">
        <v>4687</v>
      </c>
      <c r="G121" s="21" t="s">
        <v>4688</v>
      </c>
      <c r="H121" s="21">
        <v>2400000</v>
      </c>
      <c r="I121" s="21"/>
      <c r="J121" s="21"/>
    </row>
    <row r="122" spans="1:10">
      <c r="A122" s="18"/>
      <c r="B122" s="18"/>
      <c r="C122" s="18"/>
      <c r="D122" s="224"/>
      <c r="E122" s="98"/>
      <c r="F122" s="20"/>
      <c r="G122" s="21"/>
      <c r="H122" s="21"/>
      <c r="I122" s="21"/>
      <c r="J122" s="21"/>
    </row>
    <row r="123" spans="1:10">
      <c r="A123" s="18"/>
      <c r="B123" s="18"/>
      <c r="C123" s="18"/>
      <c r="D123" s="224"/>
      <c r="E123" s="98"/>
      <c r="F123" s="20"/>
      <c r="G123" s="21"/>
      <c r="H123" s="21"/>
      <c r="I123" s="21"/>
      <c r="J123" s="21"/>
    </row>
    <row r="124" spans="1:10">
      <c r="A124" s="18"/>
      <c r="B124" s="18"/>
      <c r="C124" s="18"/>
      <c r="D124" s="18"/>
      <c r="E124" s="21"/>
      <c r="F124" s="21"/>
      <c r="G124" s="21"/>
      <c r="H124" s="50">
        <f>H120+H121+H122+H123</f>
        <v>2800000</v>
      </c>
      <c r="I124" s="50"/>
      <c r="J124" s="21"/>
    </row>
    <row r="129" spans="1:11">
      <c r="A129" s="651" t="s">
        <v>4689</v>
      </c>
      <c r="B129" s="651"/>
      <c r="C129" s="651"/>
      <c r="D129" s="651"/>
      <c r="E129" s="651"/>
      <c r="F129" s="651"/>
      <c r="G129" s="651"/>
      <c r="H129" s="651"/>
      <c r="I129" s="651"/>
      <c r="J129" s="651"/>
    </row>
    <row r="130" spans="1:11" ht="28.5">
      <c r="A130" s="16" t="s">
        <v>818</v>
      </c>
      <c r="B130" s="17" t="s">
        <v>697</v>
      </c>
      <c r="C130" s="17" t="s">
        <v>12</v>
      </c>
      <c r="D130" s="17" t="s">
        <v>15</v>
      </c>
      <c r="E130" s="16" t="s">
        <v>699</v>
      </c>
      <c r="F130" s="16" t="s">
        <v>657</v>
      </c>
      <c r="G130" s="17" t="s">
        <v>700</v>
      </c>
      <c r="H130" s="16" t="s">
        <v>660</v>
      </c>
      <c r="I130" s="16" t="s">
        <v>1176</v>
      </c>
      <c r="J130" s="16" t="s">
        <v>27</v>
      </c>
    </row>
    <row r="131" spans="1:11">
      <c r="A131" s="18">
        <v>1</v>
      </c>
      <c r="B131" s="18" t="s">
        <v>102</v>
      </c>
      <c r="C131" s="18" t="s">
        <v>101</v>
      </c>
      <c r="D131" s="34" t="s">
        <v>103</v>
      </c>
      <c r="E131" s="96" t="s">
        <v>4690</v>
      </c>
      <c r="F131" s="20" t="s">
        <v>4691</v>
      </c>
      <c r="G131" s="21" t="s">
        <v>4692</v>
      </c>
      <c r="H131" s="21">
        <v>400000</v>
      </c>
      <c r="I131" s="21"/>
      <c r="J131" s="21"/>
    </row>
    <row r="132" spans="1:11">
      <c r="A132" s="18"/>
      <c r="B132" s="18"/>
      <c r="C132" s="18"/>
      <c r="D132" s="224"/>
      <c r="E132" s="97" t="s">
        <v>4693</v>
      </c>
      <c r="F132" s="20"/>
      <c r="G132" s="21"/>
      <c r="H132" s="21">
        <v>400000</v>
      </c>
      <c r="I132" s="21"/>
      <c r="J132" s="21"/>
    </row>
    <row r="133" spans="1:11">
      <c r="A133" s="18"/>
      <c r="B133" s="18"/>
      <c r="C133" s="18"/>
      <c r="D133" s="224"/>
      <c r="E133" s="98" t="s">
        <v>4694</v>
      </c>
      <c r="F133" s="20"/>
      <c r="G133" s="21"/>
      <c r="H133" s="21">
        <v>280000</v>
      </c>
      <c r="I133" s="21"/>
      <c r="J133" s="21"/>
      <c r="K133" s="51">
        <f>400000/30</f>
        <v>13333.333333333334</v>
      </c>
    </row>
    <row r="134" spans="1:11">
      <c r="A134" s="18"/>
      <c r="B134" s="18"/>
      <c r="C134" s="18"/>
      <c r="D134" s="224"/>
      <c r="E134" s="98" t="s">
        <v>1076</v>
      </c>
      <c r="F134" s="20"/>
      <c r="G134" s="21"/>
      <c r="H134" s="21">
        <v>-72000</v>
      </c>
      <c r="I134" s="21"/>
      <c r="J134" s="21"/>
    </row>
    <row r="135" spans="1:11">
      <c r="A135" s="18"/>
      <c r="B135" s="18"/>
      <c r="C135" s="18"/>
      <c r="D135" s="224"/>
      <c r="E135" s="98"/>
      <c r="F135" s="20"/>
      <c r="G135" s="21"/>
      <c r="H135" s="21"/>
      <c r="I135" s="21"/>
      <c r="J135" s="21"/>
    </row>
    <row r="136" spans="1:11">
      <c r="A136" s="18"/>
      <c r="B136" s="18"/>
      <c r="C136" s="18"/>
      <c r="D136" s="18"/>
      <c r="E136" s="21"/>
      <c r="F136" s="21"/>
      <c r="G136" s="21"/>
      <c r="H136" s="50">
        <f>H131+H132+H133+H135</f>
        <v>1080000</v>
      </c>
      <c r="I136" s="50"/>
      <c r="J136" s="21"/>
    </row>
    <row r="140" spans="1:11">
      <c r="A140" s="651" t="s">
        <v>2233</v>
      </c>
      <c r="B140" s="651"/>
      <c r="C140" s="651"/>
      <c r="D140" s="651"/>
      <c r="E140" s="651"/>
      <c r="F140" s="651"/>
      <c r="G140" s="651"/>
      <c r="H140" s="651"/>
      <c r="I140" s="651"/>
      <c r="J140" s="651"/>
    </row>
    <row r="141" spans="1:11" ht="28.5">
      <c r="A141" s="16" t="s">
        <v>818</v>
      </c>
      <c r="B141" s="17" t="s">
        <v>697</v>
      </c>
      <c r="C141" s="17" t="s">
        <v>12</v>
      </c>
      <c r="D141" s="17" t="s">
        <v>15</v>
      </c>
      <c r="E141" s="16" t="s">
        <v>699</v>
      </c>
      <c r="F141" s="16" t="s">
        <v>657</v>
      </c>
      <c r="G141" s="17" t="s">
        <v>700</v>
      </c>
      <c r="H141" s="16" t="s">
        <v>660</v>
      </c>
      <c r="I141" s="16" t="s">
        <v>1176</v>
      </c>
      <c r="J141" s="16" t="s">
        <v>27</v>
      </c>
    </row>
    <row r="142" spans="1:11">
      <c r="A142" s="18">
        <v>1</v>
      </c>
      <c r="B142" s="18" t="s">
        <v>102</v>
      </c>
      <c r="C142" s="18" t="s">
        <v>101</v>
      </c>
      <c r="D142" s="34" t="s">
        <v>103</v>
      </c>
      <c r="E142" s="96" t="s">
        <v>703</v>
      </c>
      <c r="F142" s="20" t="s">
        <v>4695</v>
      </c>
      <c r="G142" s="21" t="s">
        <v>4696</v>
      </c>
      <c r="H142" s="21">
        <v>500000</v>
      </c>
      <c r="I142" s="21"/>
      <c r="J142" s="21"/>
    </row>
    <row r="143" spans="1:11">
      <c r="A143" s="18"/>
      <c r="B143" s="18"/>
      <c r="C143" s="18"/>
      <c r="D143" s="224"/>
      <c r="E143" s="97" t="s">
        <v>4697</v>
      </c>
      <c r="F143" s="20" t="s">
        <v>4695</v>
      </c>
      <c r="G143" s="21" t="s">
        <v>4696</v>
      </c>
      <c r="H143" s="21">
        <v>500000</v>
      </c>
      <c r="I143" s="21"/>
      <c r="J143" s="21"/>
    </row>
    <row r="144" spans="1:11">
      <c r="A144" s="18"/>
      <c r="B144" s="18"/>
      <c r="C144" s="18"/>
      <c r="D144" s="224"/>
      <c r="E144" s="98" t="s">
        <v>4698</v>
      </c>
      <c r="F144" s="20"/>
      <c r="G144" s="21"/>
      <c r="H144" s="21">
        <v>500000</v>
      </c>
      <c r="I144" s="21"/>
      <c r="J144" s="21"/>
    </row>
    <row r="145" spans="1:10">
      <c r="A145" s="18"/>
      <c r="B145" s="18"/>
      <c r="C145" s="18"/>
      <c r="D145" s="224"/>
      <c r="E145" s="98" t="s">
        <v>1066</v>
      </c>
      <c r="F145" s="20"/>
      <c r="G145" s="21"/>
      <c r="H145" s="21">
        <v>-500000</v>
      </c>
      <c r="I145" s="21"/>
      <c r="J145" s="21"/>
    </row>
    <row r="146" spans="1:10">
      <c r="A146" s="18"/>
      <c r="B146" s="18"/>
      <c r="C146" s="18"/>
      <c r="D146" s="224"/>
      <c r="E146" s="98"/>
      <c r="F146" s="20"/>
      <c r="G146" s="21"/>
      <c r="H146" s="21"/>
      <c r="I146" s="21"/>
      <c r="J146" s="21"/>
    </row>
    <row r="147" spans="1:10">
      <c r="A147" s="18"/>
      <c r="B147" s="18"/>
      <c r="C147" s="18"/>
      <c r="D147" s="18"/>
      <c r="E147" s="21"/>
      <c r="F147" s="21"/>
      <c r="G147" s="21"/>
      <c r="H147" s="50">
        <f>H142+H143+H144+H146</f>
        <v>1500000</v>
      </c>
      <c r="I147" s="50"/>
      <c r="J147" s="21"/>
    </row>
    <row r="153" spans="1:10">
      <c r="A153" s="651" t="s">
        <v>1068</v>
      </c>
      <c r="B153" s="651"/>
      <c r="C153" s="651"/>
      <c r="D153" s="651"/>
      <c r="E153" s="651"/>
      <c r="F153" s="651"/>
      <c r="G153" s="651"/>
      <c r="H153" s="651"/>
      <c r="I153" s="651"/>
      <c r="J153" s="651"/>
    </row>
    <row r="154" spans="1:10" ht="28.5">
      <c r="A154" s="16" t="s">
        <v>818</v>
      </c>
      <c r="B154" s="17" t="s">
        <v>697</v>
      </c>
      <c r="C154" s="17" t="s">
        <v>12</v>
      </c>
      <c r="D154" s="17" t="s">
        <v>15</v>
      </c>
      <c r="E154" s="16" t="s">
        <v>699</v>
      </c>
      <c r="F154" s="16" t="s">
        <v>657</v>
      </c>
      <c r="G154" s="17" t="s">
        <v>700</v>
      </c>
      <c r="H154" s="16" t="s">
        <v>660</v>
      </c>
      <c r="I154" s="16" t="s">
        <v>1176</v>
      </c>
      <c r="J154" s="16" t="s">
        <v>27</v>
      </c>
    </row>
    <row r="155" spans="1:10">
      <c r="A155" s="18">
        <v>1</v>
      </c>
      <c r="B155" s="18" t="s">
        <v>102</v>
      </c>
      <c r="C155" s="18" t="s">
        <v>101</v>
      </c>
      <c r="D155" s="34" t="s">
        <v>103</v>
      </c>
      <c r="E155" s="96" t="s">
        <v>703</v>
      </c>
      <c r="F155" s="20" t="s">
        <v>1691</v>
      </c>
      <c r="G155" s="21" t="s">
        <v>4298</v>
      </c>
      <c r="H155" s="21">
        <v>500000</v>
      </c>
      <c r="I155" s="21"/>
      <c r="J155" s="21"/>
    </row>
    <row r="156" spans="1:10">
      <c r="A156" s="18"/>
      <c r="B156" s="18"/>
      <c r="C156" s="18"/>
      <c r="D156" s="224"/>
      <c r="E156" s="97" t="s">
        <v>4299</v>
      </c>
      <c r="F156" s="20" t="s">
        <v>1691</v>
      </c>
      <c r="G156" s="21" t="s">
        <v>4298</v>
      </c>
      <c r="H156" s="21">
        <v>500000</v>
      </c>
      <c r="I156" s="21"/>
      <c r="J156" s="21"/>
    </row>
    <row r="157" spans="1:10">
      <c r="A157" s="18"/>
      <c r="B157" s="18"/>
      <c r="C157" s="18"/>
      <c r="D157" s="224"/>
      <c r="E157" s="98" t="s">
        <v>1066</v>
      </c>
      <c r="F157" s="20"/>
      <c r="G157" s="21" t="s">
        <v>4699</v>
      </c>
      <c r="H157" s="21">
        <v>-500000</v>
      </c>
      <c r="I157" s="21"/>
      <c r="J157" s="21"/>
    </row>
    <row r="158" spans="1:10">
      <c r="A158" s="18"/>
      <c r="B158" s="18"/>
      <c r="C158" s="18"/>
      <c r="D158" s="224"/>
      <c r="E158" s="98"/>
      <c r="F158" s="20"/>
      <c r="G158" s="21"/>
      <c r="H158" s="21"/>
      <c r="I158" s="21"/>
      <c r="J158" s="21"/>
    </row>
    <row r="159" spans="1:10">
      <c r="A159" s="18"/>
      <c r="B159" s="18"/>
      <c r="C159" s="18"/>
      <c r="D159" s="224"/>
      <c r="E159" s="98"/>
      <c r="F159" s="20"/>
      <c r="G159" s="21"/>
      <c r="H159" s="21"/>
      <c r="I159" s="21"/>
      <c r="J159" s="21"/>
    </row>
    <row r="160" spans="1:10">
      <c r="A160" s="18"/>
      <c r="B160" s="18"/>
      <c r="C160" s="18"/>
      <c r="D160" s="18"/>
      <c r="E160" s="21"/>
      <c r="F160" s="21"/>
      <c r="G160" s="21"/>
      <c r="H160" s="50">
        <f>H155+H156+H157+H159</f>
        <v>500000</v>
      </c>
      <c r="I160" s="50"/>
      <c r="J160" s="21"/>
    </row>
    <row r="162" spans="1:15">
      <c r="A162" s="411" t="s">
        <v>648</v>
      </c>
    </row>
    <row r="163" spans="1:15">
      <c r="A163" s="651" t="s">
        <v>4700</v>
      </c>
      <c r="B163" s="651"/>
      <c r="C163" s="651"/>
      <c r="D163" s="651"/>
      <c r="E163" s="651"/>
      <c r="F163" s="651"/>
      <c r="G163" s="651"/>
      <c r="H163" s="651"/>
      <c r="I163" s="651"/>
      <c r="J163" s="651"/>
    </row>
    <row r="164" spans="1:15" ht="28.5">
      <c r="A164" s="16" t="s">
        <v>818</v>
      </c>
      <c r="B164" s="17" t="s">
        <v>697</v>
      </c>
      <c r="C164" s="17" t="s">
        <v>12</v>
      </c>
      <c r="D164" s="17" t="s">
        <v>15</v>
      </c>
      <c r="E164" s="16" t="s">
        <v>699</v>
      </c>
      <c r="F164" s="16" t="s">
        <v>657</v>
      </c>
      <c r="G164" s="17" t="s">
        <v>700</v>
      </c>
      <c r="H164" s="16" t="s">
        <v>660</v>
      </c>
      <c r="I164" s="16" t="s">
        <v>1176</v>
      </c>
      <c r="J164" s="16" t="s">
        <v>27</v>
      </c>
    </row>
    <row r="165" spans="1:15">
      <c r="A165" s="18">
        <v>1</v>
      </c>
      <c r="B165" s="18" t="s">
        <v>102</v>
      </c>
      <c r="C165" s="18" t="s">
        <v>101</v>
      </c>
      <c r="D165" s="34" t="s">
        <v>103</v>
      </c>
      <c r="E165" s="96" t="s">
        <v>703</v>
      </c>
      <c r="F165" s="20" t="s">
        <v>1070</v>
      </c>
      <c r="G165" s="21" t="s">
        <v>1067</v>
      </c>
      <c r="H165" s="21">
        <v>500000</v>
      </c>
      <c r="I165" s="21"/>
      <c r="J165" s="21"/>
      <c r="K165" s="51" t="s">
        <v>4701</v>
      </c>
    </row>
    <row r="166" spans="1:15">
      <c r="A166" s="18"/>
      <c r="B166" s="18"/>
      <c r="C166" s="18"/>
      <c r="D166" s="224"/>
      <c r="E166" s="97" t="s">
        <v>4702</v>
      </c>
      <c r="F166" s="20" t="s">
        <v>4703</v>
      </c>
      <c r="G166" s="21" t="s">
        <v>1350</v>
      </c>
      <c r="H166" s="21">
        <v>600000</v>
      </c>
      <c r="I166" s="21"/>
      <c r="J166" s="21"/>
    </row>
    <row r="167" spans="1:15">
      <c r="A167" s="18"/>
      <c r="B167" s="18"/>
      <c r="C167" s="18"/>
      <c r="D167" s="224"/>
      <c r="E167" s="98" t="s">
        <v>844</v>
      </c>
      <c r="F167" s="20" t="s">
        <v>1073</v>
      </c>
      <c r="G167" s="21" t="s">
        <v>4704</v>
      </c>
      <c r="H167" s="21">
        <v>600000</v>
      </c>
      <c r="I167" s="21"/>
      <c r="J167" s="21" t="s">
        <v>4705</v>
      </c>
    </row>
    <row r="168" spans="1:15">
      <c r="A168" s="18"/>
      <c r="B168" s="18"/>
      <c r="C168" s="18"/>
      <c r="D168" s="224"/>
      <c r="E168" s="98" t="s">
        <v>4706</v>
      </c>
      <c r="F168" s="20" t="s">
        <v>1078</v>
      </c>
      <c r="G168" s="21" t="s">
        <v>1079</v>
      </c>
      <c r="H168" s="21">
        <v>1200000</v>
      </c>
      <c r="I168" s="21"/>
      <c r="J168" s="21" t="s">
        <v>4705</v>
      </c>
    </row>
    <row r="169" spans="1:15">
      <c r="A169" s="18"/>
      <c r="B169" s="18"/>
      <c r="C169" s="18"/>
      <c r="D169" s="224"/>
      <c r="E169" s="98"/>
      <c r="F169" s="20"/>
      <c r="G169" s="21"/>
      <c r="H169" s="21"/>
      <c r="I169" s="21"/>
      <c r="J169" s="21"/>
    </row>
    <row r="170" spans="1:15">
      <c r="A170" s="18"/>
      <c r="B170" s="18"/>
      <c r="C170" s="18"/>
      <c r="D170" s="18"/>
      <c r="E170" s="21"/>
      <c r="F170" s="21"/>
      <c r="G170" s="21"/>
      <c r="H170" s="50">
        <f>H165+H166+H167+H169</f>
        <v>1700000</v>
      </c>
      <c r="I170" s="50"/>
      <c r="J170" s="21"/>
    </row>
    <row r="171" spans="1:15">
      <c r="N171" s="528" t="s">
        <v>649</v>
      </c>
    </row>
    <row r="173" spans="1:15">
      <c r="A173" s="651" t="s">
        <v>4707</v>
      </c>
      <c r="B173" s="651"/>
      <c r="C173" s="651"/>
      <c r="D173" s="651"/>
      <c r="E173" s="651"/>
      <c r="F173" s="651"/>
      <c r="G173" s="651"/>
      <c r="H173" s="651"/>
      <c r="I173" s="651"/>
      <c r="J173" s="651"/>
      <c r="M173" s="537" t="s">
        <v>807</v>
      </c>
      <c r="N173" s="537" t="s">
        <v>651</v>
      </c>
      <c r="O173" s="538" t="s">
        <v>652</v>
      </c>
    </row>
    <row r="174" spans="1:15" ht="28.5">
      <c r="A174" s="16" t="s">
        <v>818</v>
      </c>
      <c r="B174" s="17" t="s">
        <v>697</v>
      </c>
      <c r="C174" s="17" t="s">
        <v>12</v>
      </c>
      <c r="D174" s="17" t="s">
        <v>15</v>
      </c>
      <c r="E174" s="16" t="s">
        <v>699</v>
      </c>
      <c r="F174" s="16" t="s">
        <v>657</v>
      </c>
      <c r="G174" s="17" t="s">
        <v>700</v>
      </c>
      <c r="H174" s="16" t="s">
        <v>660</v>
      </c>
      <c r="I174" s="16" t="s">
        <v>1176</v>
      </c>
      <c r="J174" s="16" t="s">
        <v>27</v>
      </c>
      <c r="M174" s="529" t="s">
        <v>887</v>
      </c>
      <c r="N174" s="529" t="s">
        <v>4708</v>
      </c>
      <c r="O174" s="530">
        <v>50000</v>
      </c>
    </row>
    <row r="175" spans="1:15">
      <c r="A175" s="18">
        <v>1</v>
      </c>
      <c r="B175" s="18" t="s">
        <v>102</v>
      </c>
      <c r="C175" s="18" t="s">
        <v>101</v>
      </c>
      <c r="D175" s="34" t="s">
        <v>103</v>
      </c>
      <c r="E175" s="96" t="s">
        <v>703</v>
      </c>
      <c r="F175" s="20" t="s">
        <v>3127</v>
      </c>
      <c r="G175" s="21" t="s">
        <v>3003</v>
      </c>
      <c r="H175" s="21">
        <v>800000</v>
      </c>
      <c r="I175" s="21"/>
      <c r="J175" s="21" t="s">
        <v>664</v>
      </c>
      <c r="M175" s="529" t="s">
        <v>1162</v>
      </c>
      <c r="N175" s="529" t="s">
        <v>4709</v>
      </c>
      <c r="O175" s="530">
        <v>170000</v>
      </c>
    </row>
    <row r="176" spans="1:15">
      <c r="A176" s="18"/>
      <c r="B176" s="18"/>
      <c r="C176" s="18"/>
      <c r="D176" s="224"/>
      <c r="E176" s="500" t="s">
        <v>4710</v>
      </c>
      <c r="F176" s="20" t="s">
        <v>4711</v>
      </c>
      <c r="G176" s="21" t="s">
        <v>3003</v>
      </c>
      <c r="H176" s="21">
        <v>800000</v>
      </c>
      <c r="I176" s="21"/>
      <c r="J176" s="21" t="s">
        <v>664</v>
      </c>
      <c r="M176" s="529" t="s">
        <v>928</v>
      </c>
      <c r="N176" s="529" t="s">
        <v>4712</v>
      </c>
      <c r="O176" s="530">
        <v>30000</v>
      </c>
    </row>
    <row r="177" spans="1:15">
      <c r="A177" s="18"/>
      <c r="B177" s="18"/>
      <c r="C177" s="18"/>
      <c r="D177" s="224"/>
      <c r="E177" s="352" t="s">
        <v>4713</v>
      </c>
      <c r="F177" s="20" t="s">
        <v>4714</v>
      </c>
      <c r="G177" s="21" t="s">
        <v>4715</v>
      </c>
      <c r="H177" s="21">
        <v>800000</v>
      </c>
      <c r="I177" s="21"/>
      <c r="J177" s="21" t="s">
        <v>664</v>
      </c>
      <c r="M177" s="529" t="s">
        <v>1154</v>
      </c>
      <c r="N177" s="529" t="s">
        <v>4716</v>
      </c>
      <c r="O177" s="530">
        <v>45000</v>
      </c>
    </row>
    <row r="178" spans="1:15">
      <c r="A178" s="18"/>
      <c r="B178" s="18"/>
      <c r="C178" s="18"/>
      <c r="D178" s="224"/>
      <c r="E178" s="352" t="s">
        <v>4717</v>
      </c>
      <c r="F178" s="20" t="s">
        <v>4714</v>
      </c>
      <c r="G178" s="21" t="s">
        <v>4715</v>
      </c>
      <c r="H178" s="21">
        <v>200000</v>
      </c>
      <c r="I178" s="21"/>
      <c r="J178" s="21" t="s">
        <v>664</v>
      </c>
      <c r="M178" s="529" t="s">
        <v>1331</v>
      </c>
      <c r="N178" s="529" t="s">
        <v>4718</v>
      </c>
      <c r="O178" s="530">
        <v>75000</v>
      </c>
    </row>
    <row r="179" spans="1:15">
      <c r="A179" s="18"/>
      <c r="B179" s="18"/>
      <c r="C179" s="18"/>
      <c r="D179" s="224"/>
      <c r="E179" s="352" t="s">
        <v>684</v>
      </c>
      <c r="F179" s="20"/>
      <c r="G179" s="21"/>
      <c r="H179" s="21">
        <v>-800000</v>
      </c>
      <c r="I179" s="21"/>
      <c r="J179" s="42" t="s">
        <v>4719</v>
      </c>
      <c r="M179" s="529" t="s">
        <v>1331</v>
      </c>
      <c r="N179" s="529" t="s">
        <v>4720</v>
      </c>
      <c r="O179" s="530">
        <v>10000</v>
      </c>
    </row>
    <row r="180" spans="1:15">
      <c r="A180" s="18"/>
      <c r="B180" s="18"/>
      <c r="C180" s="18"/>
      <c r="D180" s="18"/>
      <c r="E180" s="21"/>
      <c r="F180" s="21"/>
      <c r="G180" s="21"/>
      <c r="H180" s="50">
        <f>H175+H176+H177+H179</f>
        <v>1600000</v>
      </c>
      <c r="I180" s="50"/>
      <c r="J180" s="21"/>
      <c r="M180" s="529" t="s">
        <v>1331</v>
      </c>
      <c r="N180" s="529" t="s">
        <v>4721</v>
      </c>
      <c r="O180" s="530">
        <v>50000</v>
      </c>
    </row>
    <row r="181" spans="1:15">
      <c r="M181" s="529" t="s">
        <v>1331</v>
      </c>
      <c r="N181" s="529" t="s">
        <v>4722</v>
      </c>
      <c r="O181" s="530">
        <v>7000</v>
      </c>
    </row>
    <row r="182" spans="1:15">
      <c r="M182" s="529" t="s">
        <v>1331</v>
      </c>
      <c r="N182" s="529" t="s">
        <v>4723</v>
      </c>
      <c r="O182" s="530">
        <v>40000</v>
      </c>
    </row>
    <row r="183" spans="1:15">
      <c r="M183" s="529" t="s">
        <v>1331</v>
      </c>
      <c r="N183" s="529" t="s">
        <v>4724</v>
      </c>
      <c r="O183" s="530">
        <v>18000</v>
      </c>
    </row>
    <row r="184" spans="1:15">
      <c r="M184" s="529" t="s">
        <v>1331</v>
      </c>
      <c r="N184" s="529" t="s">
        <v>4725</v>
      </c>
      <c r="O184" s="530">
        <v>10000</v>
      </c>
    </row>
    <row r="185" spans="1:15">
      <c r="A185" s="651" t="s">
        <v>250</v>
      </c>
      <c r="B185" s="651"/>
      <c r="C185" s="651"/>
      <c r="D185" s="651"/>
      <c r="E185" s="651"/>
      <c r="F185" s="651"/>
      <c r="G185" s="651"/>
      <c r="H185" s="651"/>
      <c r="I185" s="651"/>
      <c r="J185" s="651"/>
      <c r="M185" s="529" t="s">
        <v>1331</v>
      </c>
      <c r="N185" s="529" t="s">
        <v>4726</v>
      </c>
      <c r="O185" s="530">
        <v>6000</v>
      </c>
    </row>
    <row r="186" spans="1:15" ht="28.5">
      <c r="A186" s="16" t="s">
        <v>818</v>
      </c>
      <c r="B186" s="17" t="s">
        <v>697</v>
      </c>
      <c r="C186" s="17" t="s">
        <v>12</v>
      </c>
      <c r="D186" s="17" t="s">
        <v>15</v>
      </c>
      <c r="E186" s="16" t="s">
        <v>699</v>
      </c>
      <c r="F186" s="16" t="s">
        <v>657</v>
      </c>
      <c r="G186" s="17" t="s">
        <v>700</v>
      </c>
      <c r="H186" s="16" t="s">
        <v>660</v>
      </c>
      <c r="I186" s="16" t="s">
        <v>1176</v>
      </c>
      <c r="J186" s="16" t="s">
        <v>27</v>
      </c>
      <c r="M186" s="529" t="s">
        <v>1331</v>
      </c>
      <c r="N186" s="529" t="s">
        <v>4727</v>
      </c>
      <c r="O186" s="530">
        <v>12000</v>
      </c>
    </row>
    <row r="187" spans="1:15">
      <c r="A187" s="18">
        <v>1</v>
      </c>
      <c r="B187" s="18" t="s">
        <v>102</v>
      </c>
      <c r="C187" s="18" t="s">
        <v>101</v>
      </c>
      <c r="D187" s="34" t="s">
        <v>103</v>
      </c>
      <c r="E187" s="96" t="s">
        <v>661</v>
      </c>
      <c r="F187" s="20" t="s">
        <v>3492</v>
      </c>
      <c r="G187" s="21" t="s">
        <v>3493</v>
      </c>
      <c r="H187" s="21">
        <v>800000</v>
      </c>
      <c r="I187" s="21"/>
      <c r="J187" s="21" t="s">
        <v>891</v>
      </c>
      <c r="M187" s="529" t="s">
        <v>1331</v>
      </c>
      <c r="N187" s="529" t="s">
        <v>4728</v>
      </c>
      <c r="O187" s="530">
        <v>10000</v>
      </c>
    </row>
    <row r="188" spans="1:15" ht="14.45" customHeight="1">
      <c r="A188" s="18"/>
      <c r="B188" s="18"/>
      <c r="C188" s="18"/>
      <c r="D188" s="224"/>
      <c r="E188" s="500" t="s">
        <v>170</v>
      </c>
      <c r="F188" s="20" t="s">
        <v>3492</v>
      </c>
      <c r="G188" s="21" t="s">
        <v>3493</v>
      </c>
      <c r="H188" s="21">
        <v>2400000</v>
      </c>
      <c r="I188" s="21"/>
      <c r="J188" s="21" t="s">
        <v>891</v>
      </c>
    </row>
    <row r="189" spans="1:15" ht="14.45" customHeight="1">
      <c r="A189" s="18"/>
      <c r="B189" s="18"/>
      <c r="C189" s="18"/>
      <c r="D189" s="224"/>
      <c r="E189" s="352"/>
      <c r="F189" s="20"/>
      <c r="G189" s="21"/>
      <c r="H189" s="21"/>
      <c r="I189" s="42"/>
      <c r="J189" s="42" t="s">
        <v>4729</v>
      </c>
      <c r="K189" s="103"/>
    </row>
    <row r="190" spans="1:15" ht="14.45" customHeight="1">
      <c r="A190" s="18"/>
      <c r="B190" s="18"/>
      <c r="C190" s="18"/>
      <c r="D190" s="224"/>
      <c r="E190" s="352"/>
      <c r="F190" s="20"/>
      <c r="G190" s="21"/>
      <c r="H190" s="21"/>
      <c r="I190" s="21"/>
      <c r="J190" s="21"/>
    </row>
    <row r="191" spans="1:15" ht="14.45" customHeight="1">
      <c r="A191" s="18"/>
      <c r="B191" s="18"/>
      <c r="C191" s="18"/>
      <c r="D191" s="224"/>
      <c r="E191" s="352"/>
      <c r="F191" s="20"/>
      <c r="G191" s="21"/>
      <c r="H191" s="21">
        <f>SUM(H187:H190)</f>
        <v>3200000</v>
      </c>
      <c r="I191" s="21"/>
      <c r="J191" s="42"/>
    </row>
    <row r="192" spans="1:15">
      <c r="A192" s="18"/>
      <c r="B192" s="18"/>
      <c r="C192" s="18"/>
      <c r="D192" s="18"/>
      <c r="E192" s="21"/>
      <c r="F192" s="21"/>
      <c r="G192" s="21"/>
      <c r="H192" s="50"/>
      <c r="I192" s="50"/>
      <c r="J192" s="21"/>
      <c r="N192" s="539" t="s">
        <v>665</v>
      </c>
      <c r="O192" s="540">
        <f>SUM(O174:O189)</f>
        <v>533000</v>
      </c>
    </row>
  </sheetData>
  <mergeCells count="21">
    <mergeCell ref="A185:J185"/>
    <mergeCell ref="B109:C109"/>
    <mergeCell ref="B114:C114"/>
    <mergeCell ref="A96:J96"/>
    <mergeCell ref="A2:J2"/>
    <mergeCell ref="A11:J11"/>
    <mergeCell ref="A16:J16"/>
    <mergeCell ref="A27:J27"/>
    <mergeCell ref="B53:C53"/>
    <mergeCell ref="B70:C70"/>
    <mergeCell ref="B72:C72"/>
    <mergeCell ref="A74:J74"/>
    <mergeCell ref="B87:C87"/>
    <mergeCell ref="B91:C91"/>
    <mergeCell ref="B92:C92"/>
    <mergeCell ref="A118:J118"/>
    <mergeCell ref="A129:J129"/>
    <mergeCell ref="A140:J140"/>
    <mergeCell ref="A153:J153"/>
    <mergeCell ref="A173:J173"/>
    <mergeCell ref="A163:J163"/>
  </mergeCells>
  <hyperlinks>
    <hyperlink ref="B1" location="Name!A1" display="Name!A1" xr:uid="{2A229915-1D2B-411E-9A57-CD2CEC3F03E4}"/>
    <hyperlink ref="A162" location="Name!A1" display="Name!A1" xr:uid="{1E6BB182-860F-44B3-823C-8BA93551BFBE}"/>
  </hyperlinks>
  <pageMargins left="0.7" right="0.7" top="0.75" bottom="0.75" header="0.3" footer="0.3"/>
  <pageSetup orientation="portrait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E67B-FEEE-4ECD-AF38-9BD4E7018B41}">
  <dimension ref="A1:P99"/>
  <sheetViews>
    <sheetView workbookViewId="0">
      <selection activeCell="B1" sqref="B1"/>
    </sheetView>
  </sheetViews>
  <sheetFormatPr defaultColWidth="9.140625" defaultRowHeight="18"/>
  <cols>
    <col min="1" max="1" width="6.140625" style="51" customWidth="1"/>
    <col min="2" max="3" width="15.42578125" style="51" customWidth="1"/>
    <col min="4" max="4" width="27.42578125" style="51" customWidth="1"/>
    <col min="5" max="5" width="27" style="51" customWidth="1"/>
    <col min="6" max="6" width="13.42578125" style="51" customWidth="1"/>
    <col min="7" max="7" width="12.7109375" style="51" customWidth="1"/>
    <col min="8" max="8" width="14" style="51" customWidth="1"/>
    <col min="9" max="9" width="25.42578125" style="51" customWidth="1"/>
    <col min="10" max="11" width="9.140625" style="51"/>
    <col min="12" max="12" width="6.28515625" style="51" customWidth="1"/>
    <col min="13" max="13" width="15.42578125" style="51" customWidth="1"/>
    <col min="14" max="14" width="27.7109375" style="51" customWidth="1"/>
    <col min="15" max="15" width="16.5703125" style="51" customWidth="1"/>
    <col min="16" max="16" width="33.85546875" style="51" customWidth="1"/>
    <col min="17" max="16384" width="9.140625" style="51"/>
  </cols>
  <sheetData>
    <row r="1" spans="1:16">
      <c r="B1" s="411" t="s">
        <v>648</v>
      </c>
    </row>
    <row r="2" spans="1:16" ht="18.75">
      <c r="A2" s="651" t="s">
        <v>4730</v>
      </c>
      <c r="B2" s="651"/>
      <c r="C2" s="651"/>
      <c r="D2" s="651"/>
      <c r="E2" s="651"/>
      <c r="F2" s="651"/>
      <c r="G2" s="651"/>
      <c r="H2" s="651"/>
      <c r="I2" s="651"/>
      <c r="L2" s="51" t="s">
        <v>4731</v>
      </c>
    </row>
    <row r="3" spans="1:16" s="56" customFormat="1" ht="28.5">
      <c r="A3" s="52" t="s">
        <v>818</v>
      </c>
      <c r="B3" s="53" t="s">
        <v>697</v>
      </c>
      <c r="C3" s="53" t="s">
        <v>12</v>
      </c>
      <c r="D3" s="53" t="s">
        <v>819</v>
      </c>
      <c r="E3" s="54" t="s">
        <v>699</v>
      </c>
      <c r="F3" s="54" t="s">
        <v>657</v>
      </c>
      <c r="G3" s="53" t="s">
        <v>700</v>
      </c>
      <c r="H3" s="54" t="s">
        <v>660</v>
      </c>
      <c r="I3" s="55" t="s">
        <v>27</v>
      </c>
      <c r="L3" s="57" t="s">
        <v>4638</v>
      </c>
      <c r="M3" s="58" t="s">
        <v>974</v>
      </c>
      <c r="N3" s="59" t="s">
        <v>975</v>
      </c>
      <c r="O3" s="60" t="s">
        <v>976</v>
      </c>
    </row>
    <row r="4" spans="1:16">
      <c r="A4" s="61">
        <v>1</v>
      </c>
      <c r="B4" s="62" t="s">
        <v>94</v>
      </c>
      <c r="C4" s="62" t="s">
        <v>92</v>
      </c>
      <c r="D4" s="62" t="s">
        <v>95</v>
      </c>
      <c r="E4" s="62" t="s">
        <v>703</v>
      </c>
      <c r="F4" s="63" t="s">
        <v>4732</v>
      </c>
      <c r="G4" s="62" t="s">
        <v>1981</v>
      </c>
      <c r="H4" s="64">
        <v>500000</v>
      </c>
      <c r="I4" s="65"/>
      <c r="L4" s="66"/>
      <c r="M4" s="67" t="s">
        <v>1981</v>
      </c>
      <c r="N4" s="68" t="s">
        <v>4733</v>
      </c>
      <c r="O4" s="69">
        <v>1000000</v>
      </c>
    </row>
    <row r="5" spans="1:16">
      <c r="A5" s="61"/>
      <c r="B5" s="62"/>
      <c r="C5" s="62"/>
      <c r="D5" s="62"/>
      <c r="E5" s="70" t="s">
        <v>4734</v>
      </c>
      <c r="F5" s="63" t="s">
        <v>4732</v>
      </c>
      <c r="G5" s="62" t="s">
        <v>1981</v>
      </c>
      <c r="H5" s="64">
        <v>1000000</v>
      </c>
      <c r="I5" s="65"/>
      <c r="J5" s="51" t="s">
        <v>4735</v>
      </c>
      <c r="L5" s="66">
        <v>1</v>
      </c>
      <c r="M5" s="67" t="s">
        <v>4413</v>
      </c>
      <c r="N5" s="68" t="s">
        <v>1399</v>
      </c>
      <c r="O5" s="69">
        <v>-81000</v>
      </c>
    </row>
    <row r="6" spans="1:16">
      <c r="A6" s="61"/>
      <c r="B6" s="62"/>
      <c r="C6" s="62"/>
      <c r="D6" s="62"/>
      <c r="E6" s="70" t="s">
        <v>4736</v>
      </c>
      <c r="F6" s="63" t="s">
        <v>4737</v>
      </c>
      <c r="G6" s="62" t="s">
        <v>4429</v>
      </c>
      <c r="H6" s="64">
        <v>2000000</v>
      </c>
      <c r="I6" s="65"/>
      <c r="L6" s="66"/>
      <c r="M6" s="67" t="s">
        <v>4413</v>
      </c>
      <c r="N6" s="68" t="s">
        <v>998</v>
      </c>
      <c r="O6" s="69">
        <v>-167000</v>
      </c>
    </row>
    <row r="7" spans="1:16">
      <c r="A7" s="71"/>
      <c r="B7" s="72"/>
      <c r="C7" s="72"/>
      <c r="D7" s="72"/>
      <c r="E7" s="73" t="s">
        <v>1066</v>
      </c>
      <c r="F7" s="74"/>
      <c r="G7" s="72"/>
      <c r="H7" s="75">
        <v>-500000</v>
      </c>
      <c r="I7" s="76"/>
      <c r="L7" s="77"/>
      <c r="M7" s="78"/>
      <c r="N7" s="79"/>
      <c r="O7" s="80"/>
    </row>
    <row r="8" spans="1:16">
      <c r="A8" s="71"/>
      <c r="B8" s="72"/>
      <c r="C8" s="72"/>
      <c r="D8" s="72"/>
      <c r="E8" s="73"/>
      <c r="F8" s="74"/>
      <c r="G8" s="72"/>
      <c r="H8" s="75"/>
      <c r="I8" s="76"/>
      <c r="L8" s="77"/>
      <c r="M8" s="78"/>
      <c r="N8" s="79"/>
      <c r="O8" s="80"/>
    </row>
    <row r="9" spans="1:16">
      <c r="A9" s="71"/>
      <c r="B9" s="72"/>
      <c r="C9" s="72"/>
      <c r="D9" s="72"/>
      <c r="E9" s="73"/>
      <c r="F9" s="74"/>
      <c r="G9" s="72"/>
      <c r="H9" s="75"/>
      <c r="I9" s="76"/>
      <c r="L9" s="77"/>
      <c r="M9" s="78"/>
      <c r="N9" s="79"/>
      <c r="O9" s="80"/>
    </row>
    <row r="10" spans="1:16">
      <c r="A10" s="81"/>
      <c r="B10" s="82"/>
      <c r="C10" s="82"/>
      <c r="D10" s="82"/>
      <c r="E10" s="82"/>
      <c r="F10" s="83"/>
      <c r="G10" s="82"/>
      <c r="H10" s="84">
        <f>SUM(H4:H9)</f>
        <v>3000000</v>
      </c>
      <c r="I10" s="85"/>
      <c r="L10" s="86"/>
      <c r="M10" s="87"/>
      <c r="N10" s="88"/>
      <c r="O10" s="89">
        <f>O4+O5+O6</f>
        <v>752000</v>
      </c>
      <c r="P10" s="51" t="s">
        <v>4738</v>
      </c>
    </row>
    <row r="13" spans="1:16">
      <c r="L13" s="51" t="s">
        <v>4731</v>
      </c>
    </row>
    <row r="14" spans="1:16" ht="18.75">
      <c r="A14" s="651" t="s">
        <v>1468</v>
      </c>
      <c r="B14" s="651"/>
      <c r="C14" s="651"/>
      <c r="D14" s="651"/>
      <c r="E14" s="651"/>
      <c r="F14" s="651"/>
      <c r="G14" s="651"/>
      <c r="H14" s="651"/>
      <c r="I14" s="651"/>
      <c r="L14" s="57" t="s">
        <v>4638</v>
      </c>
      <c r="M14" s="58" t="s">
        <v>974</v>
      </c>
      <c r="N14" s="59" t="s">
        <v>975</v>
      </c>
      <c r="O14" s="60" t="s">
        <v>976</v>
      </c>
    </row>
    <row r="15" spans="1:16" ht="28.5">
      <c r="A15" s="52" t="s">
        <v>818</v>
      </c>
      <c r="B15" s="53" t="s">
        <v>697</v>
      </c>
      <c r="C15" s="53" t="s">
        <v>12</v>
      </c>
      <c r="D15" s="53" t="s">
        <v>819</v>
      </c>
      <c r="E15" s="54" t="s">
        <v>699</v>
      </c>
      <c r="F15" s="54" t="s">
        <v>657</v>
      </c>
      <c r="G15" s="53" t="s">
        <v>700</v>
      </c>
      <c r="H15" s="54" t="s">
        <v>660</v>
      </c>
      <c r="I15" s="55" t="s">
        <v>27</v>
      </c>
      <c r="L15" s="66"/>
      <c r="M15" s="67" t="s">
        <v>4429</v>
      </c>
      <c r="N15" s="68" t="s">
        <v>4739</v>
      </c>
      <c r="O15" s="69">
        <v>500000</v>
      </c>
    </row>
    <row r="16" spans="1:16">
      <c r="A16" s="61">
        <v>1</v>
      </c>
      <c r="B16" s="62" t="s">
        <v>94</v>
      </c>
      <c r="C16" s="62" t="s">
        <v>92</v>
      </c>
      <c r="D16" s="62" t="s">
        <v>95</v>
      </c>
      <c r="E16" s="62" t="s">
        <v>703</v>
      </c>
      <c r="F16" s="63" t="s">
        <v>4740</v>
      </c>
      <c r="G16" s="62" t="s">
        <v>4741</v>
      </c>
      <c r="H16" s="64">
        <v>500000</v>
      </c>
      <c r="I16" s="65"/>
      <c r="L16" s="66"/>
      <c r="M16" s="67"/>
      <c r="N16" s="68" t="s">
        <v>4742</v>
      </c>
      <c r="O16" s="69">
        <v>500000</v>
      </c>
    </row>
    <row r="17" spans="1:16">
      <c r="A17" s="61"/>
      <c r="B17" s="62"/>
      <c r="C17" s="62"/>
      <c r="D17" s="62"/>
      <c r="E17" s="70" t="s">
        <v>4681</v>
      </c>
      <c r="F17" s="63" t="s">
        <v>4740</v>
      </c>
      <c r="G17" s="62" t="s">
        <v>4741</v>
      </c>
      <c r="H17" s="64">
        <v>500000</v>
      </c>
      <c r="I17" s="65"/>
      <c r="L17" s="66">
        <v>1</v>
      </c>
      <c r="M17" s="67" t="s">
        <v>4635</v>
      </c>
      <c r="N17" s="68" t="s">
        <v>4743</v>
      </c>
      <c r="O17" s="69">
        <v>-89000</v>
      </c>
    </row>
    <row r="18" spans="1:16">
      <c r="A18" s="61"/>
      <c r="B18" s="62"/>
      <c r="C18" s="62"/>
      <c r="D18" s="62"/>
      <c r="E18" s="70" t="s">
        <v>4744</v>
      </c>
      <c r="F18" s="63" t="s">
        <v>4745</v>
      </c>
      <c r="G18" s="62" t="s">
        <v>2017</v>
      </c>
      <c r="H18" s="64">
        <v>3500000</v>
      </c>
      <c r="I18" s="65"/>
      <c r="L18" s="66"/>
      <c r="M18" s="67"/>
      <c r="N18" s="68"/>
      <c r="O18" s="69"/>
    </row>
    <row r="19" spans="1:16">
      <c r="A19" s="71"/>
      <c r="B19" s="72"/>
      <c r="C19" s="72"/>
      <c r="D19" s="72"/>
      <c r="E19" s="73" t="s">
        <v>1006</v>
      </c>
      <c r="F19" s="63" t="s">
        <v>4745</v>
      </c>
      <c r="G19" s="62" t="s">
        <v>2017</v>
      </c>
      <c r="H19" s="75">
        <v>-250000</v>
      </c>
      <c r="I19" s="76"/>
      <c r="L19" s="77"/>
      <c r="M19" s="78"/>
      <c r="N19" s="79"/>
      <c r="O19" s="80"/>
    </row>
    <row r="20" spans="1:16">
      <c r="A20" s="71"/>
      <c r="B20" s="72"/>
      <c r="C20" s="72"/>
      <c r="D20" s="72"/>
      <c r="E20" s="73" t="s">
        <v>4746</v>
      </c>
      <c r="F20" s="74" t="s">
        <v>4747</v>
      </c>
      <c r="G20" s="72" t="s">
        <v>2245</v>
      </c>
      <c r="H20" s="75">
        <v>6500000</v>
      </c>
      <c r="I20" s="76"/>
      <c r="J20" s="51" t="s">
        <v>4748</v>
      </c>
      <c r="L20" s="77"/>
      <c r="M20" s="78"/>
      <c r="N20" s="79"/>
      <c r="O20" s="80"/>
    </row>
    <row r="21" spans="1:16">
      <c r="A21" s="71"/>
      <c r="B21" s="72"/>
      <c r="C21" s="72"/>
      <c r="D21" s="72"/>
      <c r="E21" s="73"/>
      <c r="F21" s="74"/>
      <c r="G21" s="72"/>
      <c r="H21" s="75"/>
      <c r="I21" s="76"/>
      <c r="L21" s="77"/>
      <c r="M21" s="78"/>
      <c r="N21" s="79"/>
      <c r="O21" s="80"/>
    </row>
    <row r="22" spans="1:16">
      <c r="A22" s="81"/>
      <c r="B22" s="82"/>
      <c r="C22" s="82"/>
      <c r="D22" s="82"/>
      <c r="E22" s="82"/>
      <c r="F22" s="83"/>
      <c r="G22" s="82"/>
      <c r="H22" s="84">
        <f>SUM(H16:H21)</f>
        <v>10750000</v>
      </c>
      <c r="I22" s="85"/>
      <c r="L22" s="86"/>
      <c r="M22" s="87"/>
      <c r="N22" s="88"/>
      <c r="O22" s="89">
        <f>O15+O16+O17</f>
        <v>911000</v>
      </c>
      <c r="P22" s="51" t="s">
        <v>4749</v>
      </c>
    </row>
    <row r="24" spans="1:16" ht="18.75">
      <c r="A24" s="651" t="s">
        <v>4750</v>
      </c>
      <c r="B24" s="651"/>
      <c r="C24" s="651"/>
      <c r="D24" s="651"/>
      <c r="E24" s="651"/>
      <c r="F24" s="651"/>
      <c r="G24" s="651"/>
      <c r="H24" s="651"/>
      <c r="I24" s="651"/>
    </row>
    <row r="25" spans="1:16" ht="28.5">
      <c r="A25" s="52" t="s">
        <v>818</v>
      </c>
      <c r="B25" s="53" t="s">
        <v>697</v>
      </c>
      <c r="C25" s="53" t="s">
        <v>12</v>
      </c>
      <c r="D25" s="53" t="s">
        <v>819</v>
      </c>
      <c r="E25" s="54" t="s">
        <v>699</v>
      </c>
      <c r="F25" s="54" t="s">
        <v>657</v>
      </c>
      <c r="G25" s="53" t="s">
        <v>700</v>
      </c>
      <c r="H25" s="54" t="s">
        <v>660</v>
      </c>
      <c r="I25" s="55" t="s">
        <v>27</v>
      </c>
      <c r="L25" s="51" t="s">
        <v>4751</v>
      </c>
    </row>
    <row r="26" spans="1:16">
      <c r="A26" s="61">
        <v>1</v>
      </c>
      <c r="B26" s="62" t="s">
        <v>94</v>
      </c>
      <c r="C26" s="62" t="s">
        <v>92</v>
      </c>
      <c r="D26" s="62" t="s">
        <v>95</v>
      </c>
      <c r="E26" s="62" t="s">
        <v>703</v>
      </c>
      <c r="F26" s="63" t="s">
        <v>4752</v>
      </c>
      <c r="G26" s="62" t="s">
        <v>4753</v>
      </c>
      <c r="H26" s="64">
        <v>100000</v>
      </c>
      <c r="I26" s="65"/>
      <c r="J26" s="51" t="s">
        <v>4754</v>
      </c>
      <c r="L26" s="57" t="s">
        <v>4638</v>
      </c>
      <c r="M26" s="58" t="s">
        <v>974</v>
      </c>
      <c r="N26" s="59" t="s">
        <v>975</v>
      </c>
      <c r="O26" s="60" t="s">
        <v>976</v>
      </c>
    </row>
    <row r="27" spans="1:16">
      <c r="A27" s="61"/>
      <c r="B27" s="62"/>
      <c r="C27" s="62"/>
      <c r="D27" s="62"/>
      <c r="E27" s="70"/>
      <c r="F27" s="63" t="s">
        <v>4755</v>
      </c>
      <c r="G27" s="62" t="s">
        <v>4756</v>
      </c>
      <c r="H27" s="64">
        <v>230000</v>
      </c>
      <c r="I27" s="65"/>
      <c r="J27" s="51" t="s">
        <v>4757</v>
      </c>
      <c r="L27" s="66"/>
      <c r="M27" s="67" t="s">
        <v>4678</v>
      </c>
      <c r="N27" s="68" t="s">
        <v>4758</v>
      </c>
      <c r="O27" s="69">
        <v>500000</v>
      </c>
    </row>
    <row r="28" spans="1:16">
      <c r="A28" s="61"/>
      <c r="B28" s="62"/>
      <c r="C28" s="62"/>
      <c r="D28" s="62"/>
      <c r="E28" s="70"/>
      <c r="F28" s="63"/>
      <c r="G28" s="62"/>
      <c r="H28" s="64"/>
      <c r="I28" s="65"/>
      <c r="L28" s="66"/>
      <c r="M28" s="67"/>
      <c r="N28" s="68" t="s">
        <v>4759</v>
      </c>
      <c r="O28" s="69">
        <v>500000</v>
      </c>
    </row>
    <row r="29" spans="1:16">
      <c r="A29" s="71"/>
      <c r="B29" s="72"/>
      <c r="C29" s="72"/>
      <c r="D29" s="72"/>
      <c r="E29" s="73"/>
      <c r="F29" s="63"/>
      <c r="G29" s="62"/>
      <c r="H29" s="75"/>
      <c r="I29" s="76"/>
      <c r="L29" s="86"/>
      <c r="M29" s="87"/>
      <c r="N29" s="88"/>
      <c r="O29" s="89">
        <f>SUM(O27:O28)</f>
        <v>1000000</v>
      </c>
      <c r="P29" s="51" t="s">
        <v>4760</v>
      </c>
    </row>
    <row r="30" spans="1:16">
      <c r="A30" s="71"/>
      <c r="B30" s="72"/>
      <c r="C30" s="72"/>
      <c r="D30" s="72"/>
      <c r="E30" s="73"/>
      <c r="F30" s="74"/>
      <c r="G30" s="72"/>
      <c r="H30" s="75"/>
      <c r="I30" s="76"/>
      <c r="O30" s="90"/>
    </row>
    <row r="31" spans="1:16">
      <c r="A31" s="71"/>
      <c r="B31" s="72"/>
      <c r="C31" s="72"/>
      <c r="D31" s="72"/>
      <c r="E31" s="73"/>
      <c r="F31" s="74"/>
      <c r="G31" s="72"/>
      <c r="H31" s="75"/>
      <c r="I31" s="76"/>
      <c r="L31" s="51" t="s">
        <v>4751</v>
      </c>
    </row>
    <row r="32" spans="1:16">
      <c r="A32" s="81"/>
      <c r="B32" s="82"/>
      <c r="C32" s="82"/>
      <c r="D32" s="82"/>
      <c r="E32" s="82"/>
      <c r="F32" s="83"/>
      <c r="G32" s="82"/>
      <c r="H32" s="84">
        <f>SUM(H26:H31)</f>
        <v>330000</v>
      </c>
      <c r="I32" s="85"/>
      <c r="L32" s="91" t="s">
        <v>4638</v>
      </c>
      <c r="M32" s="91" t="s">
        <v>974</v>
      </c>
      <c r="N32" s="91" t="s">
        <v>975</v>
      </c>
      <c r="O32" s="92" t="s">
        <v>976</v>
      </c>
    </row>
    <row r="33" spans="1:16">
      <c r="L33" s="93"/>
      <c r="M33" s="93" t="s">
        <v>4120</v>
      </c>
      <c r="N33" s="93" t="s">
        <v>4761</v>
      </c>
      <c r="O33" s="94">
        <v>500000</v>
      </c>
      <c r="P33" s="51" t="s">
        <v>4762</v>
      </c>
    </row>
    <row r="34" spans="1:16" ht="18.75">
      <c r="A34" s="651" t="s">
        <v>4763</v>
      </c>
      <c r="B34" s="651"/>
      <c r="C34" s="651"/>
      <c r="D34" s="651"/>
      <c r="E34" s="651"/>
      <c r="F34" s="651"/>
      <c r="G34" s="651"/>
      <c r="H34" s="651"/>
      <c r="I34" s="651"/>
      <c r="L34" s="93"/>
      <c r="M34" s="93" t="s">
        <v>4764</v>
      </c>
      <c r="N34" s="93" t="s">
        <v>4765</v>
      </c>
      <c r="O34" s="94">
        <v>500000</v>
      </c>
      <c r="P34" s="51" t="s">
        <v>4766</v>
      </c>
    </row>
    <row r="35" spans="1:16" ht="28.5">
      <c r="A35" s="52" t="s">
        <v>818</v>
      </c>
      <c r="B35" s="53" t="s">
        <v>697</v>
      </c>
      <c r="C35" s="53" t="s">
        <v>12</v>
      </c>
      <c r="D35" s="53" t="s">
        <v>819</v>
      </c>
      <c r="E35" s="54" t="s">
        <v>699</v>
      </c>
      <c r="F35" s="54" t="s">
        <v>657</v>
      </c>
      <c r="G35" s="53" t="s">
        <v>700</v>
      </c>
      <c r="H35" s="54" t="s">
        <v>660</v>
      </c>
      <c r="I35" s="55" t="s">
        <v>27</v>
      </c>
      <c r="L35" s="93"/>
      <c r="M35" s="93" t="s">
        <v>4764</v>
      </c>
      <c r="N35" s="93" t="s">
        <v>4767</v>
      </c>
      <c r="O35" s="94">
        <v>500000</v>
      </c>
      <c r="P35" s="51" t="s">
        <v>4766</v>
      </c>
    </row>
    <row r="36" spans="1:16">
      <c r="A36" s="61">
        <v>1</v>
      </c>
      <c r="B36" s="62" t="s">
        <v>94</v>
      </c>
      <c r="C36" s="62" t="s">
        <v>92</v>
      </c>
      <c r="D36" s="62" t="s">
        <v>95</v>
      </c>
      <c r="E36" s="62" t="s">
        <v>703</v>
      </c>
      <c r="F36" s="63" t="s">
        <v>4768</v>
      </c>
      <c r="G36" s="62" t="s">
        <v>3217</v>
      </c>
      <c r="H36" s="64">
        <v>500000</v>
      </c>
      <c r="I36" s="65"/>
    </row>
    <row r="37" spans="1:16">
      <c r="A37" s="61"/>
      <c r="B37" s="62"/>
      <c r="C37" s="62"/>
      <c r="D37" s="62"/>
      <c r="E37" s="70" t="s">
        <v>4769</v>
      </c>
      <c r="F37" s="63" t="s">
        <v>4768</v>
      </c>
      <c r="G37" s="62" t="s">
        <v>3217</v>
      </c>
      <c r="H37" s="64">
        <v>500000</v>
      </c>
      <c r="I37" s="65"/>
    </row>
    <row r="38" spans="1:16">
      <c r="A38" s="61"/>
      <c r="B38" s="62"/>
      <c r="C38" s="62"/>
      <c r="D38" s="62"/>
      <c r="E38" s="70" t="s">
        <v>4770</v>
      </c>
      <c r="F38" s="63" t="s">
        <v>4771</v>
      </c>
      <c r="G38" s="62" t="s">
        <v>1032</v>
      </c>
      <c r="H38" s="64">
        <v>500000</v>
      </c>
      <c r="I38" s="65"/>
    </row>
    <row r="39" spans="1:16">
      <c r="A39" s="71"/>
      <c r="B39" s="72"/>
      <c r="C39" s="72"/>
      <c r="D39" s="72"/>
      <c r="E39" s="73" t="s">
        <v>4772</v>
      </c>
      <c r="F39" s="63" t="s">
        <v>4773</v>
      </c>
      <c r="G39" s="62" t="s">
        <v>4774</v>
      </c>
      <c r="H39" s="64">
        <v>500000</v>
      </c>
      <c r="I39" s="76"/>
      <c r="L39" s="51" t="s">
        <v>4751</v>
      </c>
    </row>
    <row r="40" spans="1:16" ht="24" customHeight="1">
      <c r="A40" s="71"/>
      <c r="B40" s="72"/>
      <c r="C40" s="72"/>
      <c r="D40" s="72"/>
      <c r="E40" s="73" t="s">
        <v>4775</v>
      </c>
      <c r="F40" s="74" t="s">
        <v>4776</v>
      </c>
      <c r="G40" s="72" t="s">
        <v>4777</v>
      </c>
      <c r="H40" s="64">
        <v>500000</v>
      </c>
      <c r="I40" s="76"/>
      <c r="L40" s="91" t="s">
        <v>4638</v>
      </c>
      <c r="M40" s="91" t="s">
        <v>974</v>
      </c>
      <c r="N40" s="91" t="s">
        <v>975</v>
      </c>
      <c r="O40" s="92" t="s">
        <v>976</v>
      </c>
    </row>
    <row r="41" spans="1:16" ht="24.75" customHeight="1">
      <c r="A41" s="71"/>
      <c r="B41" s="72"/>
      <c r="C41" s="72"/>
      <c r="D41" s="72"/>
      <c r="E41" s="73" t="s">
        <v>4778</v>
      </c>
      <c r="F41" s="74" t="s">
        <v>3027</v>
      </c>
      <c r="G41" s="72" t="s">
        <v>1045</v>
      </c>
      <c r="H41" s="64">
        <v>500000</v>
      </c>
      <c r="I41" s="76"/>
      <c r="L41" s="93"/>
      <c r="M41" s="794" t="s">
        <v>4779</v>
      </c>
      <c r="N41" s="93" t="s">
        <v>4780</v>
      </c>
      <c r="O41" s="94">
        <v>500000</v>
      </c>
      <c r="P41" s="757" t="s">
        <v>4781</v>
      </c>
    </row>
    <row r="42" spans="1:16" ht="24.75" customHeight="1">
      <c r="A42" s="71"/>
      <c r="B42" s="72"/>
      <c r="C42" s="72"/>
      <c r="D42" s="72"/>
      <c r="E42" s="73" t="s">
        <v>4782</v>
      </c>
      <c r="F42" s="74" t="s">
        <v>4783</v>
      </c>
      <c r="G42" s="72" t="s">
        <v>1902</v>
      </c>
      <c r="H42" s="64">
        <v>500000</v>
      </c>
      <c r="I42" s="76"/>
      <c r="L42" s="93"/>
      <c r="M42" s="795"/>
      <c r="N42" s="93"/>
      <c r="O42" s="94"/>
      <c r="P42" s="757"/>
    </row>
    <row r="43" spans="1:16" ht="24.75" customHeight="1">
      <c r="A43" s="71"/>
      <c r="B43" s="72"/>
      <c r="C43" s="72"/>
      <c r="D43" s="72"/>
      <c r="E43" s="73" t="s">
        <v>4784</v>
      </c>
      <c r="F43" s="74" t="s">
        <v>4785</v>
      </c>
      <c r="G43" s="72" t="s">
        <v>4786</v>
      </c>
      <c r="H43" s="64">
        <v>500000</v>
      </c>
      <c r="I43" s="76"/>
      <c r="L43" s="93"/>
      <c r="M43" s="795"/>
      <c r="N43" s="93"/>
      <c r="O43" s="94"/>
      <c r="P43" s="757"/>
    </row>
    <row r="44" spans="1:16" ht="24.75" customHeight="1">
      <c r="A44" s="71"/>
      <c r="B44" s="72"/>
      <c r="C44" s="72"/>
      <c r="D44" s="72"/>
      <c r="E44" s="73" t="s">
        <v>4787</v>
      </c>
      <c r="F44" s="74" t="s">
        <v>4788</v>
      </c>
      <c r="G44" s="72" t="s">
        <v>4789</v>
      </c>
      <c r="H44" s="64">
        <v>500000</v>
      </c>
      <c r="I44" s="76"/>
      <c r="L44" s="93"/>
      <c r="M44" s="795"/>
      <c r="N44" s="93"/>
      <c r="O44" s="94"/>
      <c r="P44" s="757"/>
    </row>
    <row r="45" spans="1:16" ht="24.75" customHeight="1">
      <c r="A45" s="71"/>
      <c r="B45" s="72"/>
      <c r="C45" s="72"/>
      <c r="D45" s="72"/>
      <c r="E45" s="73" t="s">
        <v>4790</v>
      </c>
      <c r="F45" s="74" t="s">
        <v>4791</v>
      </c>
      <c r="G45" s="72" t="s">
        <v>3992</v>
      </c>
      <c r="H45" s="64">
        <v>500000</v>
      </c>
      <c r="I45" s="76"/>
      <c r="L45" s="93"/>
      <c r="M45" s="795"/>
      <c r="N45" s="93"/>
      <c r="O45" s="94"/>
      <c r="P45" s="757"/>
    </row>
    <row r="46" spans="1:16" ht="24.75" customHeight="1">
      <c r="A46" s="71"/>
      <c r="B46" s="72"/>
      <c r="C46" s="72"/>
      <c r="D46" s="72"/>
      <c r="E46" s="73" t="s">
        <v>4792</v>
      </c>
      <c r="F46" s="74" t="s">
        <v>4793</v>
      </c>
      <c r="G46" s="72" t="s">
        <v>3069</v>
      </c>
      <c r="H46" s="64">
        <v>500000</v>
      </c>
      <c r="I46" s="76"/>
      <c r="L46" s="93"/>
      <c r="M46" s="795"/>
      <c r="N46" s="93"/>
      <c r="O46" s="94"/>
      <c r="P46" s="757"/>
    </row>
    <row r="47" spans="1:16" ht="24.75" customHeight="1">
      <c r="A47" s="71"/>
      <c r="B47" s="72"/>
      <c r="C47" s="72"/>
      <c r="D47" s="72"/>
      <c r="E47" s="73" t="s">
        <v>4794</v>
      </c>
      <c r="F47" s="74" t="s">
        <v>712</v>
      </c>
      <c r="G47" s="72" t="s">
        <v>4795</v>
      </c>
      <c r="H47" s="64">
        <v>500000</v>
      </c>
      <c r="I47" s="76"/>
      <c r="L47" s="93"/>
      <c r="M47" s="795"/>
      <c r="N47" s="93"/>
      <c r="O47" s="94"/>
      <c r="P47" s="757"/>
    </row>
    <row r="48" spans="1:16" ht="24.75" customHeight="1">
      <c r="A48" s="71"/>
      <c r="B48" s="72"/>
      <c r="C48" s="72"/>
      <c r="D48" s="72"/>
      <c r="E48" s="73" t="s">
        <v>1066</v>
      </c>
      <c r="F48" s="74"/>
      <c r="G48" s="72" t="s">
        <v>4795</v>
      </c>
      <c r="H48" s="75">
        <v>-500000</v>
      </c>
      <c r="I48" s="76"/>
      <c r="L48" s="93"/>
      <c r="M48" s="795"/>
      <c r="N48" s="93"/>
      <c r="O48" s="94"/>
      <c r="P48" s="757"/>
    </row>
    <row r="49" spans="1:16" ht="24.75" customHeight="1">
      <c r="A49" s="71"/>
      <c r="B49" s="72"/>
      <c r="C49" s="72"/>
      <c r="D49" s="72"/>
      <c r="E49" s="73" t="s">
        <v>703</v>
      </c>
      <c r="F49" s="74"/>
      <c r="G49" s="72" t="s">
        <v>4795</v>
      </c>
      <c r="H49" s="75">
        <v>60000</v>
      </c>
      <c r="I49" s="76"/>
      <c r="L49" s="93"/>
      <c r="M49" s="795"/>
      <c r="N49" s="93"/>
      <c r="O49" s="94"/>
      <c r="P49" s="757"/>
    </row>
    <row r="50" spans="1:16" ht="24.75" customHeight="1">
      <c r="A50" s="71"/>
      <c r="B50" s="72"/>
      <c r="C50" s="72"/>
      <c r="D50" s="72"/>
      <c r="E50" s="73"/>
      <c r="F50" s="74"/>
      <c r="G50" s="72"/>
      <c r="H50" s="75"/>
      <c r="I50" s="76"/>
      <c r="L50" s="93"/>
      <c r="M50" s="795"/>
      <c r="N50" s="93"/>
      <c r="O50" s="94"/>
      <c r="P50" s="757"/>
    </row>
    <row r="51" spans="1:16" ht="24.75" customHeight="1">
      <c r="A51" s="71"/>
      <c r="B51" s="72"/>
      <c r="C51" s="72"/>
      <c r="D51" s="72"/>
      <c r="E51" s="73"/>
      <c r="F51" s="74"/>
      <c r="G51" s="72"/>
      <c r="H51" s="75"/>
      <c r="I51" s="76"/>
      <c r="L51" s="93"/>
      <c r="M51" s="795"/>
      <c r="N51" s="93"/>
      <c r="O51" s="94"/>
      <c r="P51" s="757"/>
    </row>
    <row r="52" spans="1:16" ht="24.75" customHeight="1">
      <c r="A52" s="71"/>
      <c r="B52" s="72"/>
      <c r="C52" s="72"/>
      <c r="D52" s="72"/>
      <c r="E52" s="73"/>
      <c r="F52" s="74"/>
      <c r="G52" s="72"/>
      <c r="H52" s="75"/>
      <c r="I52" s="76"/>
      <c r="L52" s="93"/>
      <c r="M52" s="795"/>
      <c r="N52" s="93"/>
      <c r="O52" s="94"/>
      <c r="P52" s="757"/>
    </row>
    <row r="53" spans="1:16" ht="24.75" customHeight="1">
      <c r="A53" s="71"/>
      <c r="B53" s="72"/>
      <c r="C53" s="72"/>
      <c r="D53" s="72"/>
      <c r="E53" s="73"/>
      <c r="F53" s="74"/>
      <c r="G53" s="72"/>
      <c r="H53" s="75"/>
      <c r="I53" s="76"/>
      <c r="L53" s="93"/>
      <c r="M53" s="795"/>
      <c r="N53" s="93"/>
      <c r="O53" s="94"/>
      <c r="P53" s="757"/>
    </row>
    <row r="54" spans="1:16" ht="24.75" customHeight="1">
      <c r="A54" s="71"/>
      <c r="B54" s="72"/>
      <c r="C54" s="72"/>
      <c r="D54" s="72"/>
      <c r="E54" s="73"/>
      <c r="F54" s="74"/>
      <c r="G54" s="72"/>
      <c r="H54" s="75"/>
      <c r="I54" s="76"/>
      <c r="L54" s="93"/>
      <c r="M54" s="795"/>
      <c r="N54" s="93"/>
      <c r="O54" s="94"/>
      <c r="P54" s="757"/>
    </row>
    <row r="55" spans="1:16" ht="24.75" customHeight="1">
      <c r="A55" s="81"/>
      <c r="B55" s="82"/>
      <c r="C55" s="82"/>
      <c r="D55" s="82"/>
      <c r="E55" s="82"/>
      <c r="F55" s="83"/>
      <c r="G55" s="82"/>
      <c r="H55" s="84">
        <f>SUM(H36:H54)</f>
        <v>5560000</v>
      </c>
      <c r="I55" s="85"/>
      <c r="L55" s="93"/>
      <c r="M55" s="795"/>
      <c r="N55" s="93" t="s">
        <v>4796</v>
      </c>
      <c r="O55" s="94">
        <v>500000</v>
      </c>
      <c r="P55" s="757"/>
    </row>
    <row r="56" spans="1:16" ht="24.75" customHeight="1">
      <c r="L56" s="93"/>
      <c r="M56" s="795"/>
      <c r="N56" s="93" t="s">
        <v>4797</v>
      </c>
      <c r="O56" s="94">
        <v>500000</v>
      </c>
      <c r="P56" s="757"/>
    </row>
    <row r="57" spans="1:16" ht="24.75" customHeight="1">
      <c r="L57" s="93"/>
      <c r="M57" s="796"/>
      <c r="N57" s="93" t="s">
        <v>4798</v>
      </c>
      <c r="O57" s="94">
        <v>500000</v>
      </c>
      <c r="P57" s="757"/>
    </row>
    <row r="58" spans="1:16" ht="24.75" customHeight="1">
      <c r="L58" s="93"/>
      <c r="M58" s="93"/>
      <c r="N58" s="93"/>
      <c r="O58" s="93"/>
    </row>
    <row r="60" spans="1:16" ht="18.75">
      <c r="A60" s="651" t="s">
        <v>2191</v>
      </c>
      <c r="B60" s="651"/>
      <c r="C60" s="651"/>
      <c r="D60" s="651"/>
      <c r="E60" s="651"/>
      <c r="F60" s="651"/>
      <c r="G60" s="651"/>
      <c r="H60" s="651"/>
      <c r="I60" s="651"/>
      <c r="L60" s="51" t="s">
        <v>4751</v>
      </c>
    </row>
    <row r="61" spans="1:16" ht="28.5">
      <c r="A61" s="52" t="s">
        <v>818</v>
      </c>
      <c r="B61" s="53" t="s">
        <v>697</v>
      </c>
      <c r="C61" s="53" t="s">
        <v>12</v>
      </c>
      <c r="D61" s="53" t="s">
        <v>819</v>
      </c>
      <c r="E61" s="54" t="s">
        <v>699</v>
      </c>
      <c r="F61" s="54" t="s">
        <v>657</v>
      </c>
      <c r="G61" s="53" t="s">
        <v>700</v>
      </c>
      <c r="H61" s="54" t="s">
        <v>660</v>
      </c>
      <c r="I61" s="55" t="s">
        <v>27</v>
      </c>
      <c r="L61" s="91" t="s">
        <v>4638</v>
      </c>
      <c r="M61" s="91" t="s">
        <v>974</v>
      </c>
      <c r="N61" s="91" t="s">
        <v>975</v>
      </c>
      <c r="O61" s="92" t="s">
        <v>976</v>
      </c>
    </row>
    <row r="62" spans="1:16">
      <c r="A62" s="61">
        <v>1</v>
      </c>
      <c r="B62" s="62" t="s">
        <v>94</v>
      </c>
      <c r="C62" s="62" t="s">
        <v>92</v>
      </c>
      <c r="D62" s="62" t="s">
        <v>95</v>
      </c>
      <c r="E62" s="62" t="s">
        <v>703</v>
      </c>
      <c r="F62" s="63"/>
      <c r="G62" s="62" t="s">
        <v>4799</v>
      </c>
      <c r="H62" s="64">
        <v>600000</v>
      </c>
      <c r="I62" s="65"/>
      <c r="L62" s="93"/>
      <c r="M62" s="797" t="s">
        <v>4800</v>
      </c>
      <c r="N62" s="93" t="s">
        <v>4801</v>
      </c>
      <c r="O62" s="93">
        <v>500000</v>
      </c>
      <c r="P62" s="800" t="s">
        <v>4802</v>
      </c>
    </row>
    <row r="63" spans="1:16">
      <c r="A63" s="61"/>
      <c r="B63" s="62"/>
      <c r="C63" s="62" t="s">
        <v>876</v>
      </c>
      <c r="D63" s="62"/>
      <c r="E63" s="70" t="s">
        <v>4803</v>
      </c>
      <c r="F63" s="63"/>
      <c r="G63" s="62" t="s">
        <v>4799</v>
      </c>
      <c r="H63" s="64">
        <v>600000</v>
      </c>
      <c r="I63" s="65"/>
      <c r="L63" s="93"/>
      <c r="M63" s="798"/>
      <c r="N63" s="93" t="s">
        <v>4804</v>
      </c>
      <c r="O63" s="93">
        <v>500000</v>
      </c>
      <c r="P63" s="800"/>
    </row>
    <row r="64" spans="1:16">
      <c r="A64" s="61"/>
      <c r="B64" s="62"/>
      <c r="C64" s="95" t="s">
        <v>128</v>
      </c>
      <c r="D64" s="62"/>
      <c r="E64" s="70"/>
      <c r="F64" s="63"/>
      <c r="G64" s="62"/>
      <c r="H64" s="64"/>
      <c r="I64" s="65"/>
      <c r="L64" s="93"/>
      <c r="M64" s="798"/>
      <c r="N64" s="93" t="s">
        <v>4805</v>
      </c>
      <c r="O64" s="93">
        <v>500000</v>
      </c>
      <c r="P64" s="800"/>
    </row>
    <row r="65" spans="1:16">
      <c r="A65" s="71"/>
      <c r="B65" s="72"/>
      <c r="C65" s="72"/>
      <c r="D65" s="72"/>
      <c r="E65" s="73" t="s">
        <v>4806</v>
      </c>
      <c r="F65" s="63" t="s">
        <v>4807</v>
      </c>
      <c r="G65" s="62" t="s">
        <v>4501</v>
      </c>
      <c r="H65" s="64">
        <v>1200000</v>
      </c>
      <c r="I65" s="76"/>
      <c r="L65" s="93"/>
      <c r="M65" s="798"/>
      <c r="N65" s="93" t="s">
        <v>4808</v>
      </c>
      <c r="O65" s="93">
        <v>500000</v>
      </c>
      <c r="P65" s="800"/>
    </row>
    <row r="66" spans="1:16">
      <c r="A66" s="71"/>
      <c r="B66" s="72"/>
      <c r="C66" s="72"/>
      <c r="D66" s="72"/>
      <c r="E66" s="73" t="s">
        <v>4809</v>
      </c>
      <c r="F66" s="74" t="s">
        <v>4810</v>
      </c>
      <c r="G66" s="72" t="s">
        <v>857</v>
      </c>
      <c r="H66" s="64">
        <v>600000</v>
      </c>
      <c r="I66" s="76"/>
      <c r="L66" s="93"/>
      <c r="M66" s="798"/>
      <c r="N66" s="93" t="s">
        <v>4811</v>
      </c>
      <c r="O66" s="93">
        <v>500000</v>
      </c>
      <c r="P66" s="800"/>
    </row>
    <row r="67" spans="1:16">
      <c r="A67" s="71"/>
      <c r="B67" s="72"/>
      <c r="C67" s="72"/>
      <c r="D67" s="72"/>
      <c r="E67" s="73" t="s">
        <v>1089</v>
      </c>
      <c r="F67" s="74" t="s">
        <v>4812</v>
      </c>
      <c r="G67" s="72" t="s">
        <v>2775</v>
      </c>
      <c r="H67" s="64">
        <v>600000</v>
      </c>
      <c r="I67" s="76"/>
      <c r="L67" s="93"/>
      <c r="M67" s="798"/>
      <c r="N67" s="93" t="s">
        <v>4813</v>
      </c>
      <c r="O67" s="93">
        <v>500000</v>
      </c>
      <c r="P67" s="800"/>
    </row>
    <row r="68" spans="1:16">
      <c r="A68" s="71"/>
      <c r="B68" s="72"/>
      <c r="C68" s="72"/>
      <c r="D68" s="72"/>
      <c r="E68" s="73" t="s">
        <v>1090</v>
      </c>
      <c r="F68" s="74" t="s">
        <v>4814</v>
      </c>
      <c r="G68" s="72" t="s">
        <v>2064</v>
      </c>
      <c r="H68" s="64">
        <v>600000</v>
      </c>
      <c r="I68" s="76"/>
      <c r="L68" s="93"/>
      <c r="M68" s="799"/>
      <c r="N68" s="93" t="s">
        <v>4815</v>
      </c>
      <c r="O68" s="93">
        <v>500000</v>
      </c>
      <c r="P68" s="800"/>
    </row>
    <row r="69" spans="1:16">
      <c r="A69" s="71"/>
      <c r="B69" s="72"/>
      <c r="C69" s="72"/>
      <c r="D69" s="72"/>
      <c r="E69" s="73" t="s">
        <v>1091</v>
      </c>
      <c r="F69" s="74" t="s">
        <v>4506</v>
      </c>
      <c r="G69" s="72" t="s">
        <v>4507</v>
      </c>
      <c r="H69" s="64">
        <v>600000</v>
      </c>
      <c r="I69" s="76"/>
      <c r="L69" s="93"/>
      <c r="M69" s="93"/>
      <c r="N69" s="93"/>
      <c r="O69" s="93"/>
    </row>
    <row r="70" spans="1:16">
      <c r="A70" s="71"/>
      <c r="B70" s="72"/>
      <c r="C70" s="72"/>
      <c r="D70" s="72"/>
      <c r="E70" s="73"/>
      <c r="F70" s="74"/>
      <c r="G70" s="72"/>
      <c r="H70" s="64"/>
      <c r="I70" s="76"/>
      <c r="L70" s="93"/>
      <c r="M70" s="93"/>
      <c r="N70" s="93"/>
      <c r="O70" s="465">
        <f>SUM(O62:O68)</f>
        <v>3500000</v>
      </c>
    </row>
    <row r="71" spans="1:16">
      <c r="A71" s="71"/>
      <c r="B71" s="72"/>
      <c r="C71" s="72"/>
      <c r="D71" s="72"/>
      <c r="E71" s="73"/>
      <c r="F71" s="74"/>
      <c r="G71" s="72"/>
      <c r="H71" s="64"/>
      <c r="I71" s="76"/>
      <c r="L71" s="93"/>
      <c r="M71" s="93"/>
      <c r="N71" s="93"/>
      <c r="O71" s="93"/>
    </row>
    <row r="72" spans="1:16">
      <c r="A72" s="71"/>
      <c r="B72" s="72"/>
      <c r="C72" s="72"/>
      <c r="D72" s="72"/>
      <c r="E72" s="73"/>
      <c r="F72" s="74"/>
      <c r="G72" s="72"/>
      <c r="H72" s="64"/>
      <c r="I72" s="76"/>
      <c r="L72" s="93"/>
      <c r="M72" s="93"/>
      <c r="N72" s="93"/>
      <c r="O72" s="93"/>
    </row>
    <row r="73" spans="1:16">
      <c r="A73" s="71"/>
      <c r="B73" s="72"/>
      <c r="C73" s="72"/>
      <c r="D73" s="72"/>
      <c r="E73" s="73"/>
      <c r="F73" s="74"/>
      <c r="G73" s="72"/>
      <c r="H73" s="64"/>
      <c r="I73" s="76"/>
      <c r="L73" s="93"/>
      <c r="M73" s="93"/>
      <c r="N73" s="93"/>
      <c r="O73" s="93"/>
    </row>
    <row r="74" spans="1:16">
      <c r="A74" s="71"/>
      <c r="B74" s="72"/>
      <c r="C74" s="72"/>
      <c r="D74" s="72"/>
      <c r="E74" s="73"/>
      <c r="F74" s="74"/>
      <c r="G74" s="72"/>
      <c r="H74" s="75"/>
      <c r="I74" s="76"/>
      <c r="L74" s="93"/>
      <c r="M74" s="93"/>
      <c r="N74" s="93"/>
      <c r="O74" s="93"/>
    </row>
    <row r="75" spans="1:16">
      <c r="A75" s="71"/>
      <c r="B75" s="72"/>
      <c r="C75" s="72"/>
      <c r="D75" s="72"/>
      <c r="E75" s="73"/>
      <c r="F75" s="74"/>
      <c r="G75" s="72"/>
      <c r="H75" s="75"/>
      <c r="I75" s="76"/>
      <c r="L75" s="93"/>
      <c r="M75" s="93"/>
      <c r="N75" s="93"/>
      <c r="O75" s="93"/>
    </row>
    <row r="76" spans="1:16">
      <c r="A76" s="71"/>
      <c r="B76" s="72"/>
      <c r="C76" s="72"/>
      <c r="D76" s="72"/>
      <c r="E76" s="73"/>
      <c r="F76" s="74"/>
      <c r="G76" s="72"/>
      <c r="H76" s="75"/>
      <c r="I76" s="76"/>
      <c r="L76" s="93"/>
      <c r="M76" s="93"/>
      <c r="N76" s="93"/>
      <c r="O76" s="93"/>
    </row>
    <row r="77" spans="1:16">
      <c r="A77" s="71"/>
      <c r="B77" s="72"/>
      <c r="C77" s="72"/>
      <c r="D77" s="72"/>
      <c r="E77" s="73"/>
      <c r="F77" s="74"/>
      <c r="G77" s="72"/>
      <c r="H77" s="75"/>
      <c r="I77" s="76"/>
      <c r="L77" s="93"/>
      <c r="M77" s="93"/>
      <c r="N77" s="93"/>
      <c r="O77" s="93"/>
    </row>
    <row r="78" spans="1:16">
      <c r="A78" s="71"/>
      <c r="B78" s="72"/>
      <c r="C78" s="72"/>
      <c r="D78" s="72"/>
      <c r="E78" s="73"/>
      <c r="F78" s="74"/>
      <c r="G78" s="72"/>
      <c r="H78" s="75"/>
      <c r="I78" s="76"/>
      <c r="L78" s="93"/>
      <c r="M78" s="93"/>
      <c r="N78" s="93"/>
      <c r="O78" s="93"/>
    </row>
    <row r="79" spans="1:16">
      <c r="A79" s="71"/>
      <c r="B79" s="72"/>
      <c r="C79" s="72"/>
      <c r="D79" s="72"/>
      <c r="E79" s="73"/>
      <c r="F79" s="74"/>
      <c r="G79" s="72"/>
      <c r="H79" s="75"/>
      <c r="I79" s="76"/>
      <c r="L79" s="93"/>
      <c r="M79" s="93"/>
      <c r="N79" s="93"/>
      <c r="O79" s="93"/>
    </row>
    <row r="80" spans="1:16">
      <c r="A80" s="71"/>
      <c r="B80" s="72"/>
      <c r="C80" s="72"/>
      <c r="D80" s="72"/>
      <c r="E80" s="73"/>
      <c r="F80" s="74"/>
      <c r="G80" s="72"/>
      <c r="H80" s="75"/>
      <c r="I80" s="76"/>
      <c r="L80" s="93"/>
      <c r="M80" s="93"/>
      <c r="N80" s="93"/>
      <c r="O80" s="93"/>
    </row>
    <row r="81" spans="1:9">
      <c r="A81" s="81"/>
      <c r="B81" s="82"/>
      <c r="C81" s="82"/>
      <c r="D81" s="82"/>
      <c r="E81" s="82"/>
      <c r="F81" s="83"/>
      <c r="G81" s="82"/>
      <c r="H81" s="84">
        <f>SUM(H62:H80)</f>
        <v>4800000</v>
      </c>
      <c r="I81" s="85"/>
    </row>
    <row r="84" spans="1:9">
      <c r="A84" s="411" t="s">
        <v>648</v>
      </c>
    </row>
    <row r="85" spans="1:9" ht="18.75">
      <c r="A85" s="651" t="s">
        <v>4816</v>
      </c>
      <c r="B85" s="651"/>
      <c r="C85" s="651"/>
      <c r="D85" s="651"/>
      <c r="E85" s="651"/>
      <c r="F85" s="651"/>
      <c r="G85" s="651"/>
      <c r="H85" s="651"/>
      <c r="I85" s="651"/>
    </row>
    <row r="86" spans="1:9" ht="28.5">
      <c r="A86" s="52" t="s">
        <v>818</v>
      </c>
      <c r="B86" s="53" t="s">
        <v>697</v>
      </c>
      <c r="C86" s="53" t="s">
        <v>12</v>
      </c>
      <c r="D86" s="53" t="s">
        <v>819</v>
      </c>
      <c r="E86" s="54" t="s">
        <v>699</v>
      </c>
      <c r="F86" s="54" t="s">
        <v>657</v>
      </c>
      <c r="G86" s="53" t="s">
        <v>700</v>
      </c>
      <c r="H86" s="54" t="s">
        <v>660</v>
      </c>
      <c r="I86" s="55" t="s">
        <v>27</v>
      </c>
    </row>
    <row r="87" spans="1:9">
      <c r="A87" s="61">
        <v>1</v>
      </c>
      <c r="B87" s="62" t="s">
        <v>94</v>
      </c>
      <c r="C87" s="62" t="s">
        <v>92</v>
      </c>
      <c r="D87" s="62" t="s">
        <v>95</v>
      </c>
      <c r="E87" s="62" t="s">
        <v>703</v>
      </c>
      <c r="F87" s="63" t="s">
        <v>4817</v>
      </c>
      <c r="G87" s="62" t="s">
        <v>917</v>
      </c>
      <c r="H87" s="64">
        <v>800000</v>
      </c>
      <c r="I87" s="65"/>
    </row>
    <row r="88" spans="1:9">
      <c r="A88" s="61"/>
      <c r="B88" s="62"/>
      <c r="C88" s="62"/>
      <c r="D88" s="62"/>
      <c r="E88" s="70" t="s">
        <v>1091</v>
      </c>
      <c r="F88" s="63" t="s">
        <v>4817</v>
      </c>
      <c r="G88" s="62" t="s">
        <v>917</v>
      </c>
      <c r="H88" s="64">
        <v>800000</v>
      </c>
      <c r="I88" s="65"/>
    </row>
    <row r="89" spans="1:9">
      <c r="A89" s="71"/>
      <c r="B89" s="72"/>
      <c r="C89" s="72"/>
      <c r="D89" s="72"/>
      <c r="E89" s="73" t="s">
        <v>1092</v>
      </c>
      <c r="F89" s="74" t="s">
        <v>4818</v>
      </c>
      <c r="G89" s="72" t="s">
        <v>3804</v>
      </c>
      <c r="H89" s="64">
        <v>800000</v>
      </c>
      <c r="I89" s="76" t="s">
        <v>4819</v>
      </c>
    </row>
    <row r="90" spans="1:9">
      <c r="A90" s="71"/>
      <c r="B90" s="72"/>
      <c r="C90" s="72"/>
      <c r="D90" s="72"/>
      <c r="E90" s="73" t="s">
        <v>4820</v>
      </c>
      <c r="F90" s="74" t="s">
        <v>4821</v>
      </c>
      <c r="G90" s="72" t="s">
        <v>4822</v>
      </c>
      <c r="H90" s="64">
        <v>800000</v>
      </c>
      <c r="I90" s="76"/>
    </row>
    <row r="91" spans="1:9">
      <c r="A91" s="71"/>
      <c r="B91" s="72"/>
      <c r="C91" s="72"/>
      <c r="D91" s="72"/>
      <c r="E91" s="73" t="s">
        <v>2573</v>
      </c>
      <c r="F91" s="74" t="s">
        <v>4821</v>
      </c>
      <c r="G91" s="72" t="s">
        <v>4822</v>
      </c>
      <c r="H91" s="64">
        <v>800000</v>
      </c>
      <c r="I91" s="76"/>
    </row>
    <row r="92" spans="1:9">
      <c r="A92" s="71"/>
      <c r="B92" s="72"/>
      <c r="C92" s="72"/>
      <c r="D92" s="72"/>
      <c r="E92" s="73"/>
      <c r="F92" s="74"/>
      <c r="G92" s="72"/>
      <c r="H92" s="75"/>
      <c r="I92" s="76"/>
    </row>
    <row r="93" spans="1:9">
      <c r="A93" s="71"/>
      <c r="B93" s="72"/>
      <c r="C93" s="72"/>
      <c r="D93" s="72"/>
      <c r="E93" s="73"/>
      <c r="F93" s="74"/>
      <c r="G93" s="72"/>
      <c r="H93" s="75"/>
      <c r="I93" s="76"/>
    </row>
    <row r="94" spans="1:9">
      <c r="A94" s="71"/>
      <c r="B94" s="72"/>
      <c r="C94" s="72"/>
      <c r="D94" s="72"/>
      <c r="E94" s="73"/>
      <c r="F94" s="74"/>
      <c r="G94" s="72"/>
      <c r="H94" s="75"/>
      <c r="I94" s="76"/>
    </row>
    <row r="95" spans="1:9">
      <c r="A95" s="71"/>
      <c r="B95" s="72"/>
      <c r="C95" s="72"/>
      <c r="D95" s="72"/>
      <c r="E95" s="73"/>
      <c r="F95" s="74"/>
      <c r="G95" s="72"/>
      <c r="H95" s="75"/>
      <c r="I95" s="76"/>
    </row>
    <row r="96" spans="1:9">
      <c r="A96" s="71"/>
      <c r="B96" s="72"/>
      <c r="C96" s="72"/>
      <c r="D96" s="72"/>
      <c r="E96" s="73"/>
      <c r="F96" s="74"/>
      <c r="G96" s="72"/>
      <c r="H96" s="75"/>
      <c r="I96" s="76"/>
    </row>
    <row r="97" spans="1:9">
      <c r="A97" s="71"/>
      <c r="B97" s="72"/>
      <c r="C97" s="72"/>
      <c r="D97" s="72"/>
      <c r="E97" s="73"/>
      <c r="F97" s="74"/>
      <c r="G97" s="72"/>
      <c r="H97" s="75"/>
      <c r="I97" s="76"/>
    </row>
    <row r="98" spans="1:9">
      <c r="A98" s="71"/>
      <c r="B98" s="72"/>
      <c r="C98" s="72"/>
      <c r="D98" s="72"/>
      <c r="E98" s="73"/>
      <c r="F98" s="74"/>
      <c r="G98" s="72"/>
      <c r="H98" s="75"/>
      <c r="I98" s="76"/>
    </row>
    <row r="99" spans="1:9">
      <c r="A99" s="81"/>
      <c r="B99" s="82"/>
      <c r="C99" s="82"/>
      <c r="D99" s="82"/>
      <c r="E99" s="82"/>
      <c r="F99" s="83"/>
      <c r="G99" s="82"/>
      <c r="H99" s="84">
        <f>SUM(H87:H98)</f>
        <v>4000000</v>
      </c>
      <c r="I99" s="85"/>
    </row>
  </sheetData>
  <mergeCells count="10">
    <mergeCell ref="M41:M57"/>
    <mergeCell ref="P41:P57"/>
    <mergeCell ref="A60:I60"/>
    <mergeCell ref="A85:I85"/>
    <mergeCell ref="A2:I2"/>
    <mergeCell ref="A14:I14"/>
    <mergeCell ref="A24:I24"/>
    <mergeCell ref="A34:I34"/>
    <mergeCell ref="M62:M68"/>
    <mergeCell ref="P62:P68"/>
  </mergeCells>
  <hyperlinks>
    <hyperlink ref="B1" location="Name!A1" display="Name!A1" xr:uid="{AFBEC52A-C8EF-4B85-A50E-7174E2F3EF83}"/>
    <hyperlink ref="A84" location="Name!A1" display="Name!A1" xr:uid="{FDEB3774-7BCD-4B8B-AFF1-EB0DC33752ED}"/>
  </hyperlinks>
  <pageMargins left="0.7" right="0.7" top="0.75" bottom="0.75" header="0.3" footer="0.3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45D1-7271-410C-9C96-BC4728BA322F}">
  <dimension ref="A1:I28"/>
  <sheetViews>
    <sheetView workbookViewId="0">
      <selection activeCell="A18" sqref="A18"/>
    </sheetView>
  </sheetViews>
  <sheetFormatPr defaultRowHeight="15"/>
  <cols>
    <col min="2" max="3" width="15.28515625" customWidth="1"/>
    <col min="4" max="4" width="22.42578125" customWidth="1"/>
    <col min="6" max="6" width="14.42578125" customWidth="1"/>
    <col min="7" max="7" width="12.5703125" customWidth="1"/>
    <col min="8" max="8" width="33.85546875" customWidth="1"/>
  </cols>
  <sheetData>
    <row r="1" spans="1:9">
      <c r="A1" s="410" t="s">
        <v>648</v>
      </c>
    </row>
    <row r="2" spans="1:9" ht="18.75">
      <c r="A2" s="651" t="s">
        <v>4823</v>
      </c>
      <c r="B2" s="651"/>
      <c r="C2" s="651"/>
      <c r="D2" s="651"/>
      <c r="E2" s="651"/>
      <c r="F2" s="651"/>
      <c r="G2" s="651"/>
      <c r="H2" s="651"/>
    </row>
    <row r="3" spans="1:9" ht="28.5">
      <c r="A3" s="16" t="s">
        <v>2705</v>
      </c>
      <c r="B3" s="17" t="s">
        <v>697</v>
      </c>
      <c r="C3" s="17" t="s">
        <v>12</v>
      </c>
      <c r="D3" s="16" t="s">
        <v>699</v>
      </c>
      <c r="E3" s="16" t="s">
        <v>657</v>
      </c>
      <c r="F3" s="17" t="s">
        <v>700</v>
      </c>
      <c r="G3" s="16" t="s">
        <v>660</v>
      </c>
      <c r="H3" s="16" t="s">
        <v>27</v>
      </c>
    </row>
    <row r="4" spans="1:9">
      <c r="A4" s="18">
        <v>1</v>
      </c>
      <c r="B4" s="18" t="s">
        <v>4824</v>
      </c>
      <c r="C4" s="18" t="s">
        <v>84</v>
      </c>
      <c r="D4" s="34" t="s">
        <v>703</v>
      </c>
      <c r="E4" s="20" t="s">
        <v>4825</v>
      </c>
      <c r="F4" s="18" t="s">
        <v>4826</v>
      </c>
      <c r="G4" s="21">
        <v>600000</v>
      </c>
      <c r="H4" s="21"/>
    </row>
    <row r="5" spans="1:9">
      <c r="A5" s="18"/>
      <c r="B5" s="18"/>
      <c r="C5" s="49"/>
      <c r="D5" s="19" t="s">
        <v>4827</v>
      </c>
      <c r="E5" s="20" t="s">
        <v>4825</v>
      </c>
      <c r="F5" s="18" t="s">
        <v>4826</v>
      </c>
      <c r="G5" s="21">
        <v>1200000</v>
      </c>
      <c r="H5" s="21"/>
    </row>
    <row r="6" spans="1:9">
      <c r="A6" s="18"/>
      <c r="B6" s="18"/>
      <c r="C6" s="18"/>
      <c r="D6" s="22"/>
      <c r="E6" s="20"/>
      <c r="F6" s="18"/>
      <c r="G6" s="21"/>
      <c r="H6" s="21"/>
    </row>
    <row r="7" spans="1:9">
      <c r="A7" s="18"/>
      <c r="B7" s="18"/>
      <c r="C7" s="18"/>
      <c r="D7" s="18"/>
      <c r="E7" s="21"/>
      <c r="F7" s="18"/>
      <c r="G7" s="50">
        <f>SUM(G4:G6)</f>
        <v>1800000</v>
      </c>
      <c r="H7" s="21"/>
    </row>
    <row r="10" spans="1:9" ht="18.75">
      <c r="A10" s="651" t="s">
        <v>4828</v>
      </c>
      <c r="B10" s="651"/>
      <c r="C10" s="651"/>
      <c r="D10" s="651"/>
      <c r="E10" s="651"/>
      <c r="F10" s="651"/>
      <c r="G10" s="651"/>
      <c r="H10" s="651"/>
    </row>
    <row r="11" spans="1:9" ht="28.5">
      <c r="A11" s="16" t="s">
        <v>2705</v>
      </c>
      <c r="B11" s="17" t="s">
        <v>697</v>
      </c>
      <c r="C11" s="17" t="s">
        <v>12</v>
      </c>
      <c r="D11" s="16" t="s">
        <v>699</v>
      </c>
      <c r="E11" s="16" t="s">
        <v>657</v>
      </c>
      <c r="F11" s="17" t="s">
        <v>700</v>
      </c>
      <c r="G11" s="16" t="s">
        <v>660</v>
      </c>
      <c r="H11" s="16" t="s">
        <v>27</v>
      </c>
    </row>
    <row r="12" spans="1:9">
      <c r="A12" s="18">
        <v>1</v>
      </c>
      <c r="B12" s="18" t="s">
        <v>4824</v>
      </c>
      <c r="C12" s="18" t="s">
        <v>84</v>
      </c>
      <c r="D12" s="34" t="s">
        <v>703</v>
      </c>
      <c r="E12" s="20" t="s">
        <v>4829</v>
      </c>
      <c r="F12" s="18"/>
      <c r="G12" s="21">
        <v>600000</v>
      </c>
      <c r="H12" s="21"/>
      <c r="I12" t="s">
        <v>2602</v>
      </c>
    </row>
    <row r="13" spans="1:9">
      <c r="A13" s="18"/>
      <c r="B13" s="18"/>
      <c r="C13" s="49"/>
      <c r="D13" s="19" t="s">
        <v>4830</v>
      </c>
      <c r="E13" s="20" t="s">
        <v>4831</v>
      </c>
      <c r="F13" s="18"/>
      <c r="G13" s="21">
        <v>1800000</v>
      </c>
      <c r="H13" s="21"/>
      <c r="I13" t="s">
        <v>2602</v>
      </c>
    </row>
    <row r="14" spans="1:9">
      <c r="A14" s="18"/>
      <c r="B14" s="18"/>
      <c r="C14" s="18"/>
      <c r="D14" s="22"/>
      <c r="E14" s="20"/>
      <c r="F14" s="18"/>
      <c r="G14" s="21"/>
      <c r="H14" s="21"/>
    </row>
    <row r="15" spans="1:9">
      <c r="A15" s="18"/>
      <c r="B15" s="18"/>
      <c r="C15" s="18"/>
      <c r="D15" s="18"/>
      <c r="E15" s="21"/>
      <c r="F15" s="18"/>
      <c r="G15" s="50">
        <f>SUM(G12:G14)</f>
        <v>2400000</v>
      </c>
      <c r="H15" s="21"/>
    </row>
    <row r="18" spans="1:8">
      <c r="A18" s="410" t="s">
        <v>648</v>
      </c>
    </row>
    <row r="19" spans="1:8" ht="18.75">
      <c r="A19" s="651" t="s">
        <v>85</v>
      </c>
      <c r="B19" s="651"/>
      <c r="C19" s="651"/>
      <c r="D19" s="651"/>
      <c r="E19" s="651"/>
      <c r="F19" s="651"/>
      <c r="G19" s="651"/>
      <c r="H19" s="651"/>
    </row>
    <row r="20" spans="1:8" ht="28.5">
      <c r="A20" s="16" t="s">
        <v>2705</v>
      </c>
      <c r="B20" s="17" t="s">
        <v>697</v>
      </c>
      <c r="C20" s="17" t="s">
        <v>12</v>
      </c>
      <c r="D20" s="16" t="s">
        <v>699</v>
      </c>
      <c r="E20" s="16" t="s">
        <v>657</v>
      </c>
      <c r="F20" s="17" t="s">
        <v>700</v>
      </c>
      <c r="G20" s="16" t="s">
        <v>660</v>
      </c>
      <c r="H20" s="16" t="s">
        <v>27</v>
      </c>
    </row>
    <row r="21" spans="1:8">
      <c r="A21" s="18">
        <v>1</v>
      </c>
      <c r="B21" s="18" t="s">
        <v>4824</v>
      </c>
      <c r="C21" s="18" t="s">
        <v>84</v>
      </c>
      <c r="D21" s="34" t="s">
        <v>4832</v>
      </c>
      <c r="E21" s="20" t="s">
        <v>4833</v>
      </c>
      <c r="F21" s="18" t="s">
        <v>2572</v>
      </c>
      <c r="G21" s="21">
        <v>500000</v>
      </c>
      <c r="H21" s="21" t="s">
        <v>664</v>
      </c>
    </row>
    <row r="22" spans="1:8">
      <c r="A22" s="18"/>
      <c r="B22" s="18"/>
      <c r="C22" s="407"/>
      <c r="D22" s="318" t="s">
        <v>4834</v>
      </c>
      <c r="E22" s="20" t="s">
        <v>4835</v>
      </c>
      <c r="F22" s="18" t="s">
        <v>775</v>
      </c>
      <c r="G22" s="21">
        <v>500000</v>
      </c>
      <c r="H22" s="21" t="s">
        <v>664</v>
      </c>
    </row>
    <row r="23" spans="1:8">
      <c r="A23" s="18"/>
      <c r="B23" s="18"/>
      <c r="C23" s="408"/>
      <c r="D23" s="22" t="s">
        <v>88</v>
      </c>
      <c r="E23" s="20" t="s">
        <v>4836</v>
      </c>
      <c r="F23" s="18" t="s">
        <v>3091</v>
      </c>
      <c r="G23" s="21">
        <v>100000</v>
      </c>
      <c r="H23" s="42" t="s">
        <v>4837</v>
      </c>
    </row>
    <row r="24" spans="1:8">
      <c r="A24" s="18"/>
      <c r="B24" s="18"/>
      <c r="C24" s="408"/>
      <c r="D24" s="22" t="s">
        <v>686</v>
      </c>
      <c r="E24" s="20"/>
      <c r="F24" s="18" t="s">
        <v>3091</v>
      </c>
      <c r="G24" s="21">
        <v>-150000</v>
      </c>
      <c r="H24" s="21"/>
    </row>
    <row r="25" spans="1:8">
      <c r="A25" s="18"/>
      <c r="B25" s="18"/>
      <c r="C25" s="408"/>
      <c r="D25" s="22"/>
      <c r="E25" s="20"/>
      <c r="F25" s="18"/>
      <c r="G25" s="21"/>
      <c r="H25" s="21"/>
    </row>
    <row r="26" spans="1:8">
      <c r="A26" s="18"/>
      <c r="B26" s="18"/>
      <c r="C26" s="408"/>
      <c r="D26" s="22"/>
      <c r="E26" s="20"/>
      <c r="F26" s="18"/>
      <c r="G26" s="21"/>
      <c r="H26" s="21"/>
    </row>
    <row r="27" spans="1:8">
      <c r="A27" s="18"/>
      <c r="B27" s="18"/>
      <c r="C27" s="18"/>
      <c r="D27" s="22"/>
      <c r="E27" s="20"/>
      <c r="F27" s="18"/>
      <c r="G27" s="21"/>
      <c r="H27" s="21"/>
    </row>
    <row r="28" spans="1:8">
      <c r="A28" s="18"/>
      <c r="B28" s="18"/>
      <c r="C28" s="18"/>
      <c r="D28" s="18"/>
      <c r="E28" s="21"/>
      <c r="F28" s="18"/>
      <c r="G28" s="50">
        <f>SUM(G21:G27)</f>
        <v>950000</v>
      </c>
      <c r="H28" s="21"/>
    </row>
  </sheetData>
  <mergeCells count="3">
    <mergeCell ref="A2:H2"/>
    <mergeCell ref="A10:H10"/>
    <mergeCell ref="A19:H19"/>
  </mergeCells>
  <hyperlinks>
    <hyperlink ref="A1" location="Name!A1" display="Name!A1" xr:uid="{03E6CD00-8CD3-4372-850F-769A1A380C23}"/>
    <hyperlink ref="A18" location="Name!A1" display="Name!A1" xr:uid="{CA15A14B-BCA8-456A-9301-B0DCB85C5D04}"/>
  </hyperlinks>
  <pageMargins left="0.7" right="0.7" top="0.75" bottom="0.75" header="0.3" footer="0.3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C35F-1ADE-4402-8571-8450265EAFDF}">
  <dimension ref="A1:N134"/>
  <sheetViews>
    <sheetView workbookViewId="0"/>
  </sheetViews>
  <sheetFormatPr defaultRowHeight="21.75"/>
  <cols>
    <col min="3" max="3" width="17.5703125" customWidth="1"/>
    <col min="5" max="5" width="24.7109375" customWidth="1"/>
    <col min="6" max="6" width="13.85546875" customWidth="1"/>
    <col min="7" max="7" width="9.7109375" customWidth="1"/>
    <col min="8" max="8" width="16" customWidth="1"/>
    <col min="9" max="9" width="40.28515625" customWidth="1"/>
    <col min="10" max="10" width="9.140625" style="25"/>
    <col min="12" max="12" width="8.85546875" style="444"/>
    <col min="13" max="13" width="69.7109375" style="444" customWidth="1"/>
    <col min="14" max="14" width="16.140625" style="447" customWidth="1"/>
  </cols>
  <sheetData>
    <row r="1" spans="1:12">
      <c r="A1" s="410" t="s">
        <v>648</v>
      </c>
    </row>
    <row r="2" spans="1:12" ht="34.5" customHeight="1">
      <c r="A2" s="651" t="s">
        <v>4838</v>
      </c>
      <c r="B2" s="651"/>
      <c r="C2" s="651"/>
      <c r="D2" s="651"/>
      <c r="E2" s="651"/>
      <c r="F2" s="651"/>
      <c r="G2" s="651"/>
      <c r="H2" s="651"/>
      <c r="I2" s="651"/>
    </row>
    <row r="3" spans="1:12" ht="34.5" customHeight="1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2" ht="34.5" customHeight="1">
      <c r="A4" s="18">
        <v>1</v>
      </c>
      <c r="B4" s="18" t="s">
        <v>48</v>
      </c>
      <c r="C4" s="18" t="s">
        <v>71</v>
      </c>
      <c r="D4" s="18" t="s">
        <v>4839</v>
      </c>
      <c r="E4" s="34" t="s">
        <v>703</v>
      </c>
      <c r="F4" s="20" t="s">
        <v>4840</v>
      </c>
      <c r="G4" s="18" t="s">
        <v>1957</v>
      </c>
      <c r="H4" s="21">
        <v>400000</v>
      </c>
      <c r="I4" s="21"/>
    </row>
    <row r="5" spans="1:12" ht="34.5" customHeight="1">
      <c r="A5" s="18"/>
      <c r="B5" s="18"/>
      <c r="C5" s="18"/>
      <c r="D5" s="18"/>
      <c r="E5" s="19" t="s">
        <v>4841</v>
      </c>
      <c r="F5" s="20" t="s">
        <v>4840</v>
      </c>
      <c r="G5" s="18" t="s">
        <v>1957</v>
      </c>
      <c r="H5" s="21">
        <v>400000</v>
      </c>
      <c r="I5" s="21"/>
    </row>
    <row r="6" spans="1:12" ht="34.5" customHeight="1">
      <c r="A6" s="18"/>
      <c r="B6" s="18"/>
      <c r="C6" s="18"/>
      <c r="D6" s="18"/>
      <c r="E6" s="18" t="s">
        <v>1958</v>
      </c>
      <c r="F6" s="20" t="s">
        <v>4842</v>
      </c>
      <c r="G6" s="18" t="s">
        <v>4843</v>
      </c>
      <c r="H6" s="21">
        <v>400000</v>
      </c>
      <c r="I6" s="21"/>
    </row>
    <row r="7" spans="1:12" ht="34.5" customHeight="1">
      <c r="A7" s="18"/>
      <c r="B7" s="18"/>
      <c r="C7" s="18"/>
      <c r="D7" s="18"/>
      <c r="E7" s="18" t="s">
        <v>1961</v>
      </c>
      <c r="F7" s="20" t="s">
        <v>3403</v>
      </c>
      <c r="G7" s="18" t="s">
        <v>4844</v>
      </c>
      <c r="H7" s="21">
        <v>400000</v>
      </c>
      <c r="I7" s="21"/>
    </row>
    <row r="8" spans="1:12" ht="34.5" customHeight="1">
      <c r="A8" s="18"/>
      <c r="B8" s="18"/>
      <c r="C8" s="18"/>
      <c r="D8" s="18"/>
      <c r="E8" s="18" t="s">
        <v>4845</v>
      </c>
      <c r="F8" s="20" t="s">
        <v>3403</v>
      </c>
      <c r="G8" s="18" t="s">
        <v>4844</v>
      </c>
      <c r="H8" s="21">
        <v>400000</v>
      </c>
      <c r="I8" s="21"/>
    </row>
    <row r="9" spans="1:12" ht="34.5" customHeight="1">
      <c r="A9" s="18"/>
      <c r="B9" s="18"/>
      <c r="C9" s="18"/>
      <c r="D9" s="18"/>
      <c r="E9" s="41" t="s">
        <v>1967</v>
      </c>
      <c r="F9" s="20" t="s">
        <v>3403</v>
      </c>
      <c r="G9" s="18" t="s">
        <v>4844</v>
      </c>
      <c r="H9" s="21">
        <v>-400000</v>
      </c>
      <c r="I9" s="21"/>
    </row>
    <row r="10" spans="1:12" ht="34.5" customHeight="1">
      <c r="A10" s="18"/>
      <c r="B10" s="18"/>
      <c r="C10" s="18"/>
      <c r="D10" s="18"/>
      <c r="E10" s="41" t="s">
        <v>4846</v>
      </c>
      <c r="F10" s="42"/>
      <c r="G10" s="41"/>
      <c r="H10" s="42"/>
      <c r="I10" s="42"/>
      <c r="J10" s="43" t="s">
        <v>4847</v>
      </c>
      <c r="K10" s="44"/>
      <c r="L10" s="546"/>
    </row>
    <row r="11" spans="1:12" ht="34.5" customHeight="1">
      <c r="A11" s="18"/>
      <c r="B11" s="18"/>
      <c r="C11" s="18"/>
      <c r="D11" s="18"/>
      <c r="E11" s="18"/>
      <c r="F11" s="21"/>
      <c r="G11" s="18"/>
      <c r="H11" s="21">
        <f>SUM(H4:H10)</f>
        <v>1600000</v>
      </c>
      <c r="I11" s="21"/>
    </row>
    <row r="12" spans="1:12" ht="34.5" customHeight="1"/>
    <row r="13" spans="1:12" ht="34.5" customHeight="1">
      <c r="A13" s="651" t="s">
        <v>4848</v>
      </c>
      <c r="B13" s="651"/>
      <c r="C13" s="651"/>
      <c r="D13" s="651"/>
      <c r="E13" s="651"/>
      <c r="F13" s="651"/>
      <c r="G13" s="651"/>
      <c r="H13" s="651"/>
      <c r="I13" s="651"/>
    </row>
    <row r="14" spans="1:12" ht="34.5" customHeight="1">
      <c r="A14" s="16" t="s">
        <v>11</v>
      </c>
      <c r="B14" s="17" t="s">
        <v>697</v>
      </c>
      <c r="C14" s="17" t="s">
        <v>698</v>
      </c>
      <c r="D14" s="17" t="s">
        <v>12</v>
      </c>
      <c r="E14" s="16" t="s">
        <v>699</v>
      </c>
      <c r="F14" s="16" t="s">
        <v>657</v>
      </c>
      <c r="G14" s="17" t="s">
        <v>700</v>
      </c>
      <c r="H14" s="16" t="s">
        <v>660</v>
      </c>
      <c r="I14" s="16" t="s">
        <v>27</v>
      </c>
    </row>
    <row r="15" spans="1:12">
      <c r="A15" s="18">
        <v>1</v>
      </c>
      <c r="B15" s="18" t="s">
        <v>48</v>
      </c>
      <c r="C15" s="18" t="s">
        <v>71</v>
      </c>
      <c r="D15" s="18" t="s">
        <v>4839</v>
      </c>
      <c r="E15" s="34" t="s">
        <v>703</v>
      </c>
      <c r="F15" s="20" t="s">
        <v>4849</v>
      </c>
      <c r="G15" s="18" t="s">
        <v>4850</v>
      </c>
      <c r="H15" s="21">
        <v>400000</v>
      </c>
      <c r="I15" s="21"/>
    </row>
    <row r="16" spans="1:12">
      <c r="A16" s="18"/>
      <c r="B16" s="18"/>
      <c r="C16" s="18"/>
      <c r="D16" s="18"/>
      <c r="E16" s="19" t="s">
        <v>4851</v>
      </c>
      <c r="F16" s="20" t="s">
        <v>4852</v>
      </c>
      <c r="G16" s="18" t="s">
        <v>4850</v>
      </c>
      <c r="H16" s="21">
        <v>800000</v>
      </c>
      <c r="I16" s="21"/>
    </row>
    <row r="17" spans="1:10">
      <c r="A17" s="18"/>
      <c r="B17" s="18"/>
      <c r="C17" s="18"/>
      <c r="D17" s="18"/>
      <c r="E17" s="18" t="s">
        <v>4853</v>
      </c>
      <c r="F17" s="20" t="s">
        <v>4854</v>
      </c>
      <c r="G17" s="18" t="s">
        <v>2106</v>
      </c>
      <c r="H17" s="21">
        <v>400000</v>
      </c>
      <c r="I17" s="21"/>
      <c r="J17" s="25" t="s">
        <v>4855</v>
      </c>
    </row>
    <row r="18" spans="1:10">
      <c r="A18" s="18"/>
      <c r="B18" s="18"/>
      <c r="C18" s="18"/>
      <c r="D18" s="18"/>
      <c r="E18" s="18" t="s">
        <v>4856</v>
      </c>
      <c r="F18" s="20" t="s">
        <v>4857</v>
      </c>
      <c r="G18" s="18" t="s">
        <v>4858</v>
      </c>
      <c r="H18" s="21">
        <v>400000</v>
      </c>
      <c r="I18" s="21"/>
    </row>
    <row r="19" spans="1:10">
      <c r="A19" s="18"/>
      <c r="B19" s="18"/>
      <c r="C19" s="18"/>
      <c r="D19" s="18"/>
      <c r="E19" s="18" t="s">
        <v>4859</v>
      </c>
      <c r="F19" s="20" t="s">
        <v>4860</v>
      </c>
      <c r="G19" s="18" t="s">
        <v>4173</v>
      </c>
      <c r="H19" s="21">
        <v>400000</v>
      </c>
      <c r="I19" s="21"/>
    </row>
    <row r="20" spans="1:10">
      <c r="A20" s="18"/>
      <c r="B20" s="18"/>
      <c r="C20" s="18"/>
      <c r="D20" s="18"/>
      <c r="E20" s="41" t="s">
        <v>4861</v>
      </c>
      <c r="F20" s="20" t="s">
        <v>4862</v>
      </c>
      <c r="G20" s="18" t="s">
        <v>4863</v>
      </c>
      <c r="H20" s="21">
        <v>800000</v>
      </c>
      <c r="I20" s="21"/>
    </row>
    <row r="21" spans="1:10">
      <c r="A21" s="18"/>
      <c r="B21" s="18"/>
      <c r="C21" s="18"/>
      <c r="D21" s="18"/>
      <c r="E21" s="18" t="s">
        <v>4864</v>
      </c>
      <c r="F21" s="20" t="s">
        <v>4865</v>
      </c>
      <c r="G21" s="18" t="s">
        <v>4866</v>
      </c>
      <c r="H21" s="21">
        <v>400000</v>
      </c>
      <c r="I21" s="21"/>
    </row>
    <row r="22" spans="1:10">
      <c r="A22" s="18"/>
      <c r="B22" s="18"/>
      <c r="C22" s="18"/>
      <c r="D22" s="18"/>
      <c r="E22" s="18" t="s">
        <v>4867</v>
      </c>
      <c r="F22" s="20" t="s">
        <v>4865</v>
      </c>
      <c r="G22" s="18" t="s">
        <v>4866</v>
      </c>
      <c r="H22" s="21">
        <v>-400000</v>
      </c>
      <c r="I22" s="21"/>
    </row>
    <row r="23" spans="1:10">
      <c r="A23" s="18"/>
      <c r="B23" s="18"/>
      <c r="C23" s="18"/>
      <c r="D23" s="18"/>
      <c r="E23" s="18" t="s">
        <v>4868</v>
      </c>
      <c r="F23" s="20" t="s">
        <v>4865</v>
      </c>
      <c r="G23" s="18" t="s">
        <v>4866</v>
      </c>
      <c r="H23" s="21">
        <v>53333</v>
      </c>
      <c r="I23" s="21"/>
      <c r="J23" s="25" t="s">
        <v>4869</v>
      </c>
    </row>
    <row r="24" spans="1:10">
      <c r="A24" s="18"/>
      <c r="B24" s="18"/>
      <c r="C24" s="18"/>
      <c r="D24" s="18"/>
      <c r="E24" s="18"/>
      <c r="F24" s="20"/>
      <c r="G24" s="18"/>
      <c r="H24" s="21"/>
      <c r="I24" s="21"/>
    </row>
    <row r="25" spans="1:10">
      <c r="A25" s="18"/>
      <c r="B25" s="18"/>
      <c r="C25" s="18"/>
      <c r="D25" s="18"/>
      <c r="E25" s="18"/>
      <c r="F25" s="20"/>
      <c r="G25" s="18"/>
      <c r="H25" s="21"/>
      <c r="I25" s="21"/>
    </row>
    <row r="26" spans="1:10">
      <c r="A26" s="18"/>
      <c r="B26" s="18"/>
      <c r="C26" s="18"/>
      <c r="D26" s="18"/>
      <c r="E26" s="18"/>
      <c r="F26" s="21"/>
      <c r="G26" s="18"/>
      <c r="H26" s="21">
        <f>SUM(H15:H23)</f>
        <v>3253333</v>
      </c>
      <c r="I26" s="21"/>
    </row>
    <row r="28" spans="1:10">
      <c r="A28" s="651" t="s">
        <v>4870</v>
      </c>
      <c r="B28" s="651"/>
      <c r="C28" s="651"/>
      <c r="D28" s="651"/>
      <c r="E28" s="651"/>
      <c r="F28" s="651"/>
      <c r="G28" s="651"/>
      <c r="H28" s="651"/>
      <c r="I28" s="651"/>
    </row>
    <row r="29" spans="1:10" ht="57">
      <c r="A29" s="16" t="s">
        <v>11</v>
      </c>
      <c r="B29" s="17" t="s">
        <v>697</v>
      </c>
      <c r="C29" s="17" t="s">
        <v>698</v>
      </c>
      <c r="D29" s="17" t="s">
        <v>12</v>
      </c>
      <c r="E29" s="16" t="s">
        <v>699</v>
      </c>
      <c r="F29" s="16" t="s">
        <v>657</v>
      </c>
      <c r="G29" s="17" t="s">
        <v>700</v>
      </c>
      <c r="H29" s="16" t="s">
        <v>660</v>
      </c>
      <c r="I29" s="16" t="s">
        <v>27</v>
      </c>
    </row>
    <row r="30" spans="1:10">
      <c r="A30" s="18">
        <v>1</v>
      </c>
      <c r="B30" s="18" t="s">
        <v>48</v>
      </c>
      <c r="C30" s="18" t="s">
        <v>71</v>
      </c>
      <c r="D30" s="18" t="s">
        <v>4839</v>
      </c>
      <c r="E30" s="34" t="s">
        <v>703</v>
      </c>
      <c r="F30" s="20" t="s">
        <v>1410</v>
      </c>
      <c r="G30" s="18" t="s">
        <v>4871</v>
      </c>
      <c r="H30" s="21">
        <v>400000</v>
      </c>
      <c r="I30" s="21"/>
    </row>
    <row r="31" spans="1:10">
      <c r="A31" s="18"/>
      <c r="B31" s="18"/>
      <c r="C31" s="18"/>
      <c r="D31" s="18"/>
      <c r="E31" s="19" t="s">
        <v>4872</v>
      </c>
      <c r="F31" s="20" t="s">
        <v>4873</v>
      </c>
      <c r="G31" s="18" t="s">
        <v>4871</v>
      </c>
      <c r="H31" s="21">
        <v>800000</v>
      </c>
      <c r="I31" s="21"/>
    </row>
    <row r="32" spans="1:10">
      <c r="A32" s="18"/>
      <c r="B32" s="18"/>
      <c r="C32" s="18"/>
      <c r="D32" s="18"/>
      <c r="E32" s="18" t="s">
        <v>4874</v>
      </c>
      <c r="F32" s="20" t="s">
        <v>4875</v>
      </c>
      <c r="G32" s="18" t="s">
        <v>4741</v>
      </c>
      <c r="H32" s="21">
        <v>400000</v>
      </c>
      <c r="I32" s="21"/>
    </row>
    <row r="33" spans="1:10">
      <c r="A33" s="18"/>
      <c r="B33" s="18"/>
      <c r="C33" s="18"/>
      <c r="D33" s="18"/>
      <c r="E33" s="18" t="s">
        <v>4876</v>
      </c>
      <c r="F33" s="20"/>
      <c r="G33" s="18"/>
      <c r="H33" s="21">
        <f>12900*8</f>
        <v>103200</v>
      </c>
      <c r="I33" s="21"/>
      <c r="J33" s="25">
        <f>400000/31</f>
        <v>12903.225806451614</v>
      </c>
    </row>
    <row r="34" spans="1:10">
      <c r="A34" s="18"/>
      <c r="B34" s="18"/>
      <c r="C34" s="18"/>
      <c r="D34" s="18"/>
      <c r="E34" s="18"/>
      <c r="F34" s="20"/>
      <c r="G34" s="18"/>
      <c r="H34" s="21"/>
      <c r="I34" s="21"/>
    </row>
    <row r="35" spans="1:10">
      <c r="A35" s="18"/>
      <c r="B35" s="18"/>
      <c r="C35" s="18"/>
      <c r="D35" s="18"/>
      <c r="E35" s="41"/>
      <c r="F35" s="20"/>
      <c r="G35" s="18"/>
      <c r="H35" s="21"/>
      <c r="I35" s="21"/>
    </row>
    <row r="36" spans="1:10">
      <c r="A36" s="18"/>
      <c r="B36" s="18"/>
      <c r="C36" s="18"/>
      <c r="D36" s="18"/>
      <c r="E36" s="18"/>
      <c r="F36" s="20"/>
      <c r="G36" s="18"/>
      <c r="H36" s="21"/>
      <c r="I36" s="21"/>
    </row>
    <row r="38" spans="1:10">
      <c r="A38" s="651" t="s">
        <v>4877</v>
      </c>
      <c r="B38" s="651"/>
      <c r="C38" s="651"/>
      <c r="D38" s="651"/>
      <c r="E38" s="651"/>
      <c r="F38" s="651"/>
      <c r="G38" s="651"/>
      <c r="H38" s="651"/>
      <c r="I38" s="651"/>
      <c r="J38" s="25" t="s">
        <v>4878</v>
      </c>
    </row>
    <row r="39" spans="1:10" ht="57">
      <c r="A39" s="16" t="s">
        <v>11</v>
      </c>
      <c r="B39" s="17" t="s">
        <v>697</v>
      </c>
      <c r="C39" s="17" t="s">
        <v>698</v>
      </c>
      <c r="D39" s="17" t="s">
        <v>12</v>
      </c>
      <c r="E39" s="16" t="s">
        <v>699</v>
      </c>
      <c r="F39" s="16" t="s">
        <v>657</v>
      </c>
      <c r="G39" s="17" t="s">
        <v>700</v>
      </c>
      <c r="H39" s="16" t="s">
        <v>660</v>
      </c>
      <c r="I39" s="16" t="s">
        <v>27</v>
      </c>
    </row>
    <row r="40" spans="1:10">
      <c r="A40" s="18">
        <v>1</v>
      </c>
      <c r="B40" s="18" t="s">
        <v>48</v>
      </c>
      <c r="C40" s="18" t="s">
        <v>71</v>
      </c>
      <c r="D40" s="18" t="s">
        <v>4839</v>
      </c>
      <c r="E40" s="34" t="s">
        <v>703</v>
      </c>
      <c r="F40" s="20" t="s">
        <v>4879</v>
      </c>
      <c r="G40" s="18" t="s">
        <v>4880</v>
      </c>
      <c r="H40" s="21">
        <v>400000</v>
      </c>
      <c r="I40" s="21"/>
      <c r="J40" s="25" t="s">
        <v>4881</v>
      </c>
    </row>
    <row r="41" spans="1:10">
      <c r="A41" s="18"/>
      <c r="B41" s="18"/>
      <c r="C41" s="18"/>
      <c r="D41" s="18"/>
      <c r="E41" s="19" t="s">
        <v>4882</v>
      </c>
      <c r="F41" s="20" t="s">
        <v>4879</v>
      </c>
      <c r="G41" s="18" t="s">
        <v>4880</v>
      </c>
      <c r="H41" s="21">
        <v>400000</v>
      </c>
      <c r="I41" s="21"/>
      <c r="J41" s="45" t="s">
        <v>4883</v>
      </c>
    </row>
    <row r="42" spans="1:10">
      <c r="A42" s="18"/>
      <c r="B42" s="18"/>
      <c r="C42" s="18"/>
      <c r="D42" s="18"/>
      <c r="E42" s="18" t="s">
        <v>4884</v>
      </c>
      <c r="F42" s="21" t="s">
        <v>703</v>
      </c>
      <c r="G42" s="18"/>
      <c r="H42" s="21" t="s">
        <v>4885</v>
      </c>
      <c r="I42" s="21"/>
    </row>
    <row r="43" spans="1:10">
      <c r="A43" s="18"/>
      <c r="B43" s="18"/>
      <c r="C43" s="18"/>
      <c r="D43" s="18"/>
      <c r="E43" s="18" t="s">
        <v>4886</v>
      </c>
      <c r="F43" s="20"/>
      <c r="G43" s="18"/>
      <c r="H43" s="21"/>
      <c r="I43" s="21"/>
      <c r="J43" s="25" t="s">
        <v>679</v>
      </c>
    </row>
    <row r="44" spans="1:10">
      <c r="A44" s="18"/>
      <c r="B44" s="18"/>
      <c r="C44" s="18"/>
      <c r="D44" s="18"/>
      <c r="E44" s="18" t="s">
        <v>4887</v>
      </c>
      <c r="F44" s="20"/>
      <c r="G44" s="18"/>
      <c r="H44" s="21"/>
      <c r="I44" s="21"/>
    </row>
    <row r="45" spans="1:10">
      <c r="A45" s="18"/>
      <c r="B45" s="18"/>
      <c r="C45" s="18"/>
      <c r="D45" s="18"/>
      <c r="E45" s="41"/>
      <c r="F45" s="20"/>
      <c r="G45" s="18"/>
      <c r="H45" s="21"/>
      <c r="I45" s="21"/>
    </row>
    <row r="46" spans="1:10">
      <c r="A46" s="18"/>
      <c r="B46" s="18"/>
      <c r="C46" s="18"/>
      <c r="D46" s="18"/>
      <c r="E46" s="18"/>
      <c r="F46" s="20"/>
      <c r="G46" s="18"/>
      <c r="H46" s="21"/>
      <c r="I46" s="21"/>
    </row>
    <row r="48" spans="1:10" ht="26.25" customHeight="1">
      <c r="A48" s="651" t="s">
        <v>4888</v>
      </c>
      <c r="B48" s="651"/>
      <c r="C48" s="651"/>
      <c r="D48" s="651"/>
      <c r="E48" s="651"/>
      <c r="F48" s="651"/>
      <c r="G48" s="651"/>
      <c r="H48" s="651"/>
      <c r="I48" s="651"/>
    </row>
    <row r="49" spans="1:10" ht="57">
      <c r="A49" s="16" t="s">
        <v>11</v>
      </c>
      <c r="B49" s="17" t="s">
        <v>697</v>
      </c>
      <c r="C49" s="17" t="s">
        <v>698</v>
      </c>
      <c r="D49" s="17" t="s">
        <v>12</v>
      </c>
      <c r="E49" s="16" t="s">
        <v>699</v>
      </c>
      <c r="F49" s="16" t="s">
        <v>657</v>
      </c>
      <c r="G49" s="17" t="s">
        <v>700</v>
      </c>
      <c r="H49" s="16" t="s">
        <v>660</v>
      </c>
      <c r="I49" s="16" t="s">
        <v>27</v>
      </c>
    </row>
    <row r="50" spans="1:10">
      <c r="A50" s="18">
        <v>1</v>
      </c>
      <c r="B50" s="18" t="s">
        <v>48</v>
      </c>
      <c r="C50" s="18" t="s">
        <v>71</v>
      </c>
      <c r="D50" s="18" t="s">
        <v>4839</v>
      </c>
      <c r="E50" s="34" t="s">
        <v>4889</v>
      </c>
      <c r="F50" s="20"/>
      <c r="G50" s="18"/>
      <c r="H50" s="21"/>
      <c r="I50" s="21"/>
    </row>
    <row r="51" spans="1:10">
      <c r="A51" s="18"/>
      <c r="B51" s="18"/>
      <c r="C51" s="18"/>
      <c r="D51" s="18"/>
      <c r="E51" s="19" t="s">
        <v>4890</v>
      </c>
      <c r="F51" s="20" t="s">
        <v>4891</v>
      </c>
      <c r="G51" s="18" t="s">
        <v>4892</v>
      </c>
      <c r="H51" s="21">
        <v>380000</v>
      </c>
      <c r="I51" s="21"/>
      <c r="J51" s="25" t="s">
        <v>4893</v>
      </c>
    </row>
    <row r="52" spans="1:10">
      <c r="A52" s="18"/>
      <c r="B52" s="18"/>
      <c r="C52" s="18"/>
      <c r="D52" s="18"/>
      <c r="E52" s="18"/>
      <c r="F52" s="21"/>
      <c r="G52" s="18"/>
      <c r="H52" s="21"/>
      <c r="I52" s="21"/>
    </row>
    <row r="53" spans="1:10">
      <c r="A53" s="18"/>
      <c r="B53" s="18"/>
      <c r="C53" s="18"/>
      <c r="D53" s="18"/>
      <c r="E53" s="18"/>
      <c r="F53" s="20"/>
      <c r="G53" s="18"/>
      <c r="H53" s="21"/>
      <c r="I53" s="21"/>
    </row>
    <row r="54" spans="1:10">
      <c r="A54" s="18"/>
      <c r="B54" s="18"/>
      <c r="C54" s="18"/>
      <c r="D54" s="18"/>
      <c r="E54" s="18"/>
      <c r="F54" s="20"/>
      <c r="G54" s="18"/>
      <c r="H54" s="21"/>
      <c r="I54" s="21"/>
    </row>
    <row r="55" spans="1:10">
      <c r="A55" s="18"/>
      <c r="B55" s="18"/>
      <c r="C55" s="18"/>
      <c r="D55" s="18"/>
      <c r="E55" s="41"/>
      <c r="F55" s="20"/>
      <c r="G55" s="18"/>
      <c r="H55" s="21"/>
      <c r="I55" s="21"/>
    </row>
    <row r="56" spans="1:10">
      <c r="A56" s="18"/>
      <c r="B56" s="18"/>
      <c r="C56" s="18"/>
      <c r="D56" s="18"/>
      <c r="E56" s="18"/>
      <c r="F56" s="20"/>
      <c r="G56" s="18"/>
      <c r="H56" s="21"/>
      <c r="I56" s="21"/>
    </row>
    <row r="57" spans="1:10">
      <c r="A57" s="651" t="s">
        <v>4894</v>
      </c>
      <c r="B57" s="651"/>
      <c r="C57" s="651"/>
      <c r="D57" s="651"/>
      <c r="E57" s="651"/>
      <c r="F57" s="651"/>
      <c r="G57" s="651"/>
      <c r="H57" s="651"/>
      <c r="I57" s="651"/>
    </row>
    <row r="58" spans="1:10" ht="57">
      <c r="A58" s="16" t="s">
        <v>11</v>
      </c>
      <c r="B58" s="17" t="s">
        <v>697</v>
      </c>
      <c r="C58" s="17" t="s">
        <v>698</v>
      </c>
      <c r="D58" s="17" t="s">
        <v>12</v>
      </c>
      <c r="E58" s="16" t="s">
        <v>699</v>
      </c>
      <c r="F58" s="16" t="s">
        <v>657</v>
      </c>
      <c r="G58" s="17" t="s">
        <v>700</v>
      </c>
      <c r="H58" s="16" t="s">
        <v>660</v>
      </c>
      <c r="I58" s="16" t="s">
        <v>27</v>
      </c>
    </row>
    <row r="59" spans="1:10">
      <c r="A59" s="18">
        <v>1</v>
      </c>
      <c r="B59" s="18" t="s">
        <v>48</v>
      </c>
      <c r="C59" s="18" t="s">
        <v>71</v>
      </c>
      <c r="D59" s="18" t="s">
        <v>4839</v>
      </c>
      <c r="E59" s="34" t="s">
        <v>703</v>
      </c>
      <c r="F59" s="20" t="s">
        <v>4895</v>
      </c>
      <c r="G59" s="18" t="s">
        <v>4896</v>
      </c>
      <c r="H59" s="21">
        <v>350000</v>
      </c>
      <c r="I59" s="21"/>
    </row>
    <row r="60" spans="1:10">
      <c r="A60" s="18"/>
      <c r="B60" s="18"/>
      <c r="C60" s="18"/>
      <c r="D60" s="18"/>
      <c r="E60" s="19" t="s">
        <v>4897</v>
      </c>
      <c r="F60" s="20" t="s">
        <v>4895</v>
      </c>
      <c r="G60" s="18" t="s">
        <v>4896</v>
      </c>
      <c r="H60" s="21">
        <v>350000</v>
      </c>
      <c r="I60" s="21"/>
    </row>
    <row r="61" spans="1:10">
      <c r="A61" s="18"/>
      <c r="B61" s="18"/>
      <c r="C61" s="18"/>
      <c r="D61" s="18"/>
      <c r="E61" s="18" t="s">
        <v>4898</v>
      </c>
      <c r="F61" s="20" t="s">
        <v>4899</v>
      </c>
      <c r="G61" s="18" t="s">
        <v>4900</v>
      </c>
      <c r="H61" s="21">
        <v>350000</v>
      </c>
      <c r="I61" s="21"/>
    </row>
    <row r="62" spans="1:10">
      <c r="A62" s="18"/>
      <c r="B62" s="18"/>
      <c r="C62" s="18"/>
      <c r="D62" s="18"/>
      <c r="E62" s="18" t="s">
        <v>4901</v>
      </c>
      <c r="F62" s="20" t="s">
        <v>4902</v>
      </c>
      <c r="G62" s="18" t="s">
        <v>1887</v>
      </c>
      <c r="H62" s="21">
        <v>2300000</v>
      </c>
      <c r="I62" s="21"/>
    </row>
    <row r="63" spans="1:10">
      <c r="A63" s="18"/>
      <c r="B63" s="18"/>
      <c r="C63" s="18"/>
      <c r="D63" s="18"/>
      <c r="E63" s="18" t="s">
        <v>4903</v>
      </c>
      <c r="F63" s="20"/>
      <c r="G63" s="18"/>
      <c r="H63" s="21">
        <v>350000</v>
      </c>
      <c r="I63" s="21"/>
    </row>
    <row r="64" spans="1:10">
      <c r="A64" s="18"/>
      <c r="B64" s="18"/>
      <c r="C64" s="18"/>
      <c r="D64" s="18"/>
      <c r="E64" s="41" t="s">
        <v>2164</v>
      </c>
      <c r="F64" s="20"/>
      <c r="G64" s="18"/>
      <c r="H64" s="21">
        <v>350000</v>
      </c>
      <c r="I64" s="21"/>
    </row>
    <row r="65" spans="1:9">
      <c r="A65" s="18"/>
      <c r="B65" s="18"/>
      <c r="C65" s="18"/>
      <c r="D65" s="18"/>
      <c r="E65" s="41" t="s">
        <v>4904</v>
      </c>
      <c r="F65" s="20"/>
      <c r="G65" s="18"/>
      <c r="H65" s="21">
        <v>210000</v>
      </c>
      <c r="I65" s="21"/>
    </row>
    <row r="66" spans="1:9">
      <c r="A66" s="18"/>
      <c r="B66" s="18"/>
      <c r="C66" s="18"/>
      <c r="D66" s="18"/>
      <c r="E66" s="41" t="s">
        <v>1176</v>
      </c>
      <c r="F66" s="20"/>
      <c r="G66" s="18"/>
      <c r="H66" s="21">
        <v>150000</v>
      </c>
      <c r="I66" s="21"/>
    </row>
    <row r="67" spans="1:9">
      <c r="A67" s="18"/>
      <c r="B67" s="18"/>
      <c r="C67" s="18"/>
      <c r="D67" s="18"/>
      <c r="E67" s="41" t="s">
        <v>1066</v>
      </c>
      <c r="F67" s="20"/>
      <c r="G67" s="18"/>
      <c r="H67" s="21">
        <v>-350000</v>
      </c>
      <c r="I67" s="21"/>
    </row>
    <row r="68" spans="1:9">
      <c r="A68" s="18"/>
      <c r="B68" s="18"/>
      <c r="C68" s="18"/>
      <c r="D68" s="18"/>
      <c r="E68" s="41"/>
      <c r="F68" s="20"/>
      <c r="G68" s="18"/>
      <c r="H68" s="21"/>
      <c r="I68" s="21"/>
    </row>
    <row r="69" spans="1:9">
      <c r="A69" s="18"/>
      <c r="B69" s="18"/>
      <c r="C69" s="18"/>
      <c r="D69" s="18"/>
      <c r="E69" s="18"/>
      <c r="F69" s="20"/>
      <c r="G69" s="18"/>
      <c r="H69" s="21">
        <f>SUM(H59:H68)</f>
        <v>4060000</v>
      </c>
      <c r="I69" s="21">
        <f>SUM(I63:I67)</f>
        <v>0</v>
      </c>
    </row>
    <row r="72" spans="1:9">
      <c r="A72" s="651" t="s">
        <v>3439</v>
      </c>
      <c r="B72" s="651"/>
      <c r="C72" s="651"/>
      <c r="D72" s="651"/>
      <c r="E72" s="651"/>
      <c r="F72" s="651"/>
      <c r="G72" s="651"/>
      <c r="H72" s="651"/>
      <c r="I72" s="651"/>
    </row>
    <row r="73" spans="1:9" ht="57">
      <c r="A73" s="16" t="s">
        <v>11</v>
      </c>
      <c r="B73" s="17" t="s">
        <v>697</v>
      </c>
      <c r="C73" s="17" t="s">
        <v>698</v>
      </c>
      <c r="D73" s="17" t="s">
        <v>12</v>
      </c>
      <c r="E73" s="16" t="s">
        <v>699</v>
      </c>
      <c r="F73" s="16" t="s">
        <v>657</v>
      </c>
      <c r="G73" s="17" t="s">
        <v>700</v>
      </c>
      <c r="H73" s="16" t="s">
        <v>660</v>
      </c>
      <c r="I73" s="16" t="s">
        <v>27</v>
      </c>
    </row>
    <row r="74" spans="1:9" ht="23.25" customHeight="1">
      <c r="A74" s="35">
        <v>1</v>
      </c>
      <c r="B74" s="35" t="s">
        <v>48</v>
      </c>
      <c r="C74" s="35" t="s">
        <v>71</v>
      </c>
      <c r="D74" s="35" t="s">
        <v>4839</v>
      </c>
      <c r="E74" s="35" t="s">
        <v>4905</v>
      </c>
      <c r="F74" s="36" t="s">
        <v>4906</v>
      </c>
      <c r="G74" s="35" t="s">
        <v>3137</v>
      </c>
      <c r="H74" s="37">
        <v>400000</v>
      </c>
      <c r="I74" s="37"/>
    </row>
    <row r="75" spans="1:9" ht="23.25" customHeight="1">
      <c r="A75" s="35"/>
      <c r="B75" s="35"/>
      <c r="C75" s="35"/>
      <c r="D75" s="35"/>
      <c r="E75" s="38"/>
      <c r="F75" s="36"/>
      <c r="G75" s="35"/>
      <c r="H75" s="37"/>
      <c r="I75" s="37"/>
    </row>
    <row r="76" spans="1:9" ht="23.25" customHeight="1">
      <c r="A76" s="35"/>
      <c r="B76" s="35"/>
      <c r="C76" s="35"/>
      <c r="D76" s="35"/>
      <c r="E76" s="46"/>
      <c r="F76" s="36"/>
      <c r="G76" s="35"/>
      <c r="H76" s="37"/>
      <c r="I76" s="37"/>
    </row>
    <row r="77" spans="1:9" ht="23.25" customHeight="1">
      <c r="A77" s="35"/>
      <c r="B77" s="35"/>
      <c r="C77" s="35"/>
      <c r="D77" s="35"/>
      <c r="E77" s="46"/>
      <c r="F77" s="36"/>
      <c r="G77" s="35"/>
      <c r="H77" s="37"/>
      <c r="I77" s="37"/>
    </row>
    <row r="78" spans="1:9" ht="23.25" customHeight="1">
      <c r="A78" s="35"/>
      <c r="B78" s="35"/>
      <c r="C78" s="35"/>
      <c r="D78" s="35"/>
      <c r="E78" s="35"/>
      <c r="F78" s="36"/>
      <c r="G78" s="35"/>
      <c r="H78" s="37">
        <f>SUM(H74:H77)</f>
        <v>400000</v>
      </c>
      <c r="I78" s="37">
        <f>SUM(I76:I76)</f>
        <v>0</v>
      </c>
    </row>
    <row r="82" spans="1:11">
      <c r="A82" s="651" t="s">
        <v>4907</v>
      </c>
      <c r="B82" s="651"/>
      <c r="C82" s="651"/>
      <c r="D82" s="651"/>
      <c r="E82" s="651"/>
      <c r="F82" s="651"/>
      <c r="G82" s="651"/>
      <c r="H82" s="651"/>
      <c r="I82" s="651"/>
    </row>
    <row r="83" spans="1:11" ht="57">
      <c r="A83" s="16" t="s">
        <v>11</v>
      </c>
      <c r="B83" s="17" t="s">
        <v>697</v>
      </c>
      <c r="C83" s="17" t="s">
        <v>698</v>
      </c>
      <c r="D83" s="17" t="s">
        <v>12</v>
      </c>
      <c r="E83" s="16" t="s">
        <v>699</v>
      </c>
      <c r="F83" s="16" t="s">
        <v>657</v>
      </c>
      <c r="G83" s="17" t="s">
        <v>700</v>
      </c>
      <c r="H83" s="16" t="s">
        <v>660</v>
      </c>
      <c r="I83" s="16" t="s">
        <v>27</v>
      </c>
    </row>
    <row r="84" spans="1:11">
      <c r="A84" s="35">
        <v>1</v>
      </c>
      <c r="B84" s="35" t="s">
        <v>48</v>
      </c>
      <c r="C84" s="35" t="s">
        <v>71</v>
      </c>
      <c r="D84" s="35" t="s">
        <v>4839</v>
      </c>
      <c r="E84" s="35" t="s">
        <v>4908</v>
      </c>
      <c r="F84" s="36" t="s">
        <v>4909</v>
      </c>
      <c r="G84" s="35" t="s">
        <v>2643</v>
      </c>
      <c r="H84" s="37">
        <v>500000</v>
      </c>
      <c r="I84" s="37"/>
      <c r="K84" t="s">
        <v>4910</v>
      </c>
    </row>
    <row r="85" spans="1:11">
      <c r="A85" s="35"/>
      <c r="B85" s="35"/>
      <c r="C85" s="35"/>
      <c r="D85" s="35"/>
      <c r="E85" s="38"/>
      <c r="F85" s="36"/>
      <c r="G85" s="35"/>
      <c r="H85" s="37"/>
      <c r="I85" s="37"/>
    </row>
    <row r="86" spans="1:11">
      <c r="A86" s="35"/>
      <c r="B86" s="35"/>
      <c r="C86" s="35"/>
      <c r="D86" s="35"/>
      <c r="E86" s="46"/>
      <c r="F86" s="36"/>
      <c r="G86" s="35"/>
      <c r="H86" s="37"/>
      <c r="I86" s="37"/>
    </row>
    <row r="87" spans="1:11">
      <c r="A87" s="35"/>
      <c r="B87" s="35"/>
      <c r="C87" s="35"/>
      <c r="D87" s="35"/>
      <c r="E87" s="46"/>
      <c r="F87" s="36"/>
      <c r="G87" s="35"/>
      <c r="H87" s="37"/>
      <c r="I87" s="37"/>
    </row>
    <row r="88" spans="1:11">
      <c r="A88" s="35"/>
      <c r="B88" s="35"/>
      <c r="C88" s="35"/>
      <c r="D88" s="35"/>
      <c r="E88" s="35"/>
      <c r="F88" s="36"/>
      <c r="G88" s="35"/>
      <c r="H88" s="37">
        <f>SUM(H84:H87)</f>
        <v>500000</v>
      </c>
      <c r="I88" s="37">
        <f>SUM(I86:I86)</f>
        <v>0</v>
      </c>
    </row>
    <row r="91" spans="1:11" ht="29.25" customHeight="1">
      <c r="A91" s="651" t="s">
        <v>4911</v>
      </c>
      <c r="B91" s="651"/>
      <c r="C91" s="651"/>
      <c r="D91" s="651"/>
      <c r="E91" s="651"/>
      <c r="F91" s="651"/>
      <c r="G91" s="651"/>
      <c r="H91" s="651"/>
      <c r="I91" s="651"/>
    </row>
    <row r="92" spans="1:11" ht="57">
      <c r="A92" s="16" t="s">
        <v>11</v>
      </c>
      <c r="B92" s="17" t="s">
        <v>697</v>
      </c>
      <c r="C92" s="17" t="s">
        <v>698</v>
      </c>
      <c r="D92" s="17" t="s">
        <v>12</v>
      </c>
      <c r="E92" s="16" t="s">
        <v>699</v>
      </c>
      <c r="F92" s="16" t="s">
        <v>657</v>
      </c>
      <c r="G92" s="17" t="s">
        <v>700</v>
      </c>
      <c r="H92" s="16" t="s">
        <v>660</v>
      </c>
      <c r="I92" s="16" t="s">
        <v>27</v>
      </c>
    </row>
    <row r="93" spans="1:11">
      <c r="A93" s="35">
        <v>1</v>
      </c>
      <c r="B93" s="35" t="s">
        <v>48</v>
      </c>
      <c r="C93" s="35" t="s">
        <v>71</v>
      </c>
      <c r="D93" s="35" t="s">
        <v>4839</v>
      </c>
      <c r="E93" s="35" t="s">
        <v>703</v>
      </c>
      <c r="F93" s="36" t="s">
        <v>4912</v>
      </c>
      <c r="G93" s="35" t="s">
        <v>3312</v>
      </c>
      <c r="H93" s="37">
        <v>500000</v>
      </c>
      <c r="I93" s="37"/>
    </row>
    <row r="94" spans="1:11">
      <c r="A94" s="35"/>
      <c r="B94" s="35"/>
      <c r="C94" s="35"/>
      <c r="D94" s="35"/>
      <c r="E94" s="38" t="s">
        <v>4913</v>
      </c>
      <c r="F94" s="36" t="s">
        <v>4912</v>
      </c>
      <c r="G94" s="35" t="s">
        <v>3312</v>
      </c>
      <c r="H94" s="37">
        <v>500000</v>
      </c>
      <c r="I94" s="37"/>
    </row>
    <row r="95" spans="1:11">
      <c r="A95" s="35"/>
      <c r="B95" s="35"/>
      <c r="C95" s="35"/>
      <c r="D95" s="35"/>
      <c r="E95" s="47" t="s">
        <v>4914</v>
      </c>
      <c r="F95" s="36" t="s">
        <v>4915</v>
      </c>
      <c r="G95" s="35" t="s">
        <v>2186</v>
      </c>
      <c r="H95" s="37">
        <v>1000000</v>
      </c>
      <c r="I95" s="37"/>
    </row>
    <row r="96" spans="1:11">
      <c r="A96" s="35"/>
      <c r="B96" s="35"/>
      <c r="C96" s="35"/>
      <c r="D96" s="35"/>
      <c r="E96" s="47" t="s">
        <v>4916</v>
      </c>
      <c r="F96" s="36"/>
      <c r="G96" s="35"/>
      <c r="H96" s="37">
        <v>500000</v>
      </c>
      <c r="I96" s="37"/>
      <c r="J96" s="25" t="s">
        <v>1066</v>
      </c>
    </row>
    <row r="97" spans="1:12">
      <c r="A97" s="35"/>
      <c r="B97" s="35"/>
      <c r="C97" s="35"/>
      <c r="D97" s="35"/>
      <c r="E97" s="47" t="s">
        <v>1066</v>
      </c>
      <c r="F97" s="36"/>
      <c r="G97" s="35"/>
      <c r="H97" s="37">
        <v>-500000</v>
      </c>
      <c r="I97" s="37"/>
    </row>
    <row r="98" spans="1:12">
      <c r="A98" s="35"/>
      <c r="B98" s="35"/>
      <c r="C98" s="35"/>
      <c r="D98" s="35"/>
      <c r="E98" s="47"/>
      <c r="F98" s="36"/>
      <c r="G98" s="35"/>
      <c r="H98" s="37"/>
      <c r="I98" s="37"/>
    </row>
    <row r="99" spans="1:12">
      <c r="A99" s="35"/>
      <c r="B99" s="35"/>
      <c r="C99" s="35"/>
      <c r="D99" s="35"/>
      <c r="E99" s="47"/>
      <c r="F99" s="36"/>
      <c r="G99" s="35"/>
      <c r="H99" s="37"/>
      <c r="I99" s="37"/>
    </row>
    <row r="100" spans="1:12">
      <c r="A100" s="430" t="s">
        <v>648</v>
      </c>
      <c r="B100" s="426"/>
      <c r="C100" s="426"/>
      <c r="D100" s="426"/>
      <c r="E100" s="427"/>
      <c r="F100" s="428"/>
      <c r="G100" s="426"/>
      <c r="H100" s="429"/>
      <c r="I100" s="429"/>
    </row>
    <row r="101" spans="1:12">
      <c r="A101" s="651" t="s">
        <v>4917</v>
      </c>
      <c r="B101" s="651"/>
      <c r="C101" s="651"/>
      <c r="D101" s="651"/>
      <c r="E101" s="651"/>
      <c r="F101" s="651"/>
      <c r="G101" s="651"/>
      <c r="H101" s="651"/>
      <c r="I101" s="651"/>
    </row>
    <row r="102" spans="1:12" ht="57">
      <c r="A102" s="16" t="s">
        <v>11</v>
      </c>
      <c r="B102" s="17" t="s">
        <v>697</v>
      </c>
      <c r="C102" s="17" t="s">
        <v>698</v>
      </c>
      <c r="D102" s="17" t="s">
        <v>12</v>
      </c>
      <c r="E102" s="16" t="s">
        <v>699</v>
      </c>
      <c r="F102" s="16" t="s">
        <v>657</v>
      </c>
      <c r="G102" s="17" t="s">
        <v>700</v>
      </c>
      <c r="H102" s="16" t="s">
        <v>660</v>
      </c>
      <c r="I102" s="16" t="s">
        <v>27</v>
      </c>
    </row>
    <row r="103" spans="1:12">
      <c r="A103" s="35">
        <v>1</v>
      </c>
      <c r="B103" s="35" t="s">
        <v>48</v>
      </c>
      <c r="C103" s="35" t="s">
        <v>71</v>
      </c>
      <c r="D103" s="35" t="s">
        <v>4839</v>
      </c>
      <c r="E103" s="47" t="s">
        <v>4918</v>
      </c>
      <c r="F103" s="36" t="s">
        <v>4919</v>
      </c>
      <c r="G103" s="35" t="s">
        <v>1925</v>
      </c>
      <c r="H103" s="37">
        <v>600000</v>
      </c>
      <c r="I103" s="37"/>
      <c r="J103" s="25" t="s">
        <v>4920</v>
      </c>
    </row>
    <row r="104" spans="1:12">
      <c r="A104" s="35"/>
      <c r="B104" s="35"/>
      <c r="C104" s="35"/>
      <c r="D104" s="35"/>
      <c r="E104" s="47" t="s">
        <v>4921</v>
      </c>
      <c r="F104" s="36" t="s">
        <v>4226</v>
      </c>
      <c r="G104" s="35" t="s">
        <v>4376</v>
      </c>
      <c r="H104" s="37">
        <v>1800000</v>
      </c>
      <c r="I104" s="37"/>
    </row>
    <row r="105" spans="1:12">
      <c r="A105" s="35"/>
      <c r="B105" s="35"/>
      <c r="C105" s="35"/>
      <c r="D105" s="35"/>
      <c r="E105" s="47" t="s">
        <v>4922</v>
      </c>
      <c r="F105" s="36" t="s">
        <v>4923</v>
      </c>
      <c r="G105" s="35" t="s">
        <v>4924</v>
      </c>
      <c r="H105" s="37">
        <v>4200000</v>
      </c>
      <c r="I105" s="37" t="s">
        <v>664</v>
      </c>
    </row>
    <row r="106" spans="1:12">
      <c r="A106" s="35"/>
      <c r="B106" s="35"/>
      <c r="C106" s="35"/>
      <c r="D106" s="35"/>
      <c r="E106" s="47" t="s">
        <v>4925</v>
      </c>
      <c r="F106" s="36" t="s">
        <v>4926</v>
      </c>
      <c r="G106" s="35" t="s">
        <v>4924</v>
      </c>
      <c r="H106" s="37">
        <v>370000</v>
      </c>
      <c r="I106" s="37" t="s">
        <v>664</v>
      </c>
      <c r="J106" s="43" t="s">
        <v>4927</v>
      </c>
      <c r="K106" s="44"/>
      <c r="L106" s="546"/>
    </row>
    <row r="107" spans="1:12">
      <c r="A107" s="35"/>
      <c r="B107" s="35"/>
      <c r="C107" s="35"/>
      <c r="D107" s="35"/>
      <c r="E107" s="47"/>
      <c r="F107" s="36"/>
      <c r="G107" s="35"/>
      <c r="H107" s="37"/>
      <c r="I107" s="37"/>
    </row>
    <row r="108" spans="1:12">
      <c r="A108" s="35"/>
      <c r="B108" s="35"/>
      <c r="C108" s="35"/>
      <c r="D108" s="35"/>
      <c r="E108" s="47"/>
      <c r="F108" s="36"/>
      <c r="G108" s="35"/>
      <c r="H108" s="37"/>
      <c r="I108" s="37"/>
    </row>
    <row r="109" spans="1:12">
      <c r="A109" s="35"/>
      <c r="B109" s="35"/>
      <c r="C109" s="35"/>
      <c r="D109" s="35"/>
      <c r="E109" s="47"/>
      <c r="F109" s="36"/>
      <c r="G109" s="35"/>
      <c r="H109" s="37"/>
      <c r="I109" s="37"/>
    </row>
    <row r="110" spans="1:12">
      <c r="A110" s="35"/>
      <c r="B110" s="35"/>
      <c r="C110" s="35"/>
      <c r="D110" s="35"/>
      <c r="E110" s="46"/>
      <c r="F110" s="36"/>
      <c r="G110" s="35"/>
      <c r="H110" s="37"/>
      <c r="I110" s="37"/>
    </row>
    <row r="111" spans="1:12">
      <c r="A111" s="35"/>
      <c r="B111" s="35"/>
      <c r="C111" s="35"/>
      <c r="D111" s="35"/>
      <c r="E111" s="35"/>
      <c r="F111" s="36"/>
      <c r="G111" s="35"/>
      <c r="H111" s="48">
        <f>SUM(H93:H110)</f>
        <v>8970000</v>
      </c>
      <c r="I111" s="37">
        <f>SUM(I95:I95)</f>
        <v>0</v>
      </c>
    </row>
    <row r="114" spans="1:14">
      <c r="A114" s="651" t="s">
        <v>4707</v>
      </c>
      <c r="B114" s="651"/>
      <c r="C114" s="651"/>
      <c r="D114" s="651"/>
      <c r="E114" s="651"/>
      <c r="F114" s="651"/>
      <c r="G114" s="651"/>
      <c r="H114" s="651"/>
      <c r="I114" s="651"/>
    </row>
    <row r="115" spans="1:14" ht="57">
      <c r="A115" s="16" t="s">
        <v>11</v>
      </c>
      <c r="B115" s="17" t="s">
        <v>697</v>
      </c>
      <c r="C115" s="17" t="s">
        <v>698</v>
      </c>
      <c r="D115" s="17" t="s">
        <v>12</v>
      </c>
      <c r="E115" s="16" t="s">
        <v>699</v>
      </c>
      <c r="F115" s="16" t="s">
        <v>657</v>
      </c>
      <c r="G115" s="17" t="s">
        <v>700</v>
      </c>
      <c r="H115" s="16" t="s">
        <v>660</v>
      </c>
      <c r="I115" s="33" t="s">
        <v>27</v>
      </c>
      <c r="L115" s="543" t="s">
        <v>807</v>
      </c>
      <c r="M115" s="543" t="s">
        <v>651</v>
      </c>
      <c r="N115" s="544" t="s">
        <v>652</v>
      </c>
    </row>
    <row r="116" spans="1:14">
      <c r="A116" s="35">
        <v>1</v>
      </c>
      <c r="B116" s="35" t="s">
        <v>676</v>
      </c>
      <c r="C116" s="35" t="s">
        <v>64</v>
      </c>
      <c r="D116" s="35" t="s">
        <v>4928</v>
      </c>
      <c r="E116" s="35" t="s">
        <v>661</v>
      </c>
      <c r="F116" s="36" t="s">
        <v>4929</v>
      </c>
      <c r="G116" s="35" t="s">
        <v>938</v>
      </c>
      <c r="H116" s="37">
        <v>800000</v>
      </c>
      <c r="I116" s="28" t="s">
        <v>664</v>
      </c>
      <c r="L116" s="444" t="s">
        <v>3332</v>
      </c>
      <c r="M116" s="444" t="s">
        <v>4930</v>
      </c>
      <c r="N116" s="447">
        <v>70000</v>
      </c>
    </row>
    <row r="117" spans="1:14">
      <c r="A117" s="35"/>
      <c r="B117" s="35"/>
      <c r="C117" s="35" t="s">
        <v>3003</v>
      </c>
      <c r="D117" s="35" t="s">
        <v>4931</v>
      </c>
      <c r="E117" s="297" t="s">
        <v>943</v>
      </c>
      <c r="F117" s="36" t="s">
        <v>4929</v>
      </c>
      <c r="G117" s="35" t="s">
        <v>938</v>
      </c>
      <c r="H117" s="37">
        <v>800000</v>
      </c>
      <c r="I117" s="28" t="s">
        <v>664</v>
      </c>
      <c r="M117" s="444" t="s">
        <v>4932</v>
      </c>
      <c r="N117" s="447">
        <v>35000</v>
      </c>
    </row>
    <row r="118" spans="1:14">
      <c r="A118" s="35"/>
      <c r="B118" s="35"/>
      <c r="C118" s="35"/>
      <c r="D118" s="35" t="s">
        <v>4839</v>
      </c>
      <c r="E118" s="35"/>
      <c r="F118" s="36"/>
      <c r="G118" s="35"/>
      <c r="H118" s="37"/>
      <c r="I118" s="28"/>
      <c r="M118" s="444" t="s">
        <v>4933</v>
      </c>
      <c r="N118" s="447">
        <v>4000</v>
      </c>
    </row>
    <row r="119" spans="1:14">
      <c r="A119" s="35"/>
      <c r="B119" s="35"/>
      <c r="C119" s="35"/>
      <c r="D119" s="35"/>
      <c r="E119" s="35"/>
      <c r="F119" s="36"/>
      <c r="G119" s="35"/>
      <c r="H119" s="37"/>
      <c r="I119" s="424"/>
      <c r="M119" s="444" t="s">
        <v>4934</v>
      </c>
      <c r="N119" s="447">
        <v>24000</v>
      </c>
    </row>
    <row r="120" spans="1:14">
      <c r="A120" s="35"/>
      <c r="B120" s="35"/>
      <c r="C120" s="35"/>
      <c r="D120" s="35"/>
      <c r="E120" s="297"/>
      <c r="F120" s="36"/>
      <c r="G120" s="35"/>
      <c r="H120" s="37"/>
      <c r="I120" s="28"/>
      <c r="M120" s="444" t="s">
        <v>4935</v>
      </c>
      <c r="N120" s="447">
        <v>20000</v>
      </c>
    </row>
    <row r="121" spans="1:14">
      <c r="A121" s="35"/>
      <c r="B121" s="35"/>
      <c r="C121" s="35"/>
      <c r="D121" s="35"/>
      <c r="E121" s="477"/>
      <c r="F121" s="36"/>
      <c r="G121" s="35"/>
      <c r="H121" s="37"/>
      <c r="I121" s="28"/>
      <c r="M121" s="444" t="s">
        <v>4936</v>
      </c>
      <c r="N121" s="447">
        <v>15000</v>
      </c>
    </row>
    <row r="122" spans="1:14">
      <c r="A122" s="35"/>
      <c r="B122" s="35"/>
      <c r="C122" s="35"/>
      <c r="D122" s="35"/>
      <c r="E122" s="35"/>
      <c r="F122" s="36"/>
      <c r="G122" s="35"/>
      <c r="H122" s="37">
        <f>SUM(H116:H121)</f>
        <v>1600000</v>
      </c>
      <c r="I122" s="28"/>
      <c r="M122" s="444" t="s">
        <v>4937</v>
      </c>
      <c r="N122" s="447">
        <v>70000</v>
      </c>
    </row>
    <row r="123" spans="1:14">
      <c r="M123" s="444" t="s">
        <v>4938</v>
      </c>
      <c r="N123" s="447">
        <v>70000</v>
      </c>
    </row>
    <row r="124" spans="1:14">
      <c r="M124" s="444" t="s">
        <v>4939</v>
      </c>
      <c r="N124" s="447">
        <v>50000</v>
      </c>
    </row>
    <row r="125" spans="1:14">
      <c r="M125" s="444" t="s">
        <v>4940</v>
      </c>
      <c r="N125" s="447">
        <v>70000</v>
      </c>
    </row>
    <row r="126" spans="1:14">
      <c r="A126" s="651" t="s">
        <v>212</v>
      </c>
      <c r="B126" s="651"/>
      <c r="C126" s="651"/>
      <c r="D126" s="651"/>
      <c r="E126" s="651"/>
      <c r="F126" s="651"/>
      <c r="G126" s="651"/>
      <c r="H126" s="651"/>
      <c r="I126" s="651"/>
      <c r="M126" s="444" t="s">
        <v>937</v>
      </c>
      <c r="N126" s="447">
        <v>50000</v>
      </c>
    </row>
    <row r="127" spans="1:14" ht="57">
      <c r="A127" s="16" t="s">
        <v>11</v>
      </c>
      <c r="B127" s="17" t="s">
        <v>697</v>
      </c>
      <c r="C127" s="17" t="s">
        <v>698</v>
      </c>
      <c r="D127" s="17" t="s">
        <v>12</v>
      </c>
      <c r="E127" s="16" t="s">
        <v>699</v>
      </c>
      <c r="F127" s="16" t="s">
        <v>657</v>
      </c>
      <c r="G127" s="17" t="s">
        <v>700</v>
      </c>
      <c r="H127" s="16" t="s">
        <v>660</v>
      </c>
      <c r="I127" s="33" t="s">
        <v>27</v>
      </c>
      <c r="M127" s="444" t="s">
        <v>4941</v>
      </c>
      <c r="N127" s="447">
        <v>48000</v>
      </c>
    </row>
    <row r="128" spans="1:14">
      <c r="A128" s="35">
        <v>1</v>
      </c>
      <c r="B128" s="35" t="s">
        <v>676</v>
      </c>
      <c r="C128" s="35" t="s">
        <v>71</v>
      </c>
      <c r="D128" s="35" t="s">
        <v>4839</v>
      </c>
      <c r="E128" s="35" t="s">
        <v>661</v>
      </c>
      <c r="F128" s="36" t="s">
        <v>4942</v>
      </c>
      <c r="G128" s="35" t="s">
        <v>685</v>
      </c>
      <c r="H128" s="37">
        <v>500000</v>
      </c>
      <c r="I128" s="424" t="s">
        <v>4943</v>
      </c>
      <c r="M128" s="444" t="s">
        <v>959</v>
      </c>
      <c r="N128" s="447">
        <v>5000</v>
      </c>
    </row>
    <row r="129" spans="1:14">
      <c r="A129" s="35"/>
      <c r="B129" s="35"/>
      <c r="C129" s="35"/>
      <c r="D129" s="35"/>
      <c r="E129" s="297" t="s">
        <v>4944</v>
      </c>
      <c r="F129" s="36" t="s">
        <v>4945</v>
      </c>
      <c r="G129" s="35" t="s">
        <v>885</v>
      </c>
      <c r="H129" s="37">
        <v>420000</v>
      </c>
      <c r="I129" s="28"/>
      <c r="L129" s="444" t="s">
        <v>788</v>
      </c>
      <c r="M129" s="444" t="s">
        <v>4946</v>
      </c>
      <c r="N129" s="447">
        <v>90000</v>
      </c>
    </row>
    <row r="130" spans="1:14">
      <c r="A130" s="35"/>
      <c r="B130" s="35"/>
      <c r="C130" s="35"/>
      <c r="D130" s="35"/>
      <c r="E130" s="35" t="s">
        <v>684</v>
      </c>
      <c r="F130" s="36"/>
      <c r="G130" s="35"/>
      <c r="H130" s="37">
        <v>-500000</v>
      </c>
      <c r="I130" s="28"/>
    </row>
    <row r="131" spans="1:14">
      <c r="A131" s="35"/>
      <c r="B131" s="35"/>
      <c r="C131" s="35"/>
      <c r="D131" s="35"/>
      <c r="E131" s="35"/>
      <c r="F131" s="36"/>
      <c r="G131" s="35"/>
      <c r="H131" s="37"/>
      <c r="I131" s="424"/>
    </row>
    <row r="132" spans="1:14">
      <c r="A132" s="35"/>
      <c r="B132" s="35"/>
      <c r="C132" s="35"/>
      <c r="D132" s="35"/>
      <c r="E132" s="297"/>
      <c r="F132" s="36"/>
      <c r="G132" s="35"/>
      <c r="H132" s="37"/>
      <c r="I132" s="28"/>
    </row>
    <row r="133" spans="1:14">
      <c r="A133" s="35"/>
      <c r="B133" s="35"/>
      <c r="C133" s="35"/>
      <c r="D133" s="35"/>
      <c r="E133" s="477"/>
      <c r="F133" s="36"/>
      <c r="G133" s="35"/>
      <c r="H133" s="37"/>
      <c r="I133" s="28"/>
      <c r="M133" s="542" t="s">
        <v>665</v>
      </c>
      <c r="N133" s="545">
        <f>SUM(N116:N129)</f>
        <v>621000</v>
      </c>
    </row>
    <row r="134" spans="1:14">
      <c r="A134" s="35"/>
      <c r="B134" s="35"/>
      <c r="C134" s="35"/>
      <c r="D134" s="35"/>
      <c r="E134" s="35"/>
      <c r="F134" s="36"/>
      <c r="G134" s="35"/>
      <c r="H134" s="37">
        <f>SUM(H128:H133)</f>
        <v>420000</v>
      </c>
      <c r="I134" s="28"/>
    </row>
  </sheetData>
  <mergeCells count="12">
    <mergeCell ref="A126:I126"/>
    <mergeCell ref="A114:I114"/>
    <mergeCell ref="A72:I72"/>
    <mergeCell ref="A82:I82"/>
    <mergeCell ref="A91:I91"/>
    <mergeCell ref="A101:I101"/>
    <mergeCell ref="A57:I57"/>
    <mergeCell ref="A2:I2"/>
    <mergeCell ref="A13:I13"/>
    <mergeCell ref="A28:I28"/>
    <mergeCell ref="A38:I38"/>
    <mergeCell ref="A48:I48"/>
  </mergeCells>
  <hyperlinks>
    <hyperlink ref="A1" location="Name!A1" display="Name!A1" xr:uid="{295EB2D4-BD10-4492-9B76-6EB6E9B0AFD0}"/>
    <hyperlink ref="A100" location="Name!A1" display="Name!A1" xr:uid="{8A4EA603-D0B1-4069-9550-8C6B5826322A}"/>
  </hyperlinks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9802-5574-477D-A601-2F34679B4B13}">
  <dimension ref="A1:O103"/>
  <sheetViews>
    <sheetView topLeftCell="A64" workbookViewId="0">
      <selection activeCell="A83" sqref="A83"/>
    </sheetView>
  </sheetViews>
  <sheetFormatPr defaultRowHeight="21.75"/>
  <cols>
    <col min="3" max="3" width="20" customWidth="1"/>
    <col min="4" max="4" width="11.28515625" customWidth="1"/>
    <col min="5" max="5" width="23.140625" customWidth="1"/>
    <col min="7" max="7" width="15.140625" customWidth="1"/>
    <col min="8" max="8" width="14" customWidth="1"/>
    <col min="9" max="9" width="18.42578125" style="25" customWidth="1"/>
    <col min="10" max="10" width="18.28515625" style="25" customWidth="1"/>
    <col min="13" max="13" width="12.7109375" customWidth="1"/>
    <col min="14" max="14" width="43" customWidth="1"/>
    <col min="15" max="15" width="21.85546875" style="328" customWidth="1"/>
  </cols>
  <sheetData>
    <row r="1" spans="1:9">
      <c r="A1" s="410" t="s">
        <v>648</v>
      </c>
    </row>
    <row r="2" spans="1:9">
      <c r="A2" s="651" t="s">
        <v>4947</v>
      </c>
      <c r="B2" s="651"/>
      <c r="C2" s="651"/>
      <c r="D2" s="651"/>
      <c r="E2" s="651"/>
      <c r="F2" s="651"/>
      <c r="G2" s="651"/>
      <c r="H2" s="651"/>
    </row>
    <row r="3" spans="1:9">
      <c r="A3" s="26">
        <v>1</v>
      </c>
      <c r="B3" s="26"/>
      <c r="C3" s="26"/>
      <c r="D3" s="26"/>
      <c r="E3" s="27"/>
      <c r="F3" s="26"/>
      <c r="G3" s="28"/>
      <c r="H3" s="28"/>
    </row>
    <row r="4" spans="1:9">
      <c r="A4" s="26"/>
      <c r="B4" s="26"/>
      <c r="C4" s="26"/>
      <c r="D4" s="26"/>
      <c r="E4" s="27"/>
      <c r="F4" s="26"/>
      <c r="G4" s="28"/>
      <c r="H4" s="28"/>
    </row>
    <row r="5" spans="1:9">
      <c r="A5" s="29"/>
      <c r="B5" s="29"/>
      <c r="C5" s="29"/>
      <c r="D5" s="29"/>
      <c r="E5" s="30"/>
      <c r="F5" s="29"/>
      <c r="G5" s="31"/>
      <c r="H5" s="29"/>
    </row>
    <row r="6" spans="1:9">
      <c r="A6" s="29"/>
      <c r="B6" s="29"/>
      <c r="C6" s="29"/>
      <c r="D6" s="29"/>
      <c r="E6" s="29"/>
      <c r="F6" s="29"/>
      <c r="G6" s="31"/>
      <c r="H6" s="29"/>
    </row>
    <row r="7" spans="1:9">
      <c r="A7" s="29"/>
      <c r="B7" s="29"/>
      <c r="C7" s="29"/>
      <c r="D7" s="29"/>
      <c r="E7" s="29"/>
      <c r="F7" s="29"/>
      <c r="G7" s="31"/>
      <c r="H7" s="29"/>
    </row>
    <row r="8" spans="1:9">
      <c r="A8" s="29"/>
      <c r="B8" s="29"/>
      <c r="C8" s="29"/>
      <c r="D8" s="29"/>
      <c r="E8" s="29"/>
      <c r="F8" s="29"/>
      <c r="G8" s="31"/>
      <c r="H8" s="29"/>
    </row>
    <row r="9" spans="1:9">
      <c r="A9" s="29"/>
      <c r="B9" s="29"/>
      <c r="C9" s="29"/>
      <c r="D9" s="29"/>
      <c r="E9" s="29"/>
      <c r="F9" s="29"/>
      <c r="G9" s="31"/>
      <c r="H9" s="29"/>
    </row>
    <row r="10" spans="1:9">
      <c r="A10" s="29"/>
      <c r="B10" s="29"/>
      <c r="C10" s="29"/>
      <c r="D10" s="29"/>
      <c r="E10" s="29"/>
      <c r="F10" s="29"/>
      <c r="G10" s="31"/>
      <c r="H10" s="29"/>
    </row>
    <row r="11" spans="1:9">
      <c r="A11" s="29"/>
      <c r="B11" s="29"/>
      <c r="C11" s="29"/>
      <c r="D11" s="29"/>
      <c r="E11" s="29"/>
      <c r="F11" s="29"/>
      <c r="G11" s="31"/>
      <c r="H11" s="29"/>
    </row>
    <row r="12" spans="1:9">
      <c r="A12" s="29"/>
      <c r="B12" s="29"/>
      <c r="C12" s="29"/>
      <c r="D12" s="29"/>
      <c r="E12" s="29"/>
      <c r="F12" s="29"/>
      <c r="G12" s="31"/>
      <c r="H12" s="29"/>
    </row>
    <row r="13" spans="1:9">
      <c r="A13" s="29"/>
      <c r="B13" s="29"/>
      <c r="C13" s="29"/>
      <c r="D13" s="29"/>
      <c r="E13" s="29"/>
      <c r="F13" s="29"/>
      <c r="G13" s="31"/>
      <c r="H13" s="29"/>
      <c r="I13" s="32" t="s">
        <v>4948</v>
      </c>
    </row>
    <row r="14" spans="1:9">
      <c r="I14" s="25" t="s">
        <v>4949</v>
      </c>
    </row>
    <row r="18" spans="1:10">
      <c r="A18" s="651" t="s">
        <v>2833</v>
      </c>
      <c r="B18" s="651"/>
      <c r="C18" s="651"/>
      <c r="D18" s="651"/>
      <c r="E18" s="651"/>
      <c r="F18" s="651"/>
      <c r="G18" s="651"/>
      <c r="H18" s="651"/>
      <c r="I18" s="651"/>
    </row>
    <row r="19" spans="1:10" ht="28.5">
      <c r="A19" s="16" t="s">
        <v>11</v>
      </c>
      <c r="B19" s="17" t="s">
        <v>697</v>
      </c>
      <c r="C19" s="17" t="s">
        <v>698</v>
      </c>
      <c r="D19" s="17" t="s">
        <v>12</v>
      </c>
      <c r="E19" s="16" t="s">
        <v>699</v>
      </c>
      <c r="F19" s="16" t="s">
        <v>657</v>
      </c>
      <c r="G19" s="17" t="s">
        <v>700</v>
      </c>
      <c r="H19" s="16" t="s">
        <v>660</v>
      </c>
      <c r="I19" s="33" t="s">
        <v>27</v>
      </c>
    </row>
    <row r="20" spans="1:10">
      <c r="A20" s="18">
        <v>1</v>
      </c>
      <c r="B20" s="18" t="s">
        <v>676</v>
      </c>
      <c r="C20" s="18" t="s">
        <v>64</v>
      </c>
      <c r="D20" s="18" t="s">
        <v>4928</v>
      </c>
      <c r="E20" s="34"/>
      <c r="F20" s="20" t="s">
        <v>4950</v>
      </c>
      <c r="G20" s="18" t="s">
        <v>2858</v>
      </c>
      <c r="H20" s="21">
        <v>400000</v>
      </c>
      <c r="I20" s="9"/>
    </row>
    <row r="21" spans="1:10">
      <c r="A21" s="18"/>
      <c r="B21" s="18"/>
      <c r="C21" s="18"/>
      <c r="D21" s="18"/>
      <c r="E21" s="19" t="s">
        <v>4951</v>
      </c>
      <c r="F21" s="20" t="s">
        <v>4950</v>
      </c>
      <c r="G21" s="18" t="s">
        <v>2858</v>
      </c>
      <c r="H21" s="21">
        <v>800000</v>
      </c>
      <c r="I21" s="9"/>
      <c r="J21" s="25" t="s">
        <v>4952</v>
      </c>
    </row>
    <row r="22" spans="1:10">
      <c r="A22" s="18"/>
      <c r="B22" s="18"/>
      <c r="C22" s="18"/>
      <c r="D22" s="18"/>
      <c r="E22" s="18"/>
      <c r="F22" s="20"/>
      <c r="G22" s="18"/>
      <c r="H22" s="21"/>
      <c r="I22" s="9"/>
    </row>
    <row r="23" spans="1:10">
      <c r="A23" s="18"/>
      <c r="B23" s="18"/>
      <c r="C23" s="18"/>
      <c r="D23" s="18"/>
      <c r="E23" s="18"/>
      <c r="F23" s="20"/>
      <c r="G23" s="18"/>
      <c r="H23" s="21"/>
      <c r="I23" s="9"/>
    </row>
    <row r="24" spans="1:10">
      <c r="A24" s="18"/>
      <c r="B24" s="18"/>
      <c r="C24" s="18"/>
      <c r="D24" s="18"/>
      <c r="E24" s="19"/>
      <c r="F24" s="20"/>
      <c r="G24" s="18"/>
      <c r="H24" s="21"/>
      <c r="I24" s="9"/>
    </row>
    <row r="25" spans="1:10">
      <c r="A25" s="18"/>
      <c r="B25" s="18"/>
      <c r="C25" s="18"/>
      <c r="D25" s="18"/>
      <c r="E25" s="18"/>
      <c r="F25" s="20"/>
      <c r="G25" s="18"/>
      <c r="H25" s="21"/>
      <c r="I25" s="9"/>
    </row>
    <row r="26" spans="1:10">
      <c r="A26" s="18"/>
      <c r="B26" s="18"/>
      <c r="C26" s="18"/>
      <c r="D26" s="18"/>
      <c r="E26" s="18"/>
      <c r="F26" s="20"/>
      <c r="G26" s="18"/>
      <c r="H26" s="21"/>
      <c r="I26" s="9"/>
    </row>
    <row r="31" spans="1:10">
      <c r="A31" s="651" t="s">
        <v>4953</v>
      </c>
      <c r="B31" s="651"/>
      <c r="C31" s="651"/>
      <c r="D31" s="651"/>
      <c r="E31" s="651"/>
      <c r="F31" s="651"/>
      <c r="G31" s="651"/>
      <c r="H31" s="651"/>
      <c r="I31" s="651"/>
    </row>
    <row r="32" spans="1:10" ht="28.5">
      <c r="A32" s="16" t="s">
        <v>11</v>
      </c>
      <c r="B32" s="17" t="s">
        <v>697</v>
      </c>
      <c r="C32" s="17" t="s">
        <v>698</v>
      </c>
      <c r="D32" s="17" t="s">
        <v>12</v>
      </c>
      <c r="E32" s="16" t="s">
        <v>699</v>
      </c>
      <c r="F32" s="16" t="s">
        <v>657</v>
      </c>
      <c r="G32" s="17" t="s">
        <v>700</v>
      </c>
      <c r="H32" s="16" t="s">
        <v>660</v>
      </c>
      <c r="I32" s="33" t="s">
        <v>27</v>
      </c>
    </row>
    <row r="33" spans="1:10">
      <c r="A33" s="18">
        <v>1</v>
      </c>
      <c r="B33" s="18" t="s">
        <v>676</v>
      </c>
      <c r="C33" s="18" t="s">
        <v>64</v>
      </c>
      <c r="D33" s="18" t="s">
        <v>4928</v>
      </c>
      <c r="E33" s="34" t="s">
        <v>703</v>
      </c>
      <c r="F33" s="20" t="s">
        <v>4954</v>
      </c>
      <c r="G33" s="18" t="s">
        <v>4955</v>
      </c>
      <c r="H33" s="21">
        <v>400000</v>
      </c>
      <c r="I33" s="9"/>
    </row>
    <row r="34" spans="1:10">
      <c r="A34" s="18"/>
      <c r="B34" s="18"/>
      <c r="C34" s="18"/>
      <c r="D34" s="18"/>
      <c r="E34" s="19" t="s">
        <v>4956</v>
      </c>
      <c r="F34" s="20" t="s">
        <v>4954</v>
      </c>
      <c r="G34" s="18" t="s">
        <v>4955</v>
      </c>
      <c r="H34" s="21">
        <v>400000</v>
      </c>
      <c r="I34" s="9"/>
    </row>
    <row r="35" spans="1:10">
      <c r="A35" s="18"/>
      <c r="B35" s="18"/>
      <c r="C35" s="18"/>
      <c r="D35" s="18"/>
      <c r="E35" s="18" t="s">
        <v>4454</v>
      </c>
      <c r="F35" s="20" t="s">
        <v>4957</v>
      </c>
      <c r="G35" s="18" t="s">
        <v>4958</v>
      </c>
      <c r="H35" s="21">
        <v>400000</v>
      </c>
      <c r="I35" s="9"/>
      <c r="J35" s="25" t="s">
        <v>4959</v>
      </c>
    </row>
    <row r="36" spans="1:10">
      <c r="A36" s="18"/>
      <c r="B36" s="18"/>
      <c r="C36" s="18"/>
      <c r="D36" s="18"/>
      <c r="E36" s="18" t="s">
        <v>4960</v>
      </c>
      <c r="F36" s="20" t="s">
        <v>4961</v>
      </c>
      <c r="G36" s="18" t="s">
        <v>4962</v>
      </c>
      <c r="H36" s="21">
        <v>800000</v>
      </c>
      <c r="I36" s="9"/>
    </row>
    <row r="37" spans="1:10">
      <c r="A37" s="18"/>
      <c r="B37" s="18"/>
      <c r="C37" s="18"/>
      <c r="D37" s="18"/>
      <c r="E37" s="19" t="s">
        <v>1006</v>
      </c>
      <c r="F37" s="20" t="s">
        <v>4961</v>
      </c>
      <c r="G37" s="18" t="s">
        <v>4962</v>
      </c>
      <c r="H37" s="21">
        <v>-200000</v>
      </c>
      <c r="I37" s="9"/>
    </row>
    <row r="38" spans="1:10">
      <c r="A38" s="18"/>
      <c r="B38" s="18"/>
      <c r="C38" s="18"/>
      <c r="D38" s="18"/>
      <c r="E38" s="18"/>
      <c r="F38" s="20"/>
      <c r="G38" s="18"/>
      <c r="H38" s="21"/>
      <c r="I38" s="9"/>
      <c r="J38" s="25" t="s">
        <v>4963</v>
      </c>
    </row>
    <row r="39" spans="1:10">
      <c r="A39" s="18"/>
      <c r="B39" s="18"/>
      <c r="C39" s="18"/>
      <c r="D39" s="18"/>
      <c r="E39" s="18"/>
      <c r="F39" s="20"/>
      <c r="G39" s="18"/>
      <c r="H39" s="21"/>
      <c r="I39" s="9"/>
    </row>
    <row r="42" spans="1:10">
      <c r="A42" s="651" t="s">
        <v>4964</v>
      </c>
      <c r="B42" s="651"/>
      <c r="C42" s="651"/>
      <c r="D42" s="651"/>
      <c r="E42" s="651"/>
      <c r="F42" s="651"/>
      <c r="G42" s="651"/>
      <c r="H42" s="651"/>
      <c r="I42" s="651"/>
    </row>
    <row r="43" spans="1:10" ht="28.5">
      <c r="A43" s="16" t="s">
        <v>11</v>
      </c>
      <c r="B43" s="17" t="s">
        <v>697</v>
      </c>
      <c r="C43" s="17" t="s">
        <v>698</v>
      </c>
      <c r="D43" s="17" t="s">
        <v>12</v>
      </c>
      <c r="E43" s="16" t="s">
        <v>699</v>
      </c>
      <c r="F43" s="16" t="s">
        <v>657</v>
      </c>
      <c r="G43" s="17" t="s">
        <v>700</v>
      </c>
      <c r="H43" s="16" t="s">
        <v>660</v>
      </c>
      <c r="I43" s="33" t="s">
        <v>27</v>
      </c>
    </row>
    <row r="44" spans="1:10">
      <c r="A44" s="18">
        <v>1</v>
      </c>
      <c r="B44" s="18" t="s">
        <v>676</v>
      </c>
      <c r="C44" s="18" t="s">
        <v>64</v>
      </c>
      <c r="D44" s="18" t="s">
        <v>4928</v>
      </c>
      <c r="E44" s="34" t="s">
        <v>703</v>
      </c>
      <c r="F44" s="20" t="s">
        <v>4965</v>
      </c>
      <c r="G44" s="18" t="s">
        <v>3600</v>
      </c>
      <c r="H44" s="21">
        <v>400000</v>
      </c>
      <c r="I44" s="9"/>
      <c r="J44" s="25" t="s">
        <v>4966</v>
      </c>
    </row>
    <row r="45" spans="1:10">
      <c r="A45" s="18"/>
      <c r="B45" s="18"/>
      <c r="C45" s="18"/>
      <c r="D45" s="18"/>
      <c r="E45" s="19" t="s">
        <v>4967</v>
      </c>
      <c r="F45" s="20" t="s">
        <v>4965</v>
      </c>
      <c r="G45" s="18" t="s">
        <v>3600</v>
      </c>
      <c r="H45" s="21">
        <v>400000</v>
      </c>
      <c r="I45" s="9"/>
    </row>
    <row r="46" spans="1:10">
      <c r="A46" s="18"/>
      <c r="B46" s="18"/>
      <c r="C46" s="18"/>
      <c r="D46" s="18"/>
      <c r="E46" s="18" t="s">
        <v>4968</v>
      </c>
      <c r="F46" s="20" t="s">
        <v>4969</v>
      </c>
      <c r="G46" s="18" t="s">
        <v>3600</v>
      </c>
      <c r="H46" s="21">
        <v>400000</v>
      </c>
      <c r="I46" s="9"/>
    </row>
    <row r="47" spans="1:10">
      <c r="A47" s="18"/>
      <c r="B47" s="18"/>
      <c r="C47" s="18"/>
      <c r="D47" s="18"/>
      <c r="E47" s="18" t="s">
        <v>1066</v>
      </c>
      <c r="F47" s="20"/>
      <c r="G47" s="18" t="s">
        <v>4970</v>
      </c>
      <c r="H47" s="21">
        <v>-400000</v>
      </c>
      <c r="I47" s="9"/>
    </row>
    <row r="48" spans="1:10">
      <c r="A48" s="18"/>
      <c r="B48" s="18"/>
      <c r="C48" s="18"/>
      <c r="D48" s="18"/>
      <c r="E48" s="19"/>
      <c r="F48" s="20"/>
      <c r="G48" s="18"/>
      <c r="H48" s="21"/>
      <c r="I48" s="9"/>
    </row>
    <row r="49" spans="1:10">
      <c r="A49" s="18"/>
      <c r="B49" s="18"/>
      <c r="C49" s="18"/>
      <c r="D49" s="18"/>
      <c r="E49" s="18"/>
      <c r="F49" s="20"/>
      <c r="G49" s="18"/>
      <c r="H49" s="21"/>
      <c r="I49" s="9"/>
    </row>
    <row r="50" spans="1:10">
      <c r="A50" s="18"/>
      <c r="B50" s="18"/>
      <c r="C50" s="18"/>
      <c r="D50" s="18"/>
      <c r="E50" s="18"/>
      <c r="F50" s="20"/>
      <c r="G50" s="18"/>
      <c r="H50" s="21"/>
      <c r="I50" s="9"/>
    </row>
    <row r="52" spans="1:10">
      <c r="A52" s="651" t="s">
        <v>4971</v>
      </c>
      <c r="B52" s="651"/>
      <c r="C52" s="651"/>
      <c r="D52" s="651"/>
      <c r="E52" s="651"/>
      <c r="F52" s="651"/>
      <c r="G52" s="651"/>
      <c r="H52" s="651"/>
      <c r="I52" s="651"/>
    </row>
    <row r="53" spans="1:10" ht="28.5">
      <c r="A53" s="16" t="s">
        <v>11</v>
      </c>
      <c r="B53" s="17" t="s">
        <v>697</v>
      </c>
      <c r="C53" s="17" t="s">
        <v>698</v>
      </c>
      <c r="D53" s="17" t="s">
        <v>12</v>
      </c>
      <c r="E53" s="16" t="s">
        <v>699</v>
      </c>
      <c r="F53" s="16" t="s">
        <v>657</v>
      </c>
      <c r="G53" s="17" t="s">
        <v>700</v>
      </c>
      <c r="H53" s="16" t="s">
        <v>660</v>
      </c>
      <c r="I53" s="33" t="s">
        <v>27</v>
      </c>
    </row>
    <row r="54" spans="1:10">
      <c r="A54" s="18">
        <v>1</v>
      </c>
      <c r="B54" s="18" t="s">
        <v>676</v>
      </c>
      <c r="C54" s="18" t="s">
        <v>64</v>
      </c>
      <c r="D54" s="18" t="s">
        <v>4928</v>
      </c>
      <c r="E54" s="34" t="s">
        <v>703</v>
      </c>
      <c r="F54" s="20" t="s">
        <v>4972</v>
      </c>
      <c r="G54" s="18" t="s">
        <v>4973</v>
      </c>
      <c r="H54" s="21">
        <v>400000</v>
      </c>
      <c r="I54" s="9"/>
    </row>
    <row r="55" spans="1:10">
      <c r="A55" s="18"/>
      <c r="B55" s="18"/>
      <c r="C55" s="18"/>
      <c r="D55" s="18"/>
      <c r="E55" s="19" t="s">
        <v>4974</v>
      </c>
      <c r="F55" s="20" t="s">
        <v>4972</v>
      </c>
      <c r="G55" s="18" t="s">
        <v>4973</v>
      </c>
      <c r="H55" s="21">
        <v>400000</v>
      </c>
      <c r="I55" s="9"/>
    </row>
    <row r="56" spans="1:10">
      <c r="A56" s="18"/>
      <c r="B56" s="18"/>
      <c r="C56" s="18"/>
      <c r="D56" s="18"/>
      <c r="E56" s="18" t="s">
        <v>4975</v>
      </c>
      <c r="F56" s="20" t="s">
        <v>4976</v>
      </c>
      <c r="G56" s="18" t="s">
        <v>4977</v>
      </c>
      <c r="H56" s="21">
        <v>1200000</v>
      </c>
      <c r="I56" s="9"/>
    </row>
    <row r="57" spans="1:10">
      <c r="A57" s="18"/>
      <c r="B57" s="18"/>
      <c r="C57" s="18"/>
      <c r="D57" s="18"/>
      <c r="E57" s="18" t="s">
        <v>2096</v>
      </c>
      <c r="F57" s="20" t="s">
        <v>4976</v>
      </c>
      <c r="G57" s="18" t="s">
        <v>4977</v>
      </c>
      <c r="H57" s="21">
        <v>-400000</v>
      </c>
      <c r="I57" s="9"/>
      <c r="J57" s="25" t="s">
        <v>4978</v>
      </c>
    </row>
    <row r="58" spans="1:10">
      <c r="A58" s="18"/>
      <c r="B58" s="18"/>
      <c r="C58" s="18"/>
      <c r="D58" s="18"/>
      <c r="E58" s="19"/>
      <c r="F58" s="20"/>
      <c r="G58" s="18"/>
      <c r="H58" s="21"/>
      <c r="I58" s="9"/>
    </row>
    <row r="59" spans="1:10">
      <c r="A59" s="18"/>
      <c r="B59" s="18"/>
      <c r="C59" s="18"/>
      <c r="D59" s="18"/>
      <c r="E59" s="18"/>
      <c r="F59" s="20"/>
      <c r="G59" s="18"/>
      <c r="H59" s="21"/>
      <c r="I59" s="9"/>
    </row>
    <row r="60" spans="1:10">
      <c r="A60" s="18"/>
      <c r="B60" s="18"/>
      <c r="C60" s="18"/>
      <c r="D60" s="18"/>
      <c r="E60" s="18"/>
      <c r="F60" s="20"/>
      <c r="G60" s="18"/>
      <c r="H60" s="21"/>
      <c r="I60" s="9"/>
    </row>
    <row r="62" spans="1:10">
      <c r="A62" s="651" t="s">
        <v>4979</v>
      </c>
      <c r="B62" s="651"/>
      <c r="C62" s="651"/>
      <c r="D62" s="651"/>
      <c r="E62" s="651"/>
      <c r="F62" s="651"/>
      <c r="G62" s="651"/>
      <c r="H62" s="651"/>
      <c r="I62" s="651"/>
    </row>
    <row r="63" spans="1:10" ht="28.5">
      <c r="A63" s="16" t="s">
        <v>11</v>
      </c>
      <c r="B63" s="17" t="s">
        <v>697</v>
      </c>
      <c r="C63" s="17" t="s">
        <v>698</v>
      </c>
      <c r="D63" s="17" t="s">
        <v>12</v>
      </c>
      <c r="E63" s="16" t="s">
        <v>699</v>
      </c>
      <c r="F63" s="16" t="s">
        <v>657</v>
      </c>
      <c r="G63" s="17" t="s">
        <v>700</v>
      </c>
      <c r="H63" s="16" t="s">
        <v>660</v>
      </c>
      <c r="I63" s="33" t="s">
        <v>27</v>
      </c>
    </row>
    <row r="64" spans="1:10">
      <c r="A64" s="35">
        <v>1</v>
      </c>
      <c r="B64" s="35" t="s">
        <v>676</v>
      </c>
      <c r="C64" s="35" t="s">
        <v>64</v>
      </c>
      <c r="D64" s="35" t="s">
        <v>4928</v>
      </c>
      <c r="E64" s="35" t="s">
        <v>4980</v>
      </c>
      <c r="F64" s="36" t="s">
        <v>4981</v>
      </c>
      <c r="G64" s="35" t="s">
        <v>3221</v>
      </c>
      <c r="H64" s="37">
        <v>400000</v>
      </c>
      <c r="I64" s="28"/>
    </row>
    <row r="65" spans="1:10">
      <c r="A65" s="35"/>
      <c r="B65" s="35"/>
      <c r="C65" s="35"/>
      <c r="D65" s="35"/>
      <c r="E65" s="38" t="s">
        <v>4982</v>
      </c>
      <c r="F65" s="36" t="s">
        <v>4983</v>
      </c>
      <c r="G65" s="35" t="s">
        <v>4984</v>
      </c>
      <c r="H65" s="37">
        <v>400000</v>
      </c>
      <c r="I65" s="28"/>
    </row>
    <row r="66" spans="1:10">
      <c r="A66" s="35"/>
      <c r="B66" s="35"/>
      <c r="C66" s="35"/>
      <c r="D66" s="35"/>
      <c r="E66" s="35" t="s">
        <v>4985</v>
      </c>
      <c r="F66" s="36" t="s">
        <v>4986</v>
      </c>
      <c r="G66" s="35" t="s">
        <v>1883</v>
      </c>
      <c r="H66" s="37">
        <v>400000</v>
      </c>
      <c r="I66" s="28"/>
      <c r="J66" s="25" t="s">
        <v>710</v>
      </c>
    </row>
    <row r="67" spans="1:10">
      <c r="A67" s="35"/>
      <c r="B67" s="35"/>
      <c r="C67" s="35"/>
      <c r="D67" s="35"/>
      <c r="E67" s="35" t="s">
        <v>4987</v>
      </c>
      <c r="F67" s="36" t="s">
        <v>4988</v>
      </c>
      <c r="G67" s="35" t="s">
        <v>4989</v>
      </c>
      <c r="H67" s="37">
        <v>400000</v>
      </c>
      <c r="I67" s="28"/>
      <c r="J67" s="25" t="s">
        <v>710</v>
      </c>
    </row>
    <row r="68" spans="1:10">
      <c r="A68" s="35"/>
      <c r="B68" s="35"/>
      <c r="C68" s="35"/>
      <c r="D68" s="35"/>
      <c r="E68" s="801" t="s">
        <v>1030</v>
      </c>
      <c r="F68" s="36"/>
      <c r="G68" s="35" t="s">
        <v>4990</v>
      </c>
      <c r="H68" s="37">
        <v>300000</v>
      </c>
      <c r="I68" s="28"/>
      <c r="J68" s="25" t="s">
        <v>710</v>
      </c>
    </row>
    <row r="69" spans="1:10">
      <c r="A69" s="35"/>
      <c r="B69" s="35"/>
      <c r="C69" s="35"/>
      <c r="D69" s="35"/>
      <c r="E69" s="802"/>
      <c r="F69" s="36"/>
      <c r="G69" s="35" t="s">
        <v>4991</v>
      </c>
      <c r="H69" s="37">
        <v>100000</v>
      </c>
      <c r="I69" s="28"/>
      <c r="J69" s="25" t="s">
        <v>710</v>
      </c>
    </row>
    <row r="70" spans="1:10">
      <c r="A70" s="35"/>
      <c r="B70" s="35"/>
      <c r="C70" s="35"/>
      <c r="D70" s="35"/>
      <c r="E70" s="35"/>
      <c r="F70" s="36"/>
      <c r="G70" s="35"/>
      <c r="H70" s="37"/>
      <c r="I70" s="28"/>
      <c r="J70" s="40" t="s">
        <v>4992</v>
      </c>
    </row>
    <row r="71" spans="1:10">
      <c r="A71" s="410" t="s">
        <v>648</v>
      </c>
    </row>
    <row r="72" spans="1:10">
      <c r="A72" s="651" t="s">
        <v>4993</v>
      </c>
      <c r="B72" s="651"/>
      <c r="C72" s="651"/>
      <c r="D72" s="651"/>
      <c r="E72" s="651"/>
      <c r="F72" s="651"/>
      <c r="G72" s="651"/>
      <c r="H72" s="651"/>
      <c r="I72" s="651"/>
    </row>
    <row r="73" spans="1:10" ht="28.5">
      <c r="A73" s="16" t="s">
        <v>11</v>
      </c>
      <c r="B73" s="17" t="s">
        <v>697</v>
      </c>
      <c r="C73" s="17" t="s">
        <v>698</v>
      </c>
      <c r="D73" s="17" t="s">
        <v>12</v>
      </c>
      <c r="E73" s="16" t="s">
        <v>699</v>
      </c>
      <c r="F73" s="16" t="s">
        <v>657</v>
      </c>
      <c r="G73" s="17" t="s">
        <v>700</v>
      </c>
      <c r="H73" s="16" t="s">
        <v>660</v>
      </c>
      <c r="I73" s="33" t="s">
        <v>27</v>
      </c>
    </row>
    <row r="74" spans="1:10">
      <c r="A74" s="35">
        <v>1</v>
      </c>
      <c r="B74" s="35" t="s">
        <v>676</v>
      </c>
      <c r="C74" s="35" t="s">
        <v>64</v>
      </c>
      <c r="D74" s="35" t="s">
        <v>4928</v>
      </c>
      <c r="E74" s="35" t="s">
        <v>661</v>
      </c>
      <c r="F74" s="36" t="s">
        <v>4994</v>
      </c>
      <c r="G74" s="35" t="s">
        <v>3325</v>
      </c>
      <c r="H74" s="37">
        <v>800000</v>
      </c>
      <c r="I74" s="28"/>
    </row>
    <row r="75" spans="1:10">
      <c r="A75" s="35"/>
      <c r="B75" s="35"/>
      <c r="C75" s="35"/>
      <c r="D75" s="35"/>
      <c r="E75" s="38" t="s">
        <v>3897</v>
      </c>
      <c r="F75" s="36" t="s">
        <v>4994</v>
      </c>
      <c r="G75" s="35" t="s">
        <v>3325</v>
      </c>
      <c r="H75" s="37">
        <v>800000</v>
      </c>
      <c r="I75" s="28"/>
    </row>
    <row r="76" spans="1:10">
      <c r="A76" s="35"/>
      <c r="B76" s="35"/>
      <c r="C76" s="35"/>
      <c r="D76" s="35"/>
      <c r="E76" s="35" t="s">
        <v>4995</v>
      </c>
      <c r="F76" s="36" t="s">
        <v>4996</v>
      </c>
      <c r="G76" s="35" t="s">
        <v>4997</v>
      </c>
      <c r="H76" s="37">
        <v>1600000</v>
      </c>
      <c r="I76" s="28"/>
    </row>
    <row r="77" spans="1:10">
      <c r="A77" s="35"/>
      <c r="B77" s="35"/>
      <c r="C77" s="35"/>
      <c r="D77" s="35"/>
      <c r="E77" s="35" t="s">
        <v>684</v>
      </c>
      <c r="F77" s="36" t="s">
        <v>4996</v>
      </c>
      <c r="G77" s="35" t="s">
        <v>4997</v>
      </c>
      <c r="H77" s="37">
        <v>-800000</v>
      </c>
      <c r="I77" s="424" t="s">
        <v>4998</v>
      </c>
    </row>
    <row r="78" spans="1:10">
      <c r="A78" s="35"/>
      <c r="B78" s="35"/>
      <c r="C78" s="35"/>
      <c r="D78" s="35"/>
      <c r="E78" s="801"/>
      <c r="F78" s="36"/>
      <c r="G78" s="35"/>
      <c r="H78" s="37"/>
      <c r="I78" s="28"/>
    </row>
    <row r="79" spans="1:10">
      <c r="A79" s="35"/>
      <c r="B79" s="35"/>
      <c r="C79" s="35"/>
      <c r="D79" s="35"/>
      <c r="E79" s="802"/>
      <c r="F79" s="36"/>
      <c r="G79" s="35"/>
      <c r="H79" s="37"/>
      <c r="I79" s="28"/>
    </row>
    <row r="80" spans="1:10">
      <c r="A80" s="35"/>
      <c r="B80" s="35"/>
      <c r="C80" s="35"/>
      <c r="D80" s="35"/>
      <c r="E80" s="35"/>
      <c r="F80" s="36"/>
      <c r="G80" s="35"/>
      <c r="H80" s="37">
        <f>SUM(H74:H79)</f>
        <v>2400000</v>
      </c>
      <c r="I80" s="28"/>
    </row>
    <row r="83" spans="1:15">
      <c r="A83" s="410" t="s">
        <v>648</v>
      </c>
    </row>
    <row r="84" spans="1:15" ht="31.15" customHeight="1">
      <c r="A84" s="651" t="s">
        <v>4707</v>
      </c>
      <c r="B84" s="651"/>
      <c r="C84" s="651"/>
      <c r="D84" s="651"/>
      <c r="E84" s="651"/>
      <c r="F84" s="651"/>
      <c r="G84" s="651"/>
      <c r="H84" s="651"/>
      <c r="I84" s="651"/>
      <c r="M84" s="520" t="s">
        <v>807</v>
      </c>
      <c r="N84" s="520" t="s">
        <v>651</v>
      </c>
      <c r="O84" s="522" t="s">
        <v>652</v>
      </c>
    </row>
    <row r="85" spans="1:15" ht="31.15" customHeight="1">
      <c r="A85" s="16" t="s">
        <v>11</v>
      </c>
      <c r="B85" s="17" t="s">
        <v>697</v>
      </c>
      <c r="C85" s="17" t="s">
        <v>698</v>
      </c>
      <c r="D85" s="17" t="s">
        <v>12</v>
      </c>
      <c r="E85" s="16" t="s">
        <v>699</v>
      </c>
      <c r="F85" s="16" t="s">
        <v>657</v>
      </c>
      <c r="G85" s="17" t="s">
        <v>700</v>
      </c>
      <c r="H85" s="16" t="s">
        <v>660</v>
      </c>
      <c r="I85" s="33" t="s">
        <v>27</v>
      </c>
      <c r="M85" s="463" t="s">
        <v>4397</v>
      </c>
      <c r="N85" s="463" t="s">
        <v>4930</v>
      </c>
      <c r="O85" s="481">
        <v>70000</v>
      </c>
    </row>
    <row r="86" spans="1:15" ht="31.15" customHeight="1">
      <c r="A86" s="35">
        <v>1</v>
      </c>
      <c r="B86" s="35" t="s">
        <v>676</v>
      </c>
      <c r="C86" s="35" t="s">
        <v>64</v>
      </c>
      <c r="D86" s="35" t="s">
        <v>4928</v>
      </c>
      <c r="E86" s="35" t="s">
        <v>661</v>
      </c>
      <c r="F86" s="36" t="s">
        <v>4929</v>
      </c>
      <c r="G86" s="35" t="s">
        <v>938</v>
      </c>
      <c r="H86" s="37">
        <v>800000</v>
      </c>
      <c r="I86" s="28" t="s">
        <v>664</v>
      </c>
      <c r="M86" s="463" t="s">
        <v>4397</v>
      </c>
      <c r="N86" s="463" t="s">
        <v>4932</v>
      </c>
      <c r="O86" s="481">
        <v>35000</v>
      </c>
    </row>
    <row r="87" spans="1:15" ht="31.15" customHeight="1">
      <c r="A87" s="35"/>
      <c r="B87" s="35"/>
      <c r="C87" s="35"/>
      <c r="D87" s="35"/>
      <c r="E87" s="297" t="s">
        <v>943</v>
      </c>
      <c r="F87" s="36" t="s">
        <v>4929</v>
      </c>
      <c r="G87" s="35" t="s">
        <v>938</v>
      </c>
      <c r="H87" s="37">
        <v>800000</v>
      </c>
      <c r="I87" s="28" t="s">
        <v>664</v>
      </c>
      <c r="J87" s="43" t="s">
        <v>4999</v>
      </c>
      <c r="K87" s="44"/>
      <c r="L87" s="43"/>
      <c r="M87" s="521" t="s">
        <v>4397</v>
      </c>
      <c r="N87" s="463" t="s">
        <v>5000</v>
      </c>
      <c r="O87" s="481">
        <v>30000</v>
      </c>
    </row>
    <row r="88" spans="1:15" ht="31.15" customHeight="1">
      <c r="A88" s="35"/>
      <c r="B88" s="35"/>
      <c r="C88" s="35"/>
      <c r="D88" s="35"/>
      <c r="E88" s="35" t="s">
        <v>5001</v>
      </c>
      <c r="F88" s="36" t="s">
        <v>5002</v>
      </c>
      <c r="G88" s="35" t="s">
        <v>3003</v>
      </c>
      <c r="H88" s="37">
        <v>453500</v>
      </c>
      <c r="I88" s="28" t="s">
        <v>664</v>
      </c>
      <c r="M88" s="463" t="s">
        <v>5003</v>
      </c>
      <c r="N88" s="463" t="s">
        <v>5004</v>
      </c>
      <c r="O88" s="481">
        <v>35000</v>
      </c>
    </row>
    <row r="89" spans="1:15" ht="31.15" customHeight="1">
      <c r="A89" s="35"/>
      <c r="B89" s="35"/>
      <c r="C89" s="35"/>
      <c r="D89" s="35"/>
      <c r="E89" s="35" t="s">
        <v>684</v>
      </c>
      <c r="F89" s="36"/>
      <c r="G89" s="35"/>
      <c r="H89" s="37">
        <v>-800000</v>
      </c>
      <c r="I89" s="424"/>
      <c r="M89" s="463"/>
      <c r="N89" s="463" t="s">
        <v>5005</v>
      </c>
      <c r="O89" s="481">
        <v>10000</v>
      </c>
    </row>
    <row r="90" spans="1:15" ht="31.15" customHeight="1">
      <c r="A90" s="35"/>
      <c r="B90" s="35"/>
      <c r="C90" s="35"/>
      <c r="D90" s="35"/>
      <c r="E90" s="297"/>
      <c r="F90" s="36"/>
      <c r="G90" s="35"/>
      <c r="H90" s="37"/>
      <c r="I90" s="28"/>
      <c r="M90" s="463"/>
      <c r="N90" s="463" t="s">
        <v>5006</v>
      </c>
      <c r="O90" s="481">
        <v>110000</v>
      </c>
    </row>
    <row r="91" spans="1:15" ht="31.15" customHeight="1">
      <c r="A91" s="35"/>
      <c r="B91" s="35"/>
      <c r="C91" s="35"/>
      <c r="D91" s="35"/>
      <c r="E91" s="477"/>
      <c r="F91" s="36"/>
      <c r="G91" s="35"/>
      <c r="H91" s="37"/>
      <c r="I91" s="28"/>
      <c r="M91" s="463"/>
      <c r="N91" s="463" t="s">
        <v>5007</v>
      </c>
      <c r="O91" s="481">
        <v>50000</v>
      </c>
    </row>
    <row r="92" spans="1:15" ht="31.15" customHeight="1">
      <c r="A92" s="35"/>
      <c r="B92" s="35"/>
      <c r="C92" s="35"/>
      <c r="D92" s="35"/>
      <c r="E92" s="35"/>
      <c r="F92" s="36"/>
      <c r="G92" s="35"/>
      <c r="H92" s="37">
        <f>SUM(H86:H91)</f>
        <v>1253500</v>
      </c>
      <c r="I92" s="28"/>
      <c r="M92" s="463"/>
      <c r="N92" s="463" t="s">
        <v>1333</v>
      </c>
      <c r="O92" s="481">
        <v>30000</v>
      </c>
    </row>
    <row r="93" spans="1:15" ht="22.5">
      <c r="M93" s="463"/>
      <c r="N93" s="463" t="s">
        <v>5008</v>
      </c>
      <c r="O93" s="481">
        <v>50000</v>
      </c>
    </row>
    <row r="94" spans="1:15" ht="22.5">
      <c r="M94" s="463"/>
      <c r="N94" s="463" t="s">
        <v>813</v>
      </c>
      <c r="O94" s="481">
        <v>7000</v>
      </c>
    </row>
    <row r="95" spans="1:15" ht="25.15" customHeight="1">
      <c r="A95" s="651" t="s">
        <v>63</v>
      </c>
      <c r="B95" s="651"/>
      <c r="C95" s="651"/>
      <c r="D95" s="651"/>
      <c r="E95" s="651"/>
      <c r="F95" s="651"/>
      <c r="G95" s="651"/>
      <c r="H95" s="651"/>
      <c r="I95" s="651"/>
      <c r="M95" s="463"/>
      <c r="N95" s="463"/>
      <c r="O95" s="481"/>
    </row>
    <row r="96" spans="1:15" ht="25.15" customHeight="1">
      <c r="A96" s="16" t="s">
        <v>11</v>
      </c>
      <c r="B96" s="17" t="s">
        <v>697</v>
      </c>
      <c r="C96" s="17" t="s">
        <v>698</v>
      </c>
      <c r="D96" s="17" t="s">
        <v>12</v>
      </c>
      <c r="E96" s="16" t="s">
        <v>699</v>
      </c>
      <c r="F96" s="16" t="s">
        <v>657</v>
      </c>
      <c r="G96" s="17" t="s">
        <v>700</v>
      </c>
      <c r="H96" s="16" t="s">
        <v>660</v>
      </c>
      <c r="I96" s="33" t="s">
        <v>27</v>
      </c>
    </row>
    <row r="97" spans="1:15" ht="25.15" customHeight="1">
      <c r="A97" s="35">
        <v>1</v>
      </c>
      <c r="B97" s="35" t="s">
        <v>676</v>
      </c>
      <c r="C97" s="35" t="s">
        <v>64</v>
      </c>
      <c r="D97" s="35" t="s">
        <v>4928</v>
      </c>
      <c r="E97" s="35" t="s">
        <v>5009</v>
      </c>
      <c r="F97" s="36" t="s">
        <v>5010</v>
      </c>
      <c r="G97" s="35" t="s">
        <v>1116</v>
      </c>
      <c r="H97" s="37">
        <v>700000</v>
      </c>
      <c r="I97" s="28" t="s">
        <v>891</v>
      </c>
      <c r="J97" s="424" t="s">
        <v>5011</v>
      </c>
    </row>
    <row r="98" spans="1:15" ht="25.15" customHeight="1">
      <c r="A98" s="35"/>
      <c r="B98" s="35"/>
      <c r="C98" s="35"/>
      <c r="D98" s="35"/>
      <c r="E98" s="297"/>
      <c r="F98" s="36"/>
      <c r="G98" s="35"/>
      <c r="H98" s="37"/>
      <c r="I98" s="28"/>
    </row>
    <row r="99" spans="1:15" ht="25.15" customHeight="1">
      <c r="A99" s="35"/>
      <c r="B99" s="35"/>
      <c r="C99" s="35"/>
      <c r="D99" s="35"/>
      <c r="E99" s="35"/>
      <c r="F99" s="36"/>
      <c r="G99" s="35"/>
      <c r="H99" s="37"/>
      <c r="I99" s="28"/>
      <c r="M99" s="589"/>
      <c r="N99" s="549" t="s">
        <v>665</v>
      </c>
      <c r="O99" s="550">
        <f>SUM(O85:O94)</f>
        <v>427000</v>
      </c>
    </row>
    <row r="100" spans="1:15" ht="25.15" customHeight="1">
      <c r="A100" s="35"/>
      <c r="B100" s="35"/>
      <c r="C100" s="35"/>
      <c r="D100" s="35"/>
      <c r="E100" s="35"/>
      <c r="F100" s="36"/>
      <c r="G100" s="35"/>
      <c r="H100" s="37"/>
      <c r="I100" s="424"/>
    </row>
    <row r="101" spans="1:15" ht="25.15" customHeight="1">
      <c r="A101" s="35"/>
      <c r="B101" s="35"/>
      <c r="C101" s="35"/>
      <c r="D101" s="35"/>
      <c r="E101" s="297"/>
      <c r="F101" s="36"/>
      <c r="G101" s="35"/>
      <c r="H101" s="37"/>
      <c r="I101" s="28"/>
    </row>
    <row r="102" spans="1:15" ht="25.15" customHeight="1">
      <c r="A102" s="35"/>
      <c r="B102" s="35"/>
      <c r="C102" s="35"/>
      <c r="D102" s="35"/>
      <c r="E102" s="477"/>
      <c r="F102" s="36"/>
      <c r="G102" s="35"/>
      <c r="H102" s="37"/>
      <c r="I102" s="28"/>
    </row>
    <row r="103" spans="1:15" ht="25.15" customHeight="1">
      <c r="A103" s="35"/>
      <c r="B103" s="35"/>
      <c r="C103" s="35"/>
      <c r="D103" s="35"/>
      <c r="E103" s="35"/>
      <c r="F103" s="36"/>
      <c r="G103" s="35"/>
      <c r="H103" s="37">
        <f>SUM(H97:H102)</f>
        <v>700000</v>
      </c>
      <c r="I103" s="28"/>
    </row>
  </sheetData>
  <mergeCells count="11">
    <mergeCell ref="A62:I62"/>
    <mergeCell ref="A2:H2"/>
    <mergeCell ref="A18:I18"/>
    <mergeCell ref="A31:I31"/>
    <mergeCell ref="A42:I42"/>
    <mergeCell ref="A52:I52"/>
    <mergeCell ref="A95:I95"/>
    <mergeCell ref="A84:I84"/>
    <mergeCell ref="E68:E69"/>
    <mergeCell ref="A72:I72"/>
    <mergeCell ref="E78:E79"/>
  </mergeCells>
  <hyperlinks>
    <hyperlink ref="A1" location="Name!A1" display="Name!A1" xr:uid="{CC65AFD4-F758-4637-98A3-CB524085EACA}"/>
    <hyperlink ref="A71" location="Name!A1" display="Name!A1" xr:uid="{B1C39F78-FE86-488E-B364-26D9492E48AA}"/>
    <hyperlink ref="A83" location="Name!A1" display="Name!A1" xr:uid="{D691A292-FE87-42D5-B69C-2C82273CB176}"/>
  </hyperlinks>
  <pageMargins left="0.7" right="0.7" top="0.75" bottom="0.75" header="0.3" footer="0.3"/>
  <pageSetup paperSize="9" orientation="portrait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5F5F-7894-4A71-B4F0-F294CE67AF93}">
  <dimension ref="A1:J82"/>
  <sheetViews>
    <sheetView workbookViewId="0"/>
  </sheetViews>
  <sheetFormatPr defaultColWidth="9.140625" defaultRowHeight="15"/>
  <cols>
    <col min="1" max="2" width="9.140625" style="15"/>
    <col min="3" max="3" width="18.42578125" style="15" customWidth="1"/>
    <col min="4" max="4" width="11.85546875" style="15" customWidth="1"/>
    <col min="5" max="5" width="25" style="15" customWidth="1"/>
    <col min="6" max="6" width="9.140625" style="15"/>
    <col min="7" max="8" width="12.7109375" style="15" customWidth="1"/>
    <col min="9" max="9" width="9.140625" style="15"/>
    <col min="10" max="10" width="10.7109375" style="15" customWidth="1"/>
    <col min="11" max="16384" width="9.140625" style="15"/>
  </cols>
  <sheetData>
    <row r="1" spans="1:10">
      <c r="A1" s="411" t="s">
        <v>648</v>
      </c>
    </row>
    <row r="2" spans="1:10" ht="18.75">
      <c r="A2" s="651" t="s">
        <v>5012</v>
      </c>
      <c r="B2" s="651"/>
      <c r="C2" s="651"/>
      <c r="D2" s="651"/>
      <c r="E2" s="651"/>
      <c r="F2" s="651"/>
      <c r="G2" s="651"/>
      <c r="H2" s="651"/>
      <c r="I2" s="651"/>
    </row>
    <row r="3" spans="1:10" ht="28.5">
      <c r="A3" s="16" t="s">
        <v>11</v>
      </c>
      <c r="B3" s="17" t="s">
        <v>697</v>
      </c>
      <c r="C3" s="17" t="s">
        <v>698</v>
      </c>
      <c r="D3" s="17" t="s">
        <v>12</v>
      </c>
      <c r="E3" s="16" t="s">
        <v>699</v>
      </c>
      <c r="F3" s="16" t="s">
        <v>657</v>
      </c>
      <c r="G3" s="17" t="s">
        <v>700</v>
      </c>
      <c r="H3" s="16" t="s">
        <v>660</v>
      </c>
      <c r="I3" s="16" t="s">
        <v>27</v>
      </c>
    </row>
    <row r="4" spans="1:10">
      <c r="A4" s="18">
        <v>1</v>
      </c>
      <c r="B4" s="18" t="s">
        <v>5013</v>
      </c>
      <c r="C4" s="18" t="s">
        <v>49</v>
      </c>
      <c r="D4" s="18" t="s">
        <v>5014</v>
      </c>
      <c r="E4" s="19" t="s">
        <v>703</v>
      </c>
      <c r="F4" s="20" t="s">
        <v>5015</v>
      </c>
      <c r="G4" s="18" t="s">
        <v>5016</v>
      </c>
      <c r="H4" s="21">
        <v>200000</v>
      </c>
      <c r="I4" s="21"/>
    </row>
    <row r="5" spans="1:10">
      <c r="A5" s="18"/>
      <c r="B5" s="18"/>
      <c r="C5" s="18"/>
      <c r="D5" s="18"/>
      <c r="E5" s="22" t="s">
        <v>703</v>
      </c>
      <c r="F5" s="20" t="s">
        <v>5017</v>
      </c>
      <c r="G5" s="18" t="s">
        <v>1183</v>
      </c>
      <c r="H5" s="21">
        <v>200000</v>
      </c>
      <c r="I5" s="21"/>
    </row>
    <row r="6" spans="1:10">
      <c r="A6" s="18"/>
      <c r="B6" s="18"/>
      <c r="C6" s="18"/>
      <c r="D6" s="18"/>
      <c r="E6" s="23" t="s">
        <v>5018</v>
      </c>
      <c r="F6" s="20" t="s">
        <v>5019</v>
      </c>
      <c r="G6" s="18" t="s">
        <v>1183</v>
      </c>
      <c r="H6" s="21">
        <v>800000</v>
      </c>
      <c r="I6" s="21"/>
      <c r="J6" s="15">
        <v>2</v>
      </c>
    </row>
    <row r="7" spans="1:10">
      <c r="A7" s="18"/>
      <c r="B7" s="18"/>
      <c r="C7" s="18"/>
      <c r="D7" s="18"/>
      <c r="E7" s="18" t="s">
        <v>5020</v>
      </c>
      <c r="F7" s="20" t="s">
        <v>5021</v>
      </c>
      <c r="G7" s="18" t="s">
        <v>1791</v>
      </c>
      <c r="H7" s="21">
        <v>1600000</v>
      </c>
      <c r="I7" s="21"/>
      <c r="J7" s="15">
        <v>4</v>
      </c>
    </row>
    <row r="8" spans="1:10">
      <c r="A8" s="18"/>
      <c r="B8" s="18"/>
      <c r="C8" s="18"/>
      <c r="D8" s="18"/>
      <c r="E8" s="18" t="s">
        <v>5022</v>
      </c>
      <c r="F8" s="20" t="s">
        <v>3605</v>
      </c>
      <c r="G8" s="18" t="s">
        <v>1189</v>
      </c>
      <c r="H8" s="21">
        <v>400000</v>
      </c>
      <c r="I8" s="21"/>
      <c r="J8" s="15">
        <v>1</v>
      </c>
    </row>
    <row r="9" spans="1:10">
      <c r="A9" s="18"/>
      <c r="B9" s="18"/>
      <c r="C9" s="18"/>
      <c r="D9" s="18"/>
      <c r="E9" s="18" t="s">
        <v>5023</v>
      </c>
      <c r="F9" s="20" t="s">
        <v>5024</v>
      </c>
      <c r="G9" s="18" t="s">
        <v>5025</v>
      </c>
      <c r="H9" s="21">
        <v>1200000</v>
      </c>
      <c r="I9" s="21"/>
      <c r="J9" s="15">
        <v>3</v>
      </c>
    </row>
    <row r="10" spans="1:10">
      <c r="A10" s="18"/>
      <c r="B10" s="18"/>
      <c r="C10" s="18"/>
      <c r="D10" s="18"/>
      <c r="E10" s="18" t="s">
        <v>5026</v>
      </c>
      <c r="F10" s="20" t="s">
        <v>5027</v>
      </c>
      <c r="G10" s="18" t="s">
        <v>5028</v>
      </c>
      <c r="H10" s="21">
        <v>1200000</v>
      </c>
      <c r="I10" s="21"/>
      <c r="J10" s="15">
        <v>3</v>
      </c>
    </row>
    <row r="11" spans="1:10">
      <c r="A11" s="18"/>
      <c r="B11" s="18"/>
      <c r="C11" s="18"/>
      <c r="D11" s="18"/>
      <c r="E11" s="18" t="s">
        <v>5029</v>
      </c>
      <c r="F11" s="20" t="s">
        <v>5030</v>
      </c>
      <c r="G11" s="18" t="s">
        <v>5031</v>
      </c>
      <c r="H11" s="21">
        <v>880000</v>
      </c>
      <c r="I11" s="21"/>
      <c r="J11" s="706" t="s">
        <v>5032</v>
      </c>
    </row>
    <row r="12" spans="1:10">
      <c r="A12" s="18"/>
      <c r="B12" s="18"/>
      <c r="C12" s="18"/>
      <c r="D12" s="18"/>
      <c r="E12" s="18" t="s">
        <v>5033</v>
      </c>
      <c r="F12" s="20" t="s">
        <v>5030</v>
      </c>
      <c r="G12" s="18" t="s">
        <v>5031</v>
      </c>
      <c r="H12" s="21"/>
      <c r="I12" s="21"/>
      <c r="J12" s="706"/>
    </row>
    <row r="13" spans="1:10">
      <c r="A13" s="18"/>
      <c r="B13" s="18"/>
      <c r="C13" s="18"/>
      <c r="D13" s="18"/>
      <c r="E13" s="18"/>
      <c r="F13" s="21"/>
      <c r="G13" s="18"/>
      <c r="H13" s="21"/>
      <c r="I13" s="21"/>
    </row>
    <row r="14" spans="1:10">
      <c r="A14" s="18"/>
      <c r="B14" s="18"/>
      <c r="C14" s="18"/>
      <c r="D14" s="18"/>
      <c r="E14" s="18"/>
      <c r="F14" s="21"/>
      <c r="G14" s="18"/>
      <c r="H14" s="21"/>
      <c r="I14" s="21"/>
    </row>
    <row r="15" spans="1:10">
      <c r="A15" s="18"/>
      <c r="B15" s="18"/>
      <c r="C15" s="18"/>
      <c r="D15" s="18"/>
      <c r="E15" s="18"/>
      <c r="F15" s="21"/>
      <c r="G15" s="18"/>
      <c r="H15" s="21"/>
      <c r="I15" s="21"/>
    </row>
    <row r="16" spans="1:10">
      <c r="A16" s="18"/>
      <c r="B16" s="18"/>
      <c r="C16" s="18"/>
      <c r="D16" s="18"/>
      <c r="E16" s="18"/>
      <c r="F16" s="21"/>
      <c r="G16" s="18"/>
      <c r="H16" s="21">
        <f>SUM(H4:H15)</f>
        <v>6480000</v>
      </c>
      <c r="I16" s="21"/>
    </row>
    <row r="20" spans="1:10" ht="18.75">
      <c r="A20" s="651" t="s">
        <v>5034</v>
      </c>
      <c r="B20" s="651"/>
      <c r="C20" s="651"/>
      <c r="D20" s="651"/>
      <c r="E20" s="651"/>
      <c r="F20" s="651"/>
      <c r="G20" s="651"/>
      <c r="H20" s="651"/>
      <c r="I20" s="651"/>
    </row>
    <row r="21" spans="1:10" ht="28.5">
      <c r="A21" s="16" t="s">
        <v>11</v>
      </c>
      <c r="B21" s="17" t="s">
        <v>697</v>
      </c>
      <c r="C21" s="17" t="s">
        <v>698</v>
      </c>
      <c r="D21" s="17" t="s">
        <v>12</v>
      </c>
      <c r="E21" s="16" t="s">
        <v>699</v>
      </c>
      <c r="F21" s="16" t="s">
        <v>657</v>
      </c>
      <c r="G21" s="17" t="s">
        <v>700</v>
      </c>
      <c r="H21" s="16" t="s">
        <v>660</v>
      </c>
      <c r="I21" s="16" t="s">
        <v>27</v>
      </c>
    </row>
    <row r="22" spans="1:10">
      <c r="A22" s="18">
        <v>1</v>
      </c>
      <c r="B22" s="18" t="s">
        <v>5013</v>
      </c>
      <c r="C22" s="18" t="s">
        <v>49</v>
      </c>
      <c r="D22" s="18" t="s">
        <v>5014</v>
      </c>
      <c r="E22" s="19" t="s">
        <v>703</v>
      </c>
      <c r="F22" s="20" t="s">
        <v>5035</v>
      </c>
      <c r="G22" s="18" t="s">
        <v>4433</v>
      </c>
      <c r="H22" s="21">
        <v>400000</v>
      </c>
      <c r="I22" s="21"/>
    </row>
    <row r="23" spans="1:10">
      <c r="A23" s="18"/>
      <c r="B23" s="18"/>
      <c r="C23" s="18"/>
      <c r="D23" s="18" t="s">
        <v>5036</v>
      </c>
      <c r="E23" s="22" t="s">
        <v>5037</v>
      </c>
      <c r="F23" s="20" t="s">
        <v>5035</v>
      </c>
      <c r="G23" s="18" t="s">
        <v>4433</v>
      </c>
      <c r="H23" s="21">
        <v>800000</v>
      </c>
      <c r="I23" s="21"/>
    </row>
    <row r="24" spans="1:10">
      <c r="A24" s="18"/>
      <c r="B24" s="18"/>
      <c r="C24" s="18"/>
      <c r="D24" s="18"/>
      <c r="E24" s="23" t="s">
        <v>5038</v>
      </c>
      <c r="F24" s="20" t="s">
        <v>5039</v>
      </c>
      <c r="G24" s="18" t="s">
        <v>5040</v>
      </c>
      <c r="H24" s="21">
        <v>800000</v>
      </c>
      <c r="I24" s="21"/>
    </row>
    <row r="25" spans="1:10">
      <c r="A25" s="18"/>
      <c r="B25" s="18"/>
      <c r="C25" s="18"/>
      <c r="D25" s="18"/>
      <c r="E25" s="18" t="s">
        <v>5041</v>
      </c>
      <c r="F25" s="20" t="s">
        <v>5042</v>
      </c>
      <c r="G25" s="18" t="s">
        <v>1517</v>
      </c>
      <c r="H25" s="21">
        <v>800000</v>
      </c>
      <c r="I25" s="21"/>
      <c r="J25" s="24"/>
    </row>
    <row r="26" spans="1:10">
      <c r="A26" s="18"/>
      <c r="B26" s="18"/>
      <c r="C26" s="18"/>
      <c r="D26" s="18"/>
      <c r="E26" s="18" t="s">
        <v>5043</v>
      </c>
      <c r="F26" s="20" t="s">
        <v>5044</v>
      </c>
      <c r="G26" s="18" t="s">
        <v>5045</v>
      </c>
      <c r="H26" s="21">
        <v>1200000</v>
      </c>
      <c r="I26" s="21"/>
    </row>
    <row r="27" spans="1:10">
      <c r="A27" s="18"/>
      <c r="B27" s="18"/>
      <c r="C27" s="18"/>
      <c r="D27" s="18"/>
      <c r="E27" s="18" t="s">
        <v>1006</v>
      </c>
      <c r="F27" s="20" t="s">
        <v>5044</v>
      </c>
      <c r="G27" s="18" t="s">
        <v>5045</v>
      </c>
      <c r="H27" s="21">
        <v>-200000</v>
      </c>
      <c r="I27" s="21"/>
    </row>
    <row r="28" spans="1:10">
      <c r="A28" s="18"/>
      <c r="B28" s="18"/>
      <c r="C28" s="18"/>
      <c r="D28" s="18"/>
      <c r="E28" s="18" t="s">
        <v>5046</v>
      </c>
      <c r="F28" s="20" t="s">
        <v>5047</v>
      </c>
      <c r="G28" s="18" t="s">
        <v>5048</v>
      </c>
      <c r="H28" s="21">
        <v>1200000</v>
      </c>
      <c r="I28" s="21"/>
    </row>
    <row r="29" spans="1:10">
      <c r="A29" s="18"/>
      <c r="B29" s="18"/>
      <c r="C29" s="18"/>
      <c r="D29" s="18"/>
      <c r="E29" s="18" t="s">
        <v>1006</v>
      </c>
      <c r="F29" s="20"/>
      <c r="G29" s="18"/>
      <c r="H29" s="21">
        <v>-200000</v>
      </c>
      <c r="I29" s="21"/>
    </row>
    <row r="30" spans="1:10">
      <c r="A30" s="18"/>
      <c r="B30" s="18"/>
      <c r="C30" s="18"/>
      <c r="D30" s="18"/>
      <c r="E30" s="18" t="s">
        <v>5049</v>
      </c>
      <c r="F30" s="20" t="s">
        <v>5050</v>
      </c>
      <c r="G30" s="18" t="s">
        <v>4067</v>
      </c>
      <c r="H30" s="21">
        <v>400000</v>
      </c>
      <c r="I30" s="21"/>
      <c r="J30" s="15" t="s">
        <v>5051</v>
      </c>
    </row>
    <row r="31" spans="1:10">
      <c r="A31" s="18"/>
      <c r="B31" s="18"/>
      <c r="C31" s="18"/>
      <c r="D31" s="18"/>
      <c r="E31" s="18"/>
      <c r="F31" s="21"/>
      <c r="G31" s="18"/>
      <c r="H31" s="21"/>
      <c r="I31" s="21"/>
    </row>
    <row r="32" spans="1:10">
      <c r="A32" s="18"/>
      <c r="B32" s="18"/>
      <c r="C32" s="18"/>
      <c r="D32" s="18"/>
      <c r="E32" s="18"/>
      <c r="F32" s="21"/>
      <c r="G32" s="18"/>
      <c r="H32" s="21"/>
      <c r="I32" s="21"/>
    </row>
    <row r="33" spans="1:9">
      <c r="A33" s="18"/>
      <c r="B33" s="18"/>
      <c r="C33" s="18"/>
      <c r="D33" s="18"/>
      <c r="E33" s="18"/>
      <c r="F33" s="21"/>
      <c r="G33" s="18"/>
      <c r="H33" s="21"/>
      <c r="I33" s="21"/>
    </row>
    <row r="34" spans="1:9">
      <c r="A34" s="18"/>
      <c r="B34" s="18"/>
      <c r="C34" s="18"/>
      <c r="D34" s="18"/>
      <c r="E34" s="18"/>
      <c r="F34" s="21"/>
      <c r="G34" s="18"/>
      <c r="H34" s="21">
        <f>SUM(H22:H33)</f>
        <v>5200000</v>
      </c>
      <c r="I34" s="21"/>
    </row>
    <row r="36" spans="1:9" ht="18.75">
      <c r="A36" s="651" t="s">
        <v>4953</v>
      </c>
      <c r="B36" s="651"/>
      <c r="C36" s="651"/>
      <c r="D36" s="651"/>
      <c r="E36" s="651"/>
      <c r="F36" s="651"/>
      <c r="G36" s="651"/>
      <c r="H36" s="651"/>
      <c r="I36" s="651"/>
    </row>
    <row r="37" spans="1:9" ht="28.5">
      <c r="A37" s="16" t="s">
        <v>11</v>
      </c>
      <c r="B37" s="17" t="s">
        <v>697</v>
      </c>
      <c r="C37" s="17" t="s">
        <v>698</v>
      </c>
      <c r="D37" s="17" t="s">
        <v>12</v>
      </c>
      <c r="E37" s="16" t="s">
        <v>699</v>
      </c>
      <c r="F37" s="16" t="s">
        <v>657</v>
      </c>
      <c r="G37" s="17" t="s">
        <v>700</v>
      </c>
      <c r="H37" s="16" t="s">
        <v>660</v>
      </c>
      <c r="I37" s="16" t="s">
        <v>27</v>
      </c>
    </row>
    <row r="38" spans="1:9">
      <c r="A38" s="18">
        <v>1</v>
      </c>
      <c r="B38" s="18" t="s">
        <v>5013</v>
      </c>
      <c r="C38" s="18" t="s">
        <v>49</v>
      </c>
      <c r="D38" s="18" t="s">
        <v>5014</v>
      </c>
      <c r="E38" s="19" t="s">
        <v>5052</v>
      </c>
      <c r="F38" s="20" t="s">
        <v>5053</v>
      </c>
      <c r="G38" s="18" t="s">
        <v>5054</v>
      </c>
      <c r="H38" s="21">
        <v>400000</v>
      </c>
      <c r="I38" s="21"/>
    </row>
    <row r="39" spans="1:9">
      <c r="A39" s="18"/>
      <c r="B39" s="18"/>
      <c r="C39" s="18"/>
      <c r="D39" s="18"/>
      <c r="E39" s="22" t="s">
        <v>5055</v>
      </c>
      <c r="F39" s="20" t="s">
        <v>5053</v>
      </c>
      <c r="G39" s="18" t="s">
        <v>5054</v>
      </c>
      <c r="H39" s="21">
        <v>450000</v>
      </c>
      <c r="I39" s="21"/>
    </row>
    <row r="40" spans="1:9">
      <c r="A40" s="18"/>
      <c r="B40" s="18"/>
      <c r="C40" s="18"/>
      <c r="D40" s="18"/>
      <c r="E40" s="23" t="s">
        <v>5056</v>
      </c>
      <c r="F40" s="20" t="s">
        <v>5057</v>
      </c>
      <c r="G40" s="18" t="s">
        <v>5058</v>
      </c>
      <c r="H40" s="21">
        <v>900000</v>
      </c>
      <c r="I40" s="21"/>
    </row>
    <row r="41" spans="1:9">
      <c r="A41" s="18"/>
      <c r="B41" s="18"/>
      <c r="C41" s="18"/>
      <c r="D41" s="18"/>
      <c r="E41" s="18" t="s">
        <v>5059</v>
      </c>
      <c r="F41" s="20" t="s">
        <v>5060</v>
      </c>
      <c r="G41" s="18" t="s">
        <v>1899</v>
      </c>
      <c r="H41" s="21">
        <v>900000</v>
      </c>
      <c r="I41" s="21"/>
    </row>
    <row r="42" spans="1:9">
      <c r="A42" s="18"/>
      <c r="B42" s="18"/>
      <c r="C42" s="18"/>
      <c r="D42" s="18"/>
      <c r="E42" s="18" t="s">
        <v>5061</v>
      </c>
      <c r="F42" s="20" t="s">
        <v>4136</v>
      </c>
      <c r="G42" s="18" t="s">
        <v>2820</v>
      </c>
      <c r="H42" s="21">
        <v>450000</v>
      </c>
      <c r="I42" s="21"/>
    </row>
    <row r="43" spans="1:9">
      <c r="A43" s="18"/>
      <c r="B43" s="18"/>
      <c r="C43" s="18"/>
      <c r="D43" s="18"/>
      <c r="E43" s="18" t="s">
        <v>5062</v>
      </c>
      <c r="F43" s="20" t="s">
        <v>5063</v>
      </c>
      <c r="G43" s="18" t="s">
        <v>5064</v>
      </c>
      <c r="H43" s="21">
        <v>405000</v>
      </c>
      <c r="I43" s="21"/>
    </row>
    <row r="44" spans="1:9">
      <c r="A44" s="18"/>
      <c r="B44" s="18"/>
      <c r="C44" s="18"/>
      <c r="D44" s="18"/>
      <c r="E44" s="18" t="s">
        <v>1066</v>
      </c>
      <c r="F44" s="20" t="s">
        <v>5063</v>
      </c>
      <c r="G44" s="18" t="s">
        <v>5064</v>
      </c>
      <c r="H44" s="21">
        <v>-400000</v>
      </c>
      <c r="I44" s="21"/>
    </row>
    <row r="45" spans="1:9">
      <c r="A45" s="18"/>
      <c r="B45" s="18"/>
      <c r="C45" s="18"/>
      <c r="D45" s="18"/>
      <c r="E45" s="18"/>
      <c r="F45" s="20"/>
      <c r="G45" s="18"/>
      <c r="H45" s="21"/>
      <c r="I45" s="21"/>
    </row>
    <row r="46" spans="1:9">
      <c r="A46" s="18"/>
      <c r="B46" s="18"/>
      <c r="C46" s="18"/>
      <c r="D46" s="18"/>
      <c r="E46" s="18"/>
      <c r="F46" s="20"/>
      <c r="G46" s="18"/>
      <c r="H46" s="21"/>
      <c r="I46" s="21"/>
    </row>
    <row r="47" spans="1:9">
      <c r="A47" s="18"/>
      <c r="B47" s="18"/>
      <c r="C47" s="18"/>
      <c r="D47" s="18"/>
      <c r="E47" s="18"/>
      <c r="F47" s="21"/>
      <c r="G47" s="18"/>
      <c r="H47" s="21"/>
      <c r="I47" s="21"/>
    </row>
    <row r="48" spans="1:9">
      <c r="A48" s="18"/>
      <c r="B48" s="18"/>
      <c r="C48" s="18"/>
      <c r="D48" s="18"/>
      <c r="E48" s="18"/>
      <c r="F48" s="21"/>
      <c r="G48" s="18"/>
      <c r="H48" s="21"/>
      <c r="I48" s="21"/>
    </row>
    <row r="49" spans="1:9">
      <c r="A49" s="18"/>
      <c r="B49" s="18"/>
      <c r="C49" s="18"/>
      <c r="D49" s="18"/>
      <c r="E49" s="18"/>
      <c r="F49" s="21"/>
      <c r="G49" s="18"/>
      <c r="H49" s="21"/>
      <c r="I49" s="21"/>
    </row>
    <row r="50" spans="1:9">
      <c r="A50" s="18"/>
      <c r="B50" s="18"/>
      <c r="C50" s="18"/>
      <c r="D50" s="18"/>
      <c r="E50" s="18"/>
      <c r="F50" s="21"/>
      <c r="G50" s="18"/>
      <c r="H50" s="21">
        <f>SUM(H38:H49)</f>
        <v>3105000</v>
      </c>
      <c r="I50" s="21"/>
    </row>
    <row r="53" spans="1:9" ht="28.5">
      <c r="A53" s="16" t="s">
        <v>11</v>
      </c>
      <c r="B53" s="17" t="s">
        <v>697</v>
      </c>
      <c r="C53" s="17" t="s">
        <v>698</v>
      </c>
      <c r="D53" s="17" t="s">
        <v>12</v>
      </c>
      <c r="E53" s="16" t="s">
        <v>699</v>
      </c>
      <c r="F53" s="16" t="s">
        <v>657</v>
      </c>
      <c r="G53" s="17" t="s">
        <v>700</v>
      </c>
      <c r="H53" s="16" t="s">
        <v>660</v>
      </c>
      <c r="I53" s="16" t="s">
        <v>27</v>
      </c>
    </row>
    <row r="54" spans="1:9">
      <c r="A54" s="18">
        <v>1</v>
      </c>
      <c r="B54" s="18" t="s">
        <v>5013</v>
      </c>
      <c r="C54" s="18" t="s">
        <v>49</v>
      </c>
      <c r="D54" s="18" t="s">
        <v>5014</v>
      </c>
      <c r="E54" s="19" t="s">
        <v>5065</v>
      </c>
      <c r="F54" s="20" t="s">
        <v>5066</v>
      </c>
      <c r="G54" s="18" t="s">
        <v>2974</v>
      </c>
      <c r="H54" s="21">
        <v>450000</v>
      </c>
      <c r="I54" s="21"/>
    </row>
    <row r="55" spans="1:9">
      <c r="A55" s="18"/>
      <c r="B55" s="18"/>
      <c r="C55" s="18"/>
      <c r="D55" s="18"/>
      <c r="E55" s="22"/>
      <c r="F55" s="20"/>
      <c r="G55" s="18"/>
      <c r="H55" s="21"/>
      <c r="I55" s="21"/>
    </row>
    <row r="56" spans="1:9">
      <c r="A56" s="18"/>
      <c r="B56" s="18"/>
      <c r="C56" s="18"/>
      <c r="D56" s="18"/>
      <c r="E56" s="23"/>
      <c r="F56" s="20"/>
      <c r="G56" s="18"/>
      <c r="H56" s="21"/>
      <c r="I56" s="21"/>
    </row>
    <row r="57" spans="1:9">
      <c r="A57" s="18"/>
      <c r="B57" s="18"/>
      <c r="C57" s="18"/>
      <c r="D57" s="18"/>
      <c r="E57" s="18"/>
      <c r="F57" s="20"/>
      <c r="G57" s="18"/>
      <c r="H57" s="21"/>
      <c r="I57" s="21"/>
    </row>
    <row r="58" spans="1:9">
      <c r="A58" s="18"/>
      <c r="B58" s="18"/>
      <c r="C58" s="18"/>
      <c r="D58" s="18"/>
      <c r="E58" s="18"/>
      <c r="F58" s="20"/>
      <c r="G58" s="18"/>
      <c r="H58" s="21"/>
      <c r="I58" s="21"/>
    </row>
    <row r="59" spans="1:9">
      <c r="A59" s="18"/>
      <c r="B59" s="18"/>
      <c r="C59" s="18"/>
      <c r="D59" s="18"/>
      <c r="E59" s="18"/>
      <c r="F59" s="20"/>
      <c r="G59" s="18"/>
      <c r="H59" s="21"/>
      <c r="I59" s="21"/>
    </row>
    <row r="60" spans="1:9">
      <c r="A60" s="18"/>
      <c r="B60" s="18"/>
      <c r="C60" s="18"/>
      <c r="D60" s="18"/>
      <c r="E60" s="18"/>
      <c r="F60" s="20"/>
      <c r="G60" s="18"/>
      <c r="H60" s="21"/>
      <c r="I60" s="21"/>
    </row>
    <row r="61" spans="1:9">
      <c r="A61" s="18"/>
      <c r="B61" s="18"/>
      <c r="C61" s="18"/>
      <c r="D61" s="18"/>
      <c r="E61" s="18"/>
      <c r="F61" s="20"/>
      <c r="G61" s="18"/>
      <c r="H61" s="21"/>
      <c r="I61" s="21"/>
    </row>
    <row r="62" spans="1:9">
      <c r="A62" s="18"/>
      <c r="B62" s="18"/>
      <c r="C62" s="18"/>
      <c r="D62" s="18"/>
      <c r="E62" s="18"/>
      <c r="F62" s="20"/>
      <c r="G62" s="18"/>
      <c r="H62" s="21"/>
      <c r="I62" s="21"/>
    </row>
    <row r="63" spans="1:9">
      <c r="A63" s="18"/>
      <c r="B63" s="18"/>
      <c r="C63" s="18"/>
      <c r="D63" s="18"/>
      <c r="E63" s="18"/>
      <c r="F63" s="21"/>
      <c r="G63" s="18"/>
      <c r="H63" s="21"/>
      <c r="I63" s="21"/>
    </row>
    <row r="64" spans="1:9">
      <c r="A64" s="18"/>
      <c r="B64" s="18"/>
      <c r="C64" s="18"/>
      <c r="D64" s="18"/>
      <c r="E64" s="18"/>
      <c r="F64" s="21"/>
      <c r="G64" s="18"/>
      <c r="H64" s="21"/>
      <c r="I64" s="21"/>
    </row>
    <row r="65" spans="1:10">
      <c r="A65" s="18"/>
      <c r="B65" s="18"/>
      <c r="C65" s="18"/>
      <c r="D65" s="18"/>
      <c r="E65" s="18"/>
      <c r="F65" s="21"/>
      <c r="G65" s="18"/>
      <c r="H65" s="21"/>
      <c r="I65" s="21"/>
    </row>
    <row r="66" spans="1:10">
      <c r="A66" s="18"/>
      <c r="B66" s="18"/>
      <c r="C66" s="18"/>
      <c r="D66" s="18"/>
      <c r="E66" s="18"/>
      <c r="F66" s="21"/>
      <c r="G66" s="18"/>
      <c r="H66" s="21">
        <f>SUM(H54:H65)</f>
        <v>450000</v>
      </c>
      <c r="I66" s="21"/>
    </row>
    <row r="68" spans="1:10">
      <c r="A68" s="803" t="s">
        <v>47</v>
      </c>
      <c r="B68" s="803"/>
      <c r="C68" s="803"/>
      <c r="D68" s="803"/>
      <c r="E68" s="803"/>
      <c r="F68" s="803"/>
      <c r="G68" s="803"/>
      <c r="H68" s="803"/>
      <c r="I68" s="803"/>
    </row>
    <row r="69" spans="1:10" ht="28.5">
      <c r="A69" s="16" t="s">
        <v>11</v>
      </c>
      <c r="B69" s="17" t="s">
        <v>697</v>
      </c>
      <c r="C69" s="17" t="s">
        <v>698</v>
      </c>
      <c r="D69" s="17" t="s">
        <v>12</v>
      </c>
      <c r="E69" s="16" t="s">
        <v>699</v>
      </c>
      <c r="F69" s="16" t="s">
        <v>657</v>
      </c>
      <c r="G69" s="17" t="s">
        <v>700</v>
      </c>
      <c r="H69" s="16" t="s">
        <v>660</v>
      </c>
      <c r="I69" s="16" t="s">
        <v>27</v>
      </c>
    </row>
    <row r="70" spans="1:10">
      <c r="A70" s="18">
        <v>1</v>
      </c>
      <c r="B70" s="18" t="s">
        <v>5013</v>
      </c>
      <c r="C70" s="18" t="s">
        <v>49</v>
      </c>
      <c r="D70" s="18" t="s">
        <v>5014</v>
      </c>
      <c r="E70" s="19" t="s">
        <v>703</v>
      </c>
      <c r="F70" s="20" t="s">
        <v>5067</v>
      </c>
      <c r="G70" s="18" t="s">
        <v>2763</v>
      </c>
      <c r="H70" s="21">
        <v>500000</v>
      </c>
      <c r="I70" s="21"/>
    </row>
    <row r="71" spans="1:10">
      <c r="A71" s="18"/>
      <c r="B71" s="18"/>
      <c r="C71" s="18"/>
      <c r="D71" s="18"/>
      <c r="E71" s="22" t="s">
        <v>5068</v>
      </c>
      <c r="F71" s="20" t="s">
        <v>5067</v>
      </c>
      <c r="G71" s="18" t="s">
        <v>2763</v>
      </c>
      <c r="H71" s="21">
        <v>500000</v>
      </c>
      <c r="I71" s="21"/>
    </row>
    <row r="72" spans="1:10">
      <c r="A72" s="18"/>
      <c r="B72" s="18"/>
      <c r="C72" s="18"/>
      <c r="D72" s="18"/>
      <c r="E72" s="23" t="s">
        <v>3988</v>
      </c>
      <c r="F72" s="20" t="s">
        <v>4213</v>
      </c>
      <c r="G72" s="18" t="s">
        <v>4003</v>
      </c>
      <c r="H72" s="21">
        <v>500000</v>
      </c>
      <c r="I72" s="21"/>
      <c r="J72" s="15" t="s">
        <v>1042</v>
      </c>
    </row>
    <row r="73" spans="1:10">
      <c r="A73" s="18"/>
      <c r="B73" s="18"/>
      <c r="C73" s="18"/>
      <c r="D73" s="18"/>
      <c r="E73" s="18" t="s">
        <v>5069</v>
      </c>
      <c r="F73" s="20" t="s">
        <v>5070</v>
      </c>
      <c r="G73" s="18" t="s">
        <v>5071</v>
      </c>
      <c r="H73" s="21">
        <v>1000000</v>
      </c>
      <c r="I73" s="21"/>
    </row>
    <row r="74" spans="1:10">
      <c r="A74" s="18"/>
      <c r="B74" s="18"/>
      <c r="C74" s="18"/>
      <c r="D74" s="18"/>
      <c r="E74" s="18" t="s">
        <v>5072</v>
      </c>
      <c r="F74" s="20" t="s">
        <v>5073</v>
      </c>
      <c r="G74" s="18" t="s">
        <v>1364</v>
      </c>
      <c r="H74" s="21">
        <v>1300000</v>
      </c>
      <c r="I74" s="21"/>
      <c r="J74" s="15" t="s">
        <v>732</v>
      </c>
    </row>
    <row r="75" spans="1:10">
      <c r="A75" s="18"/>
      <c r="B75" s="18"/>
      <c r="C75" s="18"/>
      <c r="D75" s="18"/>
      <c r="E75" s="18"/>
      <c r="F75" s="20"/>
      <c r="G75" s="18"/>
      <c r="H75" s="21"/>
      <c r="I75" s="21"/>
    </row>
    <row r="76" spans="1:10">
      <c r="A76" s="18"/>
      <c r="B76" s="18"/>
      <c r="C76" s="18"/>
      <c r="D76" s="18"/>
      <c r="E76" s="18"/>
      <c r="F76" s="20"/>
      <c r="G76" s="18"/>
      <c r="H76" s="21"/>
      <c r="I76" s="21"/>
    </row>
    <row r="77" spans="1:10">
      <c r="A77" s="18"/>
      <c r="B77" s="18"/>
      <c r="C77" s="18"/>
      <c r="D77" s="18"/>
      <c r="E77" s="18"/>
      <c r="F77" s="20"/>
      <c r="G77" s="18"/>
      <c r="H77" s="21"/>
      <c r="I77" s="21"/>
    </row>
    <row r="78" spans="1:10">
      <c r="A78" s="18"/>
      <c r="B78" s="18"/>
      <c r="C78" s="18"/>
      <c r="D78" s="18"/>
      <c r="E78" s="18"/>
      <c r="F78" s="20"/>
      <c r="G78" s="18"/>
      <c r="H78" s="21"/>
      <c r="I78" s="21"/>
    </row>
    <row r="79" spans="1:10">
      <c r="A79" s="18"/>
      <c r="B79" s="18"/>
      <c r="C79" s="18"/>
      <c r="D79" s="18"/>
      <c r="E79" s="18"/>
      <c r="F79" s="21"/>
      <c r="G79" s="18"/>
      <c r="H79" s="21"/>
      <c r="I79" s="21"/>
    </row>
    <row r="80" spans="1:10">
      <c r="A80" s="18"/>
      <c r="B80" s="18"/>
      <c r="C80" s="18"/>
      <c r="D80" s="18"/>
      <c r="E80" s="18"/>
      <c r="F80" s="21"/>
      <c r="G80" s="18"/>
      <c r="H80" s="21"/>
      <c r="I80" s="21"/>
    </row>
    <row r="81" spans="1:9">
      <c r="A81" s="18"/>
      <c r="B81" s="18"/>
      <c r="C81" s="18"/>
      <c r="D81" s="18"/>
      <c r="E81" s="18"/>
      <c r="F81" s="21"/>
      <c r="G81" s="18"/>
      <c r="H81" s="21"/>
      <c r="I81" s="21"/>
    </row>
    <row r="82" spans="1:9">
      <c r="A82" s="18"/>
      <c r="B82" s="18"/>
      <c r="C82" s="18"/>
      <c r="D82" s="18"/>
      <c r="E82" s="18"/>
      <c r="F82" s="21"/>
      <c r="G82" s="18"/>
      <c r="H82" s="21">
        <f>SUM(H70:H81)</f>
        <v>3800000</v>
      </c>
      <c r="I82" s="21"/>
    </row>
  </sheetData>
  <mergeCells count="5">
    <mergeCell ref="A2:I2"/>
    <mergeCell ref="J11:J12"/>
    <mergeCell ref="A20:I20"/>
    <mergeCell ref="A36:I36"/>
    <mergeCell ref="A68:I68"/>
  </mergeCells>
  <hyperlinks>
    <hyperlink ref="A1" location="Name!A1" display="Name!A1" xr:uid="{FE668FA2-E94E-4853-99CB-392AA4B1B688}"/>
  </hyperlinks>
  <pageMargins left="0.7" right="0.7" top="0.75" bottom="0.75" header="0.3" footer="0.3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C63B-F5B2-44FB-A16E-CA9D200D4C4D}">
  <dimension ref="A1:I48"/>
  <sheetViews>
    <sheetView topLeftCell="A28" workbookViewId="0">
      <selection activeCell="A35" sqref="A35"/>
    </sheetView>
  </sheetViews>
  <sheetFormatPr defaultRowHeight="15"/>
  <cols>
    <col min="3" max="3" width="26.85546875" customWidth="1"/>
    <col min="5" max="5" width="23.42578125" customWidth="1"/>
    <col min="8" max="8" width="19.5703125" customWidth="1"/>
    <col min="9" max="9" width="16.7109375" customWidth="1"/>
  </cols>
  <sheetData>
    <row r="1" spans="1:8">
      <c r="A1" s="410" t="s">
        <v>648</v>
      </c>
    </row>
    <row r="2" spans="1:8" ht="21.75">
      <c r="A2" s="709" t="s">
        <v>5074</v>
      </c>
      <c r="B2" s="709"/>
      <c r="C2" s="709"/>
      <c r="D2" s="709"/>
      <c r="E2" s="709"/>
      <c r="F2" s="709"/>
      <c r="G2" s="709"/>
      <c r="H2" s="709"/>
    </row>
    <row r="3" spans="1:8" ht="21.75">
      <c r="A3" s="645" t="s">
        <v>653</v>
      </c>
      <c r="B3" s="647" t="s">
        <v>654</v>
      </c>
      <c r="C3" s="645" t="s">
        <v>655</v>
      </c>
      <c r="D3" s="645" t="s">
        <v>12</v>
      </c>
      <c r="E3" s="647" t="s">
        <v>656</v>
      </c>
      <c r="F3" s="647" t="s">
        <v>974</v>
      </c>
      <c r="G3" s="645" t="s">
        <v>657</v>
      </c>
      <c r="H3" s="3" t="s">
        <v>659</v>
      </c>
    </row>
    <row r="4" spans="1:8" ht="21.75">
      <c r="A4" s="646"/>
      <c r="B4" s="646"/>
      <c r="C4" s="646"/>
      <c r="D4" s="646"/>
      <c r="E4" s="648"/>
      <c r="F4" s="648"/>
      <c r="G4" s="646"/>
      <c r="H4" s="6" t="s">
        <v>660</v>
      </c>
    </row>
    <row r="5" spans="1:8" ht="21.75">
      <c r="A5" s="7">
        <v>1</v>
      </c>
      <c r="B5" s="7" t="s">
        <v>30</v>
      </c>
      <c r="C5" s="8" t="s">
        <v>5075</v>
      </c>
      <c r="D5" s="7" t="s">
        <v>5076</v>
      </c>
      <c r="E5" s="9" t="s">
        <v>703</v>
      </c>
      <c r="F5" s="9" t="s">
        <v>5077</v>
      </c>
      <c r="G5" s="10" t="s">
        <v>5078</v>
      </c>
      <c r="H5" s="9">
        <v>1200000</v>
      </c>
    </row>
    <row r="6" spans="1:8" ht="21.75">
      <c r="A6" s="7"/>
      <c r="B6" s="7"/>
      <c r="C6" s="11"/>
      <c r="D6" s="7"/>
      <c r="E6" s="9" t="s">
        <v>5079</v>
      </c>
      <c r="F6" s="9" t="s">
        <v>5077</v>
      </c>
      <c r="G6" s="10" t="s">
        <v>5078</v>
      </c>
      <c r="H6" s="9">
        <v>1200000</v>
      </c>
    </row>
    <row r="7" spans="1:8" ht="21.75">
      <c r="A7" s="7"/>
      <c r="B7" s="7"/>
      <c r="C7" s="11"/>
      <c r="D7" s="7"/>
      <c r="E7" s="9" t="s">
        <v>1066</v>
      </c>
      <c r="F7" s="9" t="s">
        <v>5080</v>
      </c>
      <c r="G7" s="10"/>
      <c r="H7" s="9">
        <v>-1200000</v>
      </c>
    </row>
    <row r="8" spans="1:8" ht="21.75">
      <c r="A8" s="7"/>
      <c r="B8" s="7"/>
      <c r="C8" s="11"/>
      <c r="D8" s="7"/>
      <c r="E8" s="9"/>
      <c r="F8" s="9"/>
      <c r="G8" s="10"/>
      <c r="H8" s="9"/>
    </row>
    <row r="9" spans="1:8" ht="21.75">
      <c r="A9" s="7"/>
      <c r="B9" s="7"/>
      <c r="C9" s="11"/>
      <c r="D9" s="7"/>
      <c r="E9" s="9"/>
      <c r="F9" s="9"/>
      <c r="G9" s="10"/>
      <c r="H9" s="9"/>
    </row>
    <row r="10" spans="1:8" ht="21.75">
      <c r="A10" s="7"/>
      <c r="B10" s="7"/>
      <c r="C10" s="7"/>
      <c r="D10" s="7"/>
      <c r="E10" s="9"/>
      <c r="F10" s="9"/>
      <c r="G10" s="10"/>
      <c r="H10" s="9"/>
    </row>
    <row r="11" spans="1:8" ht="21.75">
      <c r="A11" s="7"/>
      <c r="B11" s="7"/>
      <c r="C11" s="7"/>
      <c r="D11" s="7"/>
      <c r="E11" s="9"/>
      <c r="F11" s="9"/>
      <c r="G11" s="10"/>
      <c r="H11" s="9">
        <f>SUM(H5:H10)</f>
        <v>1200000</v>
      </c>
    </row>
    <row r="12" spans="1:8" ht="21.75">
      <c r="A12" s="12"/>
      <c r="B12" s="12"/>
      <c r="C12" s="12"/>
      <c r="D12" s="12"/>
      <c r="E12" s="13"/>
      <c r="F12" s="13"/>
      <c r="G12" s="14"/>
      <c r="H12" s="13"/>
    </row>
    <row r="15" spans="1:8" ht="21.75">
      <c r="A15" s="709" t="s">
        <v>2233</v>
      </c>
      <c r="B15" s="709"/>
      <c r="C15" s="709"/>
      <c r="D15" s="709"/>
      <c r="E15" s="709"/>
      <c r="F15" s="709"/>
      <c r="G15" s="709"/>
      <c r="H15" s="709"/>
    </row>
    <row r="16" spans="1:8" ht="21.75">
      <c r="A16" s="645" t="s">
        <v>653</v>
      </c>
      <c r="B16" s="647" t="s">
        <v>654</v>
      </c>
      <c r="C16" s="645" t="s">
        <v>655</v>
      </c>
      <c r="D16" s="645" t="s">
        <v>12</v>
      </c>
      <c r="E16" s="647" t="s">
        <v>656</v>
      </c>
      <c r="F16" s="647" t="s">
        <v>974</v>
      </c>
      <c r="G16" s="645" t="s">
        <v>657</v>
      </c>
      <c r="H16" s="3" t="s">
        <v>659</v>
      </c>
    </row>
    <row r="17" spans="1:8" ht="21.75">
      <c r="A17" s="646"/>
      <c r="B17" s="646"/>
      <c r="C17" s="646"/>
      <c r="D17" s="646"/>
      <c r="E17" s="648"/>
      <c r="F17" s="648"/>
      <c r="G17" s="646"/>
      <c r="H17" s="6" t="s">
        <v>660</v>
      </c>
    </row>
    <row r="18" spans="1:8" ht="21.75">
      <c r="A18" s="7">
        <v>1</v>
      </c>
      <c r="B18" s="7" t="s">
        <v>30</v>
      </c>
      <c r="C18" s="8" t="s">
        <v>5075</v>
      </c>
      <c r="D18" s="7" t="s">
        <v>5076</v>
      </c>
      <c r="E18" s="9"/>
      <c r="F18" s="9"/>
      <c r="G18" s="10"/>
      <c r="H18" s="9">
        <v>600000</v>
      </c>
    </row>
    <row r="19" spans="1:8" ht="21.75">
      <c r="A19" s="7"/>
      <c r="B19" s="7"/>
      <c r="C19" s="11"/>
      <c r="D19" s="7"/>
      <c r="E19" s="9"/>
      <c r="F19" s="9"/>
      <c r="G19" s="10"/>
      <c r="H19" s="9"/>
    </row>
    <row r="20" spans="1:8" ht="21.75">
      <c r="A20" s="7"/>
      <c r="B20" s="7"/>
      <c r="C20" s="7"/>
      <c r="D20" s="7"/>
      <c r="E20" s="9"/>
      <c r="F20" s="9"/>
      <c r="G20" s="10"/>
      <c r="H20" s="9"/>
    </row>
    <row r="21" spans="1:8" ht="21.75">
      <c r="A21" s="7"/>
      <c r="B21" s="7"/>
      <c r="C21" s="7"/>
      <c r="D21" s="7"/>
      <c r="E21" s="9"/>
      <c r="F21" s="9"/>
      <c r="G21" s="10"/>
      <c r="H21" s="9">
        <f>SUM(H18:H20)</f>
        <v>600000</v>
      </c>
    </row>
    <row r="22" spans="1:8" ht="21.75">
      <c r="A22" s="12"/>
      <c r="B22" s="12"/>
      <c r="C22" s="12"/>
      <c r="D22" s="12"/>
      <c r="E22" s="13"/>
      <c r="F22" s="13"/>
      <c r="G22" s="14"/>
      <c r="H22" s="13"/>
    </row>
    <row r="24" spans="1:8" ht="21.75">
      <c r="A24" s="709" t="s">
        <v>5081</v>
      </c>
      <c r="B24" s="709"/>
      <c r="C24" s="709"/>
      <c r="D24" s="709"/>
      <c r="E24" s="709"/>
      <c r="F24" s="709"/>
      <c r="G24" s="709"/>
      <c r="H24" s="709"/>
    </row>
    <row r="25" spans="1:8" ht="21.75">
      <c r="A25" s="645" t="s">
        <v>653</v>
      </c>
      <c r="B25" s="647" t="s">
        <v>654</v>
      </c>
      <c r="C25" s="645" t="s">
        <v>655</v>
      </c>
      <c r="D25" s="645" t="s">
        <v>12</v>
      </c>
      <c r="E25" s="647" t="s">
        <v>656</v>
      </c>
      <c r="F25" s="647" t="s">
        <v>974</v>
      </c>
      <c r="G25" s="645" t="s">
        <v>657</v>
      </c>
      <c r="H25" s="3" t="s">
        <v>659</v>
      </c>
    </row>
    <row r="26" spans="1:8" ht="21.75">
      <c r="A26" s="646"/>
      <c r="B26" s="646"/>
      <c r="C26" s="646"/>
      <c r="D26" s="646"/>
      <c r="E26" s="648"/>
      <c r="F26" s="648"/>
      <c r="G26" s="646"/>
      <c r="H26" s="6" t="s">
        <v>660</v>
      </c>
    </row>
    <row r="27" spans="1:8" ht="21.75">
      <c r="A27" s="7">
        <v>1</v>
      </c>
      <c r="B27" s="7" t="s">
        <v>30</v>
      </c>
      <c r="C27" s="8" t="s">
        <v>5075</v>
      </c>
      <c r="D27" s="7" t="s">
        <v>5076</v>
      </c>
      <c r="E27" s="9" t="s">
        <v>5082</v>
      </c>
      <c r="F27" s="9" t="s">
        <v>3588</v>
      </c>
      <c r="G27" s="10" t="s">
        <v>5083</v>
      </c>
      <c r="H27" s="9">
        <v>300000</v>
      </c>
    </row>
    <row r="28" spans="1:8" ht="21.75">
      <c r="A28" s="7"/>
      <c r="B28" s="7"/>
      <c r="C28" s="11"/>
      <c r="D28" s="7"/>
      <c r="E28" s="9"/>
      <c r="F28" s="9"/>
      <c r="G28" s="10"/>
      <c r="H28" s="9"/>
    </row>
    <row r="29" spans="1:8" ht="21.75">
      <c r="A29" s="7"/>
      <c r="B29" s="7"/>
      <c r="C29" s="7"/>
      <c r="D29" s="7"/>
      <c r="E29" s="9"/>
      <c r="F29" s="9"/>
      <c r="G29" s="10"/>
      <c r="H29" s="9"/>
    </row>
    <row r="30" spans="1:8" ht="21.75">
      <c r="A30" s="7"/>
      <c r="B30" s="7"/>
      <c r="C30" s="7"/>
      <c r="D30" s="7"/>
      <c r="E30" s="9"/>
      <c r="F30" s="9"/>
      <c r="G30" s="10"/>
      <c r="H30" s="9">
        <f>SUM(H27:H29)</f>
        <v>300000</v>
      </c>
    </row>
    <row r="31" spans="1:8" ht="21.75">
      <c r="A31" s="12"/>
      <c r="B31" s="12"/>
      <c r="C31" s="12"/>
      <c r="D31" s="12"/>
      <c r="E31" s="13"/>
      <c r="F31" s="13"/>
      <c r="G31" s="14"/>
      <c r="H31" s="13"/>
    </row>
    <row r="35" spans="1:9">
      <c r="A35" s="410" t="s">
        <v>648</v>
      </c>
    </row>
    <row r="36" spans="1:9" ht="21.75">
      <c r="A36" s="709" t="s">
        <v>29</v>
      </c>
      <c r="B36" s="709"/>
      <c r="C36" s="709"/>
      <c r="D36" s="709"/>
      <c r="E36" s="709"/>
      <c r="F36" s="709"/>
      <c r="G36" s="709"/>
      <c r="H36" s="709"/>
    </row>
    <row r="37" spans="1:9" ht="21.75">
      <c r="A37" s="645" t="s">
        <v>653</v>
      </c>
      <c r="B37" s="647" t="s">
        <v>654</v>
      </c>
      <c r="C37" s="645" t="s">
        <v>655</v>
      </c>
      <c r="D37" s="645" t="s">
        <v>12</v>
      </c>
      <c r="E37" s="647" t="s">
        <v>656</v>
      </c>
      <c r="F37" s="647" t="s">
        <v>974</v>
      </c>
      <c r="G37" s="645" t="s">
        <v>657</v>
      </c>
      <c r="H37" s="3" t="s">
        <v>659</v>
      </c>
    </row>
    <row r="38" spans="1:9" ht="21.75">
      <c r="A38" s="646"/>
      <c r="B38" s="646"/>
      <c r="C38" s="646"/>
      <c r="D38" s="646"/>
      <c r="E38" s="648"/>
      <c r="F38" s="648"/>
      <c r="G38" s="646"/>
      <c r="H38" s="6" t="s">
        <v>660</v>
      </c>
    </row>
    <row r="39" spans="1:9" ht="26.45" customHeight="1">
      <c r="A39" s="7">
        <v>1</v>
      </c>
      <c r="B39" s="7" t="s">
        <v>30</v>
      </c>
      <c r="C39" s="8" t="s">
        <v>5075</v>
      </c>
      <c r="D39" s="7" t="s">
        <v>5076</v>
      </c>
      <c r="E39" s="9" t="s">
        <v>5084</v>
      </c>
      <c r="F39" s="9" t="s">
        <v>4313</v>
      </c>
      <c r="G39" s="10" t="s">
        <v>5085</v>
      </c>
      <c r="H39" s="9">
        <f>1200000*2</f>
        <v>2400000</v>
      </c>
    </row>
    <row r="40" spans="1:9" ht="26.45" customHeight="1">
      <c r="A40" s="7"/>
      <c r="B40" s="7"/>
      <c r="C40" s="11"/>
      <c r="D40" s="7"/>
      <c r="E40" s="9" t="s">
        <v>34</v>
      </c>
      <c r="F40" s="9" t="s">
        <v>795</v>
      </c>
      <c r="G40" s="10" t="s">
        <v>5086</v>
      </c>
      <c r="H40" s="9">
        <v>10400000</v>
      </c>
      <c r="I40" s="146" t="s">
        <v>3333</v>
      </c>
    </row>
    <row r="41" spans="1:9" ht="26.45" customHeight="1">
      <c r="A41" s="7"/>
      <c r="B41" s="7"/>
      <c r="C41" s="7"/>
      <c r="D41" s="7"/>
      <c r="E41" s="9"/>
      <c r="F41" s="9"/>
      <c r="G41" s="10"/>
      <c r="H41" s="9"/>
    </row>
    <row r="42" spans="1:9" ht="26.45" customHeight="1">
      <c r="A42" s="7"/>
      <c r="B42" s="7"/>
      <c r="C42" s="7"/>
      <c r="D42" s="7"/>
      <c r="E42" s="9"/>
      <c r="F42" s="9"/>
      <c r="G42" s="10"/>
      <c r="H42" s="9"/>
    </row>
    <row r="43" spans="1:9" ht="26.45" customHeight="1">
      <c r="A43" s="7"/>
      <c r="B43" s="7"/>
      <c r="C43" s="7"/>
      <c r="D43" s="7"/>
      <c r="E43" s="9"/>
      <c r="F43" s="9"/>
      <c r="G43" s="10"/>
      <c r="H43" s="9"/>
    </row>
    <row r="44" spans="1:9" ht="26.45" customHeight="1">
      <c r="A44" s="7"/>
      <c r="B44" s="7"/>
      <c r="C44" s="7"/>
      <c r="D44" s="7"/>
      <c r="E44" s="9"/>
      <c r="F44" s="9"/>
      <c r="G44" s="10"/>
      <c r="H44" s="9"/>
    </row>
    <row r="45" spans="1:9" ht="26.45" customHeight="1">
      <c r="A45" s="7"/>
      <c r="B45" s="7"/>
      <c r="C45" s="7"/>
      <c r="D45" s="7"/>
      <c r="E45" s="9"/>
      <c r="F45" s="9"/>
      <c r="G45" s="10"/>
      <c r="H45" s="9"/>
    </row>
    <row r="46" spans="1:9" ht="26.45" customHeight="1">
      <c r="A46" s="12"/>
      <c r="B46" s="12"/>
      <c r="C46" s="12"/>
      <c r="D46" s="12"/>
      <c r="E46" s="13"/>
      <c r="F46" s="13"/>
      <c r="G46" s="14"/>
      <c r="H46" s="13">
        <f>SUM(H39:H44)</f>
        <v>12800000</v>
      </c>
    </row>
    <row r="47" spans="1:9" ht="26.45" customHeight="1"/>
    <row r="48" spans="1:9" ht="26.45" customHeight="1"/>
  </sheetData>
  <mergeCells count="32">
    <mergeCell ref="A2:H2"/>
    <mergeCell ref="A3:A4"/>
    <mergeCell ref="B3:B4"/>
    <mergeCell ref="C3:C4"/>
    <mergeCell ref="D3:D4"/>
    <mergeCell ref="E3:E4"/>
    <mergeCell ref="F3:F4"/>
    <mergeCell ref="G3:G4"/>
    <mergeCell ref="A15:H15"/>
    <mergeCell ref="A16:A17"/>
    <mergeCell ref="B16:B17"/>
    <mergeCell ref="C16:C17"/>
    <mergeCell ref="D16:D17"/>
    <mergeCell ref="E16:E17"/>
    <mergeCell ref="F16:F17"/>
    <mergeCell ref="G16:G17"/>
    <mergeCell ref="A24:H24"/>
    <mergeCell ref="A25:A26"/>
    <mergeCell ref="B25:B26"/>
    <mergeCell ref="C25:C26"/>
    <mergeCell ref="D25:D26"/>
    <mergeCell ref="E25:E26"/>
    <mergeCell ref="F25:F26"/>
    <mergeCell ref="G25:G26"/>
    <mergeCell ref="A36:H36"/>
    <mergeCell ref="A37:A38"/>
    <mergeCell ref="B37:B38"/>
    <mergeCell ref="C37:C38"/>
    <mergeCell ref="D37:D38"/>
    <mergeCell ref="E37:E38"/>
    <mergeCell ref="F37:F38"/>
    <mergeCell ref="G37:G38"/>
  </mergeCells>
  <hyperlinks>
    <hyperlink ref="A1" location="Name!A1" display="Name!A1" xr:uid="{79AF698B-EA71-429B-AB2A-D25590675A2F}"/>
    <hyperlink ref="A35" location="Name!A1" display="Name!A1" xr:uid="{5C399C12-6E39-42C7-A866-9B60FC63AFC1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Rental List</vt:lpstr>
      <vt:lpstr>3D-4211</vt:lpstr>
      <vt:lpstr>6L-2311</vt:lpstr>
      <vt:lpstr>3D-5417</vt:lpstr>
      <vt:lpstr>2E-7611</vt:lpstr>
      <vt:lpstr>5L-5487</vt:lpstr>
      <vt:lpstr>6F-6516</vt:lpstr>
      <vt:lpstr>3I-2599</vt:lpstr>
      <vt:lpstr>4D-4361</vt:lpstr>
      <vt:lpstr>9J-7318</vt:lpstr>
      <vt:lpstr>1N-3473</vt:lpstr>
      <vt:lpstr>2L-5621</vt:lpstr>
      <vt:lpstr>1L-6464</vt:lpstr>
      <vt:lpstr>6Q-1178</vt:lpstr>
      <vt:lpstr>6L-9338</vt:lpstr>
      <vt:lpstr>5H-6646</vt:lpstr>
      <vt:lpstr>1M-9575</vt:lpstr>
      <vt:lpstr>2F-2142</vt:lpstr>
      <vt:lpstr>5P-5451</vt:lpstr>
      <vt:lpstr>1R-7367</vt:lpstr>
      <vt:lpstr>9J-5030</vt:lpstr>
      <vt:lpstr>1K-2555</vt:lpstr>
      <vt:lpstr>2I-7677</vt:lpstr>
      <vt:lpstr>1I-6866</vt:lpstr>
      <vt:lpstr>7N-1419</vt:lpstr>
      <vt:lpstr>6L-2504</vt:lpstr>
      <vt:lpstr>6L-2808</vt:lpstr>
      <vt:lpstr>6I-8975</vt:lpstr>
      <vt:lpstr>1I-4960</vt:lpstr>
      <vt:lpstr>3L-6640</vt:lpstr>
      <vt:lpstr>3Q-7409</vt:lpstr>
      <vt:lpstr>5K-4168</vt:lpstr>
      <vt:lpstr>4Q-9683</vt:lpstr>
      <vt:lpstr>7H-1942</vt:lpstr>
      <vt:lpstr>5P-6639</vt:lpstr>
      <vt:lpstr>1K-5984</vt:lpstr>
      <vt:lpstr>7N-1797</vt:lpstr>
      <vt:lpstr>1P-1210</vt:lpstr>
      <vt:lpstr>9N-2999</vt:lpstr>
      <vt:lpstr>7P-6171</vt:lpstr>
      <vt:lpstr>1G-8399</vt:lpstr>
      <vt:lpstr>6L-2250</vt:lpstr>
      <vt:lpstr>6K-9464</vt:lpstr>
      <vt:lpstr>9J-1459</vt:lpstr>
      <vt:lpstr>9K-7202</vt:lpstr>
      <vt:lpstr>1M-7872</vt:lpstr>
      <vt:lpstr>2M-5574</vt:lpstr>
      <vt:lpstr>7K-4229</vt:lpstr>
      <vt:lpstr>7K-3137</vt:lpstr>
      <vt:lpstr>6L-5802</vt:lpstr>
      <vt:lpstr>1I-8971</vt:lpstr>
      <vt:lpstr>7H-1783</vt:lpstr>
      <vt:lpstr>4K-7478</vt:lpstr>
      <vt:lpstr>2M-1710</vt:lpstr>
      <vt:lpstr>3D-6534</vt:lpstr>
      <vt:lpstr>3M-3477</vt:lpstr>
      <vt:lpstr>5K-8905</vt:lpstr>
      <vt:lpstr>1K-7025</vt:lpstr>
      <vt:lpstr>1L-2491</vt:lpstr>
      <vt:lpstr>5D-3266</vt:lpstr>
      <vt:lpstr>2E-7802</vt:lpstr>
      <vt:lpstr>1J-4747</vt:lpstr>
      <vt:lpstr>9H-6009</vt:lpstr>
      <vt:lpstr>7J-5038</vt:lpstr>
      <vt:lpstr>7K-5798</vt:lpstr>
      <vt:lpstr>2J-3021</vt:lpstr>
      <vt:lpstr>9J-5405</vt:lpstr>
      <vt:lpstr>7H-8222</vt:lpstr>
      <vt:lpstr>7C-8788</vt:lpstr>
      <vt:lpstr>5L-1648</vt:lpstr>
      <vt:lpstr>1K-7482</vt:lpstr>
      <vt:lpstr>4K-7943</vt:lpstr>
      <vt:lpstr>6L-8556</vt:lpstr>
      <vt:lpstr>5L-4960</vt:lpstr>
      <vt:lpstr>9J-7302</vt:lpstr>
      <vt:lpstr>5N-5306</vt:lpstr>
      <vt:lpstr>1L-1050</vt:lpstr>
      <vt:lpstr>9H-5551</vt:lpstr>
      <vt:lpstr>5L-8865</vt:lpstr>
      <vt:lpstr>9Q-5615</vt:lpstr>
      <vt:lpstr>9L-9176</vt:lpstr>
      <vt:lpstr>4L-9873</vt:lpstr>
      <vt:lpstr>3J-4642</vt:lpstr>
      <vt:lpstr>4K-1329</vt:lpstr>
      <vt:lpstr>7K-6305</vt:lpstr>
      <vt:lpstr>4H-5781</vt:lpstr>
      <vt:lpstr>1M-9574</vt:lpstr>
      <vt:lpstr>1N-6213</vt:lpstr>
      <vt:lpstr>5Q-8505</vt:lpstr>
      <vt:lpstr>2S-2927</vt:lpstr>
      <vt:lpstr>2Q-1461</vt:lpstr>
      <vt:lpstr>7H-8541</vt:lpstr>
      <vt:lpstr>4H-8153</vt:lpstr>
      <vt:lpstr>2F-9171</vt:lpstr>
      <vt:lpstr>1Q-1193</vt:lpstr>
      <vt:lpstr>3H-5929</vt:lpstr>
      <vt:lpstr>7P-6769</vt:lpstr>
      <vt:lpstr>1I-4365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Zaw Thet  Maung</cp:lastModifiedBy>
  <cp:revision/>
  <dcterms:created xsi:type="dcterms:W3CDTF">2024-02-06T07:53:00Z</dcterms:created>
  <dcterms:modified xsi:type="dcterms:W3CDTF">2024-08-19T09:34:14Z</dcterms:modified>
  <cp:category/>
  <cp:contentStatus/>
</cp:coreProperties>
</file>