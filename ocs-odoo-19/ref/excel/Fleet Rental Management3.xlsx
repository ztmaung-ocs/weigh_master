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tmau\OneDrive\Documents\Github\ocs-odoo-fleet\ref\excel\"/>
    </mc:Choice>
  </mc:AlternateContent>
  <xr:revisionPtr revIDLastSave="0" documentId="13_ncr:1_{35FA431B-DC82-48D7-AF17-31850EAC0DD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</sheets>
  <calcPr calcId="181029" iterateDelta="1E-4"/>
</workbook>
</file>

<file path=xl/calcChain.xml><?xml version="1.0" encoding="utf-8"?>
<calcChain xmlns="http://schemas.openxmlformats.org/spreadsheetml/2006/main">
  <c r="C66" i="1" l="1"/>
  <c r="E66" i="1"/>
  <c r="C67" i="1"/>
  <c r="E67" i="1"/>
  <c r="C68" i="1"/>
  <c r="E68" i="1"/>
  <c r="C69" i="1"/>
  <c r="E69" i="1"/>
  <c r="C70" i="1"/>
  <c r="E70" i="1"/>
  <c r="C71" i="1"/>
  <c r="E71" i="1"/>
  <c r="C72" i="1"/>
  <c r="E72" i="1"/>
  <c r="C73" i="1"/>
  <c r="E73" i="1"/>
  <c r="C74" i="1"/>
  <c r="E74" i="1"/>
  <c r="C75" i="1"/>
  <c r="E75" i="1"/>
  <c r="C76" i="1"/>
  <c r="E76" i="1"/>
  <c r="C77" i="1"/>
  <c r="E77" i="1"/>
  <c r="C78" i="1"/>
  <c r="E78" i="1"/>
  <c r="C79" i="1"/>
  <c r="E79" i="1"/>
  <c r="C80" i="1"/>
  <c r="E80" i="1"/>
  <c r="C81" i="1"/>
  <c r="E81" i="1"/>
  <c r="C82" i="1"/>
  <c r="E82" i="1"/>
  <c r="C83" i="1"/>
  <c r="E83" i="1"/>
  <c r="C84" i="1"/>
  <c r="E84" i="1"/>
  <c r="C61" i="1"/>
  <c r="E61" i="1"/>
  <c r="C62" i="1"/>
  <c r="E62" i="1"/>
  <c r="C63" i="1"/>
  <c r="E63" i="1"/>
  <c r="C64" i="1"/>
  <c r="E64" i="1"/>
  <c r="C65" i="1"/>
  <c r="E65" i="1"/>
  <c r="C51" i="1"/>
  <c r="E51" i="1"/>
  <c r="C52" i="1"/>
  <c r="E52" i="1"/>
  <c r="C53" i="1"/>
  <c r="E53" i="1"/>
  <c r="C54" i="1"/>
  <c r="E54" i="1"/>
  <c r="C55" i="1"/>
  <c r="E55" i="1"/>
  <c r="C56" i="1"/>
  <c r="E56" i="1"/>
  <c r="C57" i="1"/>
  <c r="E57" i="1"/>
  <c r="C58" i="1"/>
  <c r="E58" i="1"/>
  <c r="C59" i="1"/>
  <c r="E59" i="1"/>
  <c r="C60" i="1"/>
  <c r="E60" i="1"/>
  <c r="C46" i="1"/>
  <c r="E46" i="1"/>
  <c r="C47" i="1"/>
  <c r="E47" i="1"/>
  <c r="C48" i="1"/>
  <c r="E48" i="1"/>
  <c r="C49" i="1"/>
  <c r="E49" i="1"/>
  <c r="C50" i="1"/>
  <c r="E50" i="1"/>
  <c r="C41" i="1"/>
  <c r="E41" i="1"/>
  <c r="C42" i="1"/>
  <c r="E42" i="1"/>
  <c r="C43" i="1"/>
  <c r="E43" i="1"/>
  <c r="C44" i="1"/>
  <c r="E44" i="1"/>
  <c r="C45" i="1"/>
  <c r="E45" i="1"/>
  <c r="C31" i="1"/>
  <c r="E31" i="1"/>
  <c r="C32" i="1"/>
  <c r="E32" i="1"/>
  <c r="C33" i="1"/>
  <c r="E33" i="1"/>
  <c r="C34" i="1"/>
  <c r="E34" i="1"/>
  <c r="C35" i="1"/>
  <c r="E35" i="1"/>
  <c r="C36" i="1"/>
  <c r="E36" i="1"/>
  <c r="C37" i="1"/>
  <c r="E37" i="1"/>
  <c r="C38" i="1"/>
  <c r="E38" i="1"/>
  <c r="C39" i="1"/>
  <c r="E39" i="1"/>
  <c r="C40" i="1"/>
  <c r="E40" i="1"/>
  <c r="C26" i="1"/>
  <c r="E26" i="1"/>
  <c r="C27" i="1"/>
  <c r="E27" i="1"/>
  <c r="C28" i="1"/>
  <c r="E28" i="1"/>
  <c r="C29" i="1"/>
  <c r="E29" i="1"/>
  <c r="C30" i="1"/>
  <c r="E30" i="1"/>
  <c r="C21" i="1"/>
  <c r="E21" i="1"/>
  <c r="C22" i="1"/>
  <c r="E22" i="1"/>
  <c r="C23" i="1"/>
  <c r="E23" i="1"/>
  <c r="C24" i="1"/>
  <c r="E24" i="1"/>
  <c r="C25" i="1"/>
  <c r="E25" i="1"/>
  <c r="C11" i="1"/>
  <c r="E11" i="1"/>
  <c r="C12" i="1"/>
  <c r="E12" i="1"/>
  <c r="C13" i="1"/>
  <c r="E13" i="1"/>
  <c r="C14" i="1"/>
  <c r="E14" i="1"/>
  <c r="C15" i="1"/>
  <c r="E15" i="1"/>
  <c r="C16" i="1"/>
  <c r="E16" i="1"/>
  <c r="C17" i="1"/>
  <c r="E17" i="1"/>
  <c r="C18" i="1"/>
  <c r="E18" i="1"/>
  <c r="C19" i="1"/>
  <c r="E19" i="1"/>
  <c r="C20" i="1"/>
  <c r="E20" i="1"/>
  <c r="C3" i="1"/>
  <c r="C4" i="1"/>
  <c r="C5" i="1"/>
  <c r="C6" i="1"/>
  <c r="C7" i="1"/>
  <c r="C8" i="1"/>
  <c r="C9" i="1"/>
  <c r="C10" i="1"/>
  <c r="C2" i="1"/>
  <c r="E3" i="1"/>
  <c r="E4" i="1"/>
  <c r="E5" i="1"/>
  <c r="E6" i="1"/>
  <c r="E7" i="1"/>
  <c r="E8" i="1"/>
  <c r="E9" i="1"/>
  <c r="E10" i="1"/>
  <c r="E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2" i="2"/>
</calcChain>
</file>

<file path=xl/sharedStrings.xml><?xml version="1.0" encoding="utf-8"?>
<sst xmlns="http://schemas.openxmlformats.org/spreadsheetml/2006/main" count="775" uniqueCount="393">
  <si>
    <t>Name</t>
  </si>
  <si>
    <t>Customer</t>
  </si>
  <si>
    <t>Vehicle</t>
  </si>
  <si>
    <t>Recurring Cost</t>
  </si>
  <si>
    <t>Fleet Brand</t>
  </si>
  <si>
    <t>Fleet Color</t>
  </si>
  <si>
    <t>Rent Start Date</t>
  </si>
  <si>
    <t>Rent End Date</t>
  </si>
  <si>
    <t>State</t>
  </si>
  <si>
    <t>Running</t>
  </si>
  <si>
    <t>Cost Frequency</t>
  </si>
  <si>
    <t>Monthly</t>
  </si>
  <si>
    <t>Rent Cost</t>
  </si>
  <si>
    <t>Mr Yan Yue Peng</t>
  </si>
  <si>
    <t>first_payment</t>
  </si>
  <si>
    <t>Ko Nay Min Han</t>
  </si>
  <si>
    <t>Mr Tong Kai Liang</t>
  </si>
  <si>
    <t xml:space="preserve">Ko Soe Myint Oo </t>
  </si>
  <si>
    <t xml:space="preserve">Mr Kuo Yuan Yang </t>
  </si>
  <si>
    <t>Mr Guo Ling</t>
  </si>
  <si>
    <t>Mr Lu Jian Zhaung</t>
  </si>
  <si>
    <t>Mr Yu Liang Liang</t>
  </si>
  <si>
    <t xml:space="preserve">Mr Wang Ping </t>
  </si>
  <si>
    <t xml:space="preserve">Mr Xu Yizhi </t>
  </si>
  <si>
    <t>Mr Pu Yuan Lun</t>
  </si>
  <si>
    <t xml:space="preserve">Mr Lee /Mr Tang Yong Clun </t>
  </si>
  <si>
    <t>U Aung Kyaw</t>
  </si>
  <si>
    <t xml:space="preserve">Ko Aung Kyaw </t>
  </si>
  <si>
    <t>Mr Xie Ming Jian</t>
  </si>
  <si>
    <t>Mr Deng Shi Hui</t>
  </si>
  <si>
    <t xml:space="preserve">U Hla Myint </t>
  </si>
  <si>
    <t xml:space="preserve">Ko Hla Aung Mmo fri </t>
  </si>
  <si>
    <t xml:space="preserve">Mr Zhe Jiang </t>
  </si>
  <si>
    <t xml:space="preserve">Mr Yu Xiang Zhong </t>
  </si>
  <si>
    <t>Mr XUAN YULONG</t>
  </si>
  <si>
    <t>Ko Kyaw Kyaw</t>
  </si>
  <si>
    <t>Mr Liu Zhaoyun</t>
  </si>
  <si>
    <t xml:space="preserve">Ko Kyaw Nyi Nyi Lwin </t>
  </si>
  <si>
    <t xml:space="preserve">Mr Xiao Lusheng </t>
  </si>
  <si>
    <t>Mr Deng Li</t>
  </si>
  <si>
    <t xml:space="preserve">Mr Mo Enging/Zvan Yip </t>
  </si>
  <si>
    <t>Mr Bai Luokun</t>
  </si>
  <si>
    <t xml:space="preserve">Mr Zeng Jin </t>
  </si>
  <si>
    <t xml:space="preserve">Mr Kway Chi </t>
  </si>
  <si>
    <t>Yang Jiu Ping</t>
  </si>
  <si>
    <t>Mr Xue Hua Bei</t>
  </si>
  <si>
    <t xml:space="preserve">Mr Xu Fen </t>
  </si>
  <si>
    <t>Mr Hu Fengbo</t>
  </si>
  <si>
    <t xml:space="preserve">U Zaw Lin Aung </t>
  </si>
  <si>
    <t xml:space="preserve">Mr Chen Dexiong </t>
  </si>
  <si>
    <t xml:space="preserve">Mr Liu Yi Chung </t>
  </si>
  <si>
    <t xml:space="preserve">Mr Jin Zheng Chun/SJ Co., Ltd </t>
  </si>
  <si>
    <t>STEK-MDY Office</t>
  </si>
  <si>
    <t>Mr Zhu Qing Lei</t>
  </si>
  <si>
    <t>Mr Xiong Zhong Xiang</t>
  </si>
  <si>
    <t xml:space="preserve">Mr Dai Ajian </t>
  </si>
  <si>
    <t xml:space="preserve">Mr Yan Xuzhong </t>
  </si>
  <si>
    <t xml:space="preserve">Mr Xu Liangihang </t>
  </si>
  <si>
    <t xml:space="preserve">Mr Hu Xiaobin </t>
  </si>
  <si>
    <t>Ko Hein Htut Aung</t>
  </si>
  <si>
    <t>U Zay Paing Htoo</t>
  </si>
  <si>
    <t>Mr Huang Haiming</t>
  </si>
  <si>
    <t xml:space="preserve">Mr Dong Caigun </t>
  </si>
  <si>
    <t xml:space="preserve">Mr Yu Jingsong </t>
  </si>
  <si>
    <t>Mr Dong Lei</t>
  </si>
  <si>
    <t>Mr Huang Wei Meng</t>
  </si>
  <si>
    <t>Mr Huang Xin Leng</t>
  </si>
  <si>
    <t>Mr Chen Sheng Li</t>
  </si>
  <si>
    <t xml:space="preserve">Mr Ye Zhao Zheng </t>
  </si>
  <si>
    <t xml:space="preserve">Ma Phyu Phyu Moe </t>
  </si>
  <si>
    <t xml:space="preserve">Mr Fu Qiang </t>
  </si>
  <si>
    <t xml:space="preserve">Mr Zhou Jimimg </t>
  </si>
  <si>
    <t xml:space="preserve">U Myat Min Paing </t>
  </si>
  <si>
    <t xml:space="preserve">Ko Hein Htet </t>
  </si>
  <si>
    <t xml:space="preserve">Mr Lin Xiao Yun </t>
  </si>
  <si>
    <t xml:space="preserve">Mr Li Zuolong </t>
  </si>
  <si>
    <t>Mr Fu Shaoyou</t>
  </si>
  <si>
    <t>Ma Thandar</t>
  </si>
  <si>
    <t>Mr Wu Wei Jun</t>
  </si>
  <si>
    <t>STEK</t>
  </si>
  <si>
    <t>Mr Liu Shiquan</t>
  </si>
  <si>
    <t>Daw May Hnin Phyu</t>
  </si>
  <si>
    <t>Mr Zhu Yun Jian</t>
  </si>
  <si>
    <t>Ma Hla Hla Maw</t>
  </si>
  <si>
    <t>STEK - YGN Office</t>
  </si>
  <si>
    <t>Mr Lei Ming</t>
  </si>
  <si>
    <t>Mr Hou Dongcheng</t>
  </si>
  <si>
    <t xml:space="preserve">Mr Yuan Zhichao/SJ Co., Ltd </t>
  </si>
  <si>
    <t>Mr Chen Jun</t>
  </si>
  <si>
    <t>1I/4365</t>
  </si>
  <si>
    <t xml:space="preserve">7P/6769 (MMO) </t>
  </si>
  <si>
    <t>3H/5929</t>
  </si>
  <si>
    <t xml:space="preserve">1I/4960 </t>
  </si>
  <si>
    <t xml:space="preserve">2F/9171 </t>
  </si>
  <si>
    <t xml:space="preserve">4H/8153 </t>
  </si>
  <si>
    <t>2Q/1461 (MMO)</t>
  </si>
  <si>
    <t xml:space="preserve">2S/2927 </t>
  </si>
  <si>
    <t>5Q/8505 (MMO)</t>
  </si>
  <si>
    <t>1N/6213 (MMO)</t>
  </si>
  <si>
    <t>7N/1419</t>
  </si>
  <si>
    <t xml:space="preserve">1M/9574 (MMO) </t>
  </si>
  <si>
    <t>4H/5781 (MMO)</t>
  </si>
  <si>
    <t>7K/6305 (MMO)</t>
  </si>
  <si>
    <t>9J/5030 (MMO)</t>
  </si>
  <si>
    <t>4K/1329</t>
  </si>
  <si>
    <t>3J/4642 (MMO)</t>
  </si>
  <si>
    <t xml:space="preserve">4L/9873 (MMO) </t>
  </si>
  <si>
    <t>9L/9176 (MMO)</t>
  </si>
  <si>
    <t>5H/6646 (MMO)</t>
  </si>
  <si>
    <t>9H/5551 (MMO)</t>
  </si>
  <si>
    <t>1L/1050 (MMO)</t>
  </si>
  <si>
    <t>5N/5306 (MMO)</t>
  </si>
  <si>
    <t>9J/7302 (MMO)</t>
  </si>
  <si>
    <t>5L/4960 (MMO)</t>
  </si>
  <si>
    <t xml:space="preserve">6L/8556 (MMO) </t>
  </si>
  <si>
    <t>4K/7943 (MMO)</t>
  </si>
  <si>
    <t>1K/7482 (MMO)</t>
  </si>
  <si>
    <t xml:space="preserve">5L/1648 (MMO) </t>
  </si>
  <si>
    <t xml:space="preserve">7C/8788 </t>
  </si>
  <si>
    <t>7H/8222</t>
  </si>
  <si>
    <t>9J/5405</t>
  </si>
  <si>
    <t>2J/3021</t>
  </si>
  <si>
    <t>7K/5798</t>
  </si>
  <si>
    <t>7J/5038</t>
  </si>
  <si>
    <t>9H/6009</t>
  </si>
  <si>
    <t xml:space="preserve">4D/4361 </t>
  </si>
  <si>
    <t xml:space="preserve">2E/7802 </t>
  </si>
  <si>
    <t>5D/3266</t>
  </si>
  <si>
    <t>1L/2491</t>
  </si>
  <si>
    <t xml:space="preserve">1K/7025 </t>
  </si>
  <si>
    <t>5K/8905</t>
  </si>
  <si>
    <t xml:space="preserve">3M/3477 </t>
  </si>
  <si>
    <t>3D/6534</t>
  </si>
  <si>
    <t xml:space="preserve">1I/6866 </t>
  </si>
  <si>
    <t>3L/6640</t>
  </si>
  <si>
    <t>2M/1710</t>
  </si>
  <si>
    <t>4K/7478</t>
  </si>
  <si>
    <t>7H/1783</t>
  </si>
  <si>
    <t>1I/8971</t>
  </si>
  <si>
    <t xml:space="preserve">7K/3137 </t>
  </si>
  <si>
    <t xml:space="preserve">7K/4229 </t>
  </si>
  <si>
    <t xml:space="preserve">2M/5574 </t>
  </si>
  <si>
    <t xml:space="preserve">1M/7872 </t>
  </si>
  <si>
    <t xml:space="preserve">9K/7202 </t>
  </si>
  <si>
    <t xml:space="preserve">9J/1459 </t>
  </si>
  <si>
    <t>6L/5802</t>
  </si>
  <si>
    <t xml:space="preserve">2I/7677 </t>
  </si>
  <si>
    <t xml:space="preserve">6K/9464 </t>
  </si>
  <si>
    <t>1K/2555</t>
  </si>
  <si>
    <t xml:space="preserve">5K/4168 </t>
  </si>
  <si>
    <t>6L/2250 (MMO)</t>
  </si>
  <si>
    <t>1G/8399 (MMO)</t>
  </si>
  <si>
    <t>7P/6171 (MMO)</t>
  </si>
  <si>
    <t>1R/7367 (MMO)</t>
  </si>
  <si>
    <t xml:space="preserve">9N/2999 </t>
  </si>
  <si>
    <t>1P/1210</t>
  </si>
  <si>
    <t>7N/1797 (MMO)</t>
  </si>
  <si>
    <t>1K/5984 (MMO)</t>
  </si>
  <si>
    <t>5P/6639 (MMO)</t>
  </si>
  <si>
    <t>6I/8975 (MMO)</t>
  </si>
  <si>
    <t>7H/1942 (MMO)</t>
  </si>
  <si>
    <t>4Q/9683 (MMO)</t>
  </si>
  <si>
    <t>5P/5451</t>
  </si>
  <si>
    <t>1M/9575</t>
  </si>
  <si>
    <t>6L/9338</t>
  </si>
  <si>
    <t>1L/6464</t>
  </si>
  <si>
    <t>2L/5621</t>
  </si>
  <si>
    <t>9J/7318</t>
  </si>
  <si>
    <t>1N/3473</t>
  </si>
  <si>
    <t>5L/8865</t>
  </si>
  <si>
    <t>3I/2599</t>
  </si>
  <si>
    <t>5L/5487</t>
  </si>
  <si>
    <t>2E/7644</t>
  </si>
  <si>
    <t>6L/2311</t>
  </si>
  <si>
    <t>3D/5417</t>
  </si>
  <si>
    <t>3D/4211</t>
  </si>
  <si>
    <t>2023-05-25</t>
  </si>
  <si>
    <t>2024-06-01</t>
  </si>
  <si>
    <t>2024-04-29</t>
  </si>
  <si>
    <t>2024-03-05</t>
  </si>
  <si>
    <t>2024-01-07</t>
  </si>
  <si>
    <t>2024-07-02</t>
  </si>
  <si>
    <t>2024-03-24</t>
  </si>
  <si>
    <t>2024-04-01</t>
  </si>
  <si>
    <t>2024-04-09</t>
  </si>
  <si>
    <t>2023-10-03</t>
  </si>
  <si>
    <t>2024-07-01</t>
  </si>
  <si>
    <t>2024-03-08</t>
  </si>
  <si>
    <t>2024-01-27</t>
  </si>
  <si>
    <t>2024-08-01</t>
  </si>
  <si>
    <t>2024-03-21</t>
  </si>
  <si>
    <t>2024-06-03</t>
  </si>
  <si>
    <t>2024-09-02</t>
  </si>
  <si>
    <t>2023-06-12</t>
  </si>
  <si>
    <t>2024-06-19</t>
  </si>
  <si>
    <t>2024-05-20</t>
  </si>
  <si>
    <t>2024-05-02</t>
  </si>
  <si>
    <t>2024-06-08</t>
  </si>
  <si>
    <t>2024-03-01</t>
  </si>
  <si>
    <t>2024-06-25</t>
  </si>
  <si>
    <t>2023-04-25</t>
  </si>
  <si>
    <t>2024-07-17</t>
  </si>
  <si>
    <t>2024-02-29</t>
  </si>
  <si>
    <t>2024-01-17</t>
  </si>
  <si>
    <t>2023-06-03</t>
  </si>
  <si>
    <t>2024-05-29</t>
  </si>
  <si>
    <t>2024-05-18</t>
  </si>
  <si>
    <t>2024-06-07</t>
  </si>
  <si>
    <t>2024-07-24</t>
  </si>
  <si>
    <t>2023-06-23</t>
  </si>
  <si>
    <t>2023-09-24</t>
  </si>
  <si>
    <t>2024-05-01</t>
  </si>
  <si>
    <t>2024-06-14</t>
  </si>
  <si>
    <t>2024-06-12</t>
  </si>
  <si>
    <t>2024-05-23</t>
  </si>
  <si>
    <t>2023-05-06</t>
  </si>
  <si>
    <t>2003-07-20</t>
  </si>
  <si>
    <t>2024-03-07</t>
  </si>
  <si>
    <t>2024-06-23</t>
  </si>
  <si>
    <t>2024-05-27</t>
  </si>
  <si>
    <t>2024-07-11</t>
  </si>
  <si>
    <t>2023-05-20</t>
  </si>
  <si>
    <t>2024-07-09</t>
  </si>
  <si>
    <t>2024-05-24</t>
  </si>
  <si>
    <t>2024-06-28</t>
  </si>
  <si>
    <t>2024-07-22</t>
  </si>
  <si>
    <t>2024-04-05</t>
  </si>
  <si>
    <t>2024-06-20</t>
  </si>
  <si>
    <t>2024-07-08</t>
  </si>
  <si>
    <t>2024-07-06</t>
  </si>
  <si>
    <t>2024-07-07</t>
  </si>
  <si>
    <t>2024-07-23</t>
  </si>
  <si>
    <t>2024-06-13</t>
  </si>
  <si>
    <t>2024-04-21</t>
  </si>
  <si>
    <t>2023-07-24</t>
  </si>
  <si>
    <t>2024-06-30</t>
  </si>
  <si>
    <t>2024-08-28</t>
  </si>
  <si>
    <t>2024-05-04</t>
  </si>
  <si>
    <t>2024-03-06</t>
  </si>
  <si>
    <t>2024-07-31</t>
  </si>
  <si>
    <t>2025-05-14</t>
  </si>
  <si>
    <t>2024-05-08</t>
  </si>
  <si>
    <t>2023-11-02</t>
  </si>
  <si>
    <t>2024-10-01</t>
  </si>
  <si>
    <t>2024-05-07</t>
  </si>
  <si>
    <t>2024-06-26</t>
  </si>
  <si>
    <t>2024-08-02</t>
  </si>
  <si>
    <t>2024-02-09</t>
  </si>
  <si>
    <t>2023-08-11</t>
  </si>
  <si>
    <t>2024-09-18</t>
  </si>
  <si>
    <t>2024-05-31</t>
  </si>
  <si>
    <t>2024-09-07</t>
  </si>
  <si>
    <t>2024-09-24</t>
  </si>
  <si>
    <t>2023-05-24</t>
  </si>
  <si>
    <t>2024-08-16</t>
  </si>
  <si>
    <t>2024-03-28</t>
  </si>
  <si>
    <t>2024-02-16</t>
  </si>
  <si>
    <t>2023-07-02</t>
  </si>
  <si>
    <t>2024-07-20</t>
  </si>
  <si>
    <t>2024-03-19</t>
  </si>
  <si>
    <t>2024-07-18</t>
  </si>
  <si>
    <t>2024-10-23</t>
  </si>
  <si>
    <t>2023-09-22</t>
  </si>
  <si>
    <t>2024-05-22</t>
  </si>
  <si>
    <t>2023-11-23</t>
  </si>
  <si>
    <t>2024-12-31</t>
  </si>
  <si>
    <t>2024-09-13</t>
  </si>
  <si>
    <t>2024-08-11</t>
  </si>
  <si>
    <t>2023-10-05</t>
  </si>
  <si>
    <t>2023-08-19</t>
  </si>
  <si>
    <t>2024-06-06</t>
  </si>
  <si>
    <t>2024-04-12</t>
  </si>
  <si>
    <t>2024-01-22</t>
  </si>
  <si>
    <t>2024-09-10</t>
  </si>
  <si>
    <t>2023-11-19</t>
  </si>
  <si>
    <t>2024-08-08</t>
  </si>
  <si>
    <t>2024-07-27</t>
  </si>
  <si>
    <t>2024-08-23</t>
  </si>
  <si>
    <t>2024-08-21</t>
  </si>
  <si>
    <t>2024-08-04</t>
  </si>
  <si>
    <t>2024-08-07</t>
  </si>
  <si>
    <t>2024-08-05</t>
  </si>
  <si>
    <t>2024-08-06</t>
  </si>
  <si>
    <t>2024-09-12</t>
  </si>
  <si>
    <t>License Plate</t>
  </si>
  <si>
    <t>Model</t>
  </si>
  <si>
    <t>Toyota/Mark II</t>
  </si>
  <si>
    <t>Toyota/Alphard</t>
  </si>
  <si>
    <t>Nissan/AD</t>
  </si>
  <si>
    <t>Honda/Insight</t>
  </si>
  <si>
    <t>1J/4747</t>
  </si>
  <si>
    <t>Toyota/Vitz</t>
  </si>
  <si>
    <t>Nissan/Sunny</t>
  </si>
  <si>
    <t>1Q/1193 (MMO)</t>
  </si>
  <si>
    <t>2F/2142</t>
  </si>
  <si>
    <t>2L/8057</t>
  </si>
  <si>
    <t>Suzuki/Ciaz</t>
  </si>
  <si>
    <t>Toyota/Belta</t>
  </si>
  <si>
    <t>6F/6516</t>
  </si>
  <si>
    <t>Nissan/March</t>
  </si>
  <si>
    <t xml:space="preserve">6L/2504 </t>
  </si>
  <si>
    <t>Hyundai/H1</t>
  </si>
  <si>
    <t>6Q/1178(MMO)</t>
  </si>
  <si>
    <t>7H/8541</t>
  </si>
  <si>
    <t>Honda/Civic</t>
  </si>
  <si>
    <t>Toyota/Ractis</t>
  </si>
  <si>
    <t>Mr Hu Lanxiong</t>
  </si>
  <si>
    <t>U Win Naing</t>
  </si>
  <si>
    <t>Mr Wang Chenghai</t>
  </si>
  <si>
    <t>C</t>
  </si>
  <si>
    <t>RENT/2023/0001</t>
  </si>
  <si>
    <t>RENT/2023/0002</t>
  </si>
  <si>
    <t>RENT/2023/0003</t>
  </si>
  <si>
    <t>RENT/2023/0004</t>
  </si>
  <si>
    <t>RENT/2023/0005</t>
  </si>
  <si>
    <t>RENT/2023/0006</t>
  </si>
  <si>
    <t>RENT/2023/0007</t>
  </si>
  <si>
    <t>RENT/2023/0008</t>
  </si>
  <si>
    <t>RENT/2023/0009</t>
  </si>
  <si>
    <t>RENT/2023/0010</t>
  </si>
  <si>
    <t>RENT/2023/0011</t>
  </si>
  <si>
    <t>RENT/2023/0012</t>
  </si>
  <si>
    <t>RENT/2023/0013</t>
  </si>
  <si>
    <t>RENT/2023/0014</t>
  </si>
  <si>
    <t>RENT/2023/0015</t>
  </si>
  <si>
    <t>RENT/2023/0016</t>
  </si>
  <si>
    <t>RENT/2023/0017</t>
  </si>
  <si>
    <t>RENT/2023/0018</t>
  </si>
  <si>
    <t>RENT/2023/0019</t>
  </si>
  <si>
    <t>RENT/2023/0020</t>
  </si>
  <si>
    <t>RENT/2023/0021</t>
  </si>
  <si>
    <t>RENT/2023/0022</t>
  </si>
  <si>
    <t>RENT/2023/0023</t>
  </si>
  <si>
    <t>RENT/2023/0024</t>
  </si>
  <si>
    <t>RENT/2023/0025</t>
  </si>
  <si>
    <t>RENT/2023/0026</t>
  </si>
  <si>
    <t>RENT/2023/0027</t>
  </si>
  <si>
    <t>RENT/2023/0028</t>
  </si>
  <si>
    <t>RENT/2023/0029</t>
  </si>
  <si>
    <t>RENT/2023/0030</t>
  </si>
  <si>
    <t>RENT/2023/0031</t>
  </si>
  <si>
    <t>RENT/2023/0032</t>
  </si>
  <si>
    <t>RENT/2023/0033</t>
  </si>
  <si>
    <t>RENT/2023/0034</t>
  </si>
  <si>
    <t>RENT/2023/0035</t>
  </si>
  <si>
    <t>RENT/2023/0036</t>
  </si>
  <si>
    <t>RENT/2023/0037</t>
  </si>
  <si>
    <t>RENT/2023/0038</t>
  </si>
  <si>
    <t>RENT/2023/0039</t>
  </si>
  <si>
    <t>RENT/2023/0040</t>
  </si>
  <si>
    <t>RENT/2023/0041</t>
  </si>
  <si>
    <t>RENT/2023/0042</t>
  </si>
  <si>
    <t>RENT/2023/0043</t>
  </si>
  <si>
    <t>RENT/2023/0044</t>
  </si>
  <si>
    <t>RENT/2023/0045</t>
  </si>
  <si>
    <t>RENT/2023/0046</t>
  </si>
  <si>
    <t>RENT/2023/0047</t>
  </si>
  <si>
    <t>RENT/2023/0048</t>
  </si>
  <si>
    <t>RENT/2023/0049</t>
  </si>
  <si>
    <t>RENT/2023/0050</t>
  </si>
  <si>
    <t>RENT/2023/0051</t>
  </si>
  <si>
    <t>RENT/2023/0052</t>
  </si>
  <si>
    <t>RENT/2023/0053</t>
  </si>
  <si>
    <t>RENT/2023/0054</t>
  </si>
  <si>
    <t>RENT/2023/0055</t>
  </si>
  <si>
    <t>RENT/2023/0056</t>
  </si>
  <si>
    <t>RENT/2023/0057</t>
  </si>
  <si>
    <t>RENT/2023/0058</t>
  </si>
  <si>
    <t>RENT/2023/0059</t>
  </si>
  <si>
    <t>RENT/2023/0060</t>
  </si>
  <si>
    <t>RENT/2023/0061</t>
  </si>
  <si>
    <t>RENT/2023/0062</t>
  </si>
  <si>
    <t>RENT/2023/0063</t>
  </si>
  <si>
    <t>RENT/2023/0064</t>
  </si>
  <si>
    <t>RENT/2023/0065</t>
  </si>
  <si>
    <t>RENT/2023/0066</t>
  </si>
  <si>
    <t>RENT/2023/0067</t>
  </si>
  <si>
    <t>RENT/2023/0068</t>
  </si>
  <si>
    <t>RENT/2023/0069</t>
  </si>
  <si>
    <t>RENT/2023/0070</t>
  </si>
  <si>
    <t>RENT/2023/0071</t>
  </si>
  <si>
    <t>RENT/2023/0072</t>
  </si>
  <si>
    <t>RENT/2023/0073</t>
  </si>
  <si>
    <t>RENT/2023/0074</t>
  </si>
  <si>
    <t>RENT/2023/0075</t>
  </si>
  <si>
    <t>RENT/2023/0076</t>
  </si>
  <si>
    <t>RENT/2023/0077</t>
  </si>
  <si>
    <t>RENT/2023/0078</t>
  </si>
  <si>
    <t>RENT/2023/0079</t>
  </si>
  <si>
    <t>RENT/2023/0080</t>
  </si>
  <si>
    <t>RENT/2023/0081</t>
  </si>
  <si>
    <t>RENT/2023/0082</t>
  </si>
  <si>
    <t>RENT/2023/0083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</si>
</sst>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842029"/>
      <name val="Segoe U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topLeftCell="A82" workbookViewId="0">
      <selection activeCell="A2" sqref="A2:A84"/>
    </sheetView>
  </sheetViews>
  <sheetFormatPr defaultRowHeight="15" x14ac:dyDescent="0.25"/>
  <cols>
    <col min="1" max="14" width="30.7109375" customWidth="1"/>
  </cols>
  <sheetData>
    <row r="1" spans="1:14" ht="16.5" x14ac:dyDescent="0.3">
      <c r="A1" s="1" t="s">
        <v>0</v>
      </c>
      <c r="B1" s="1" t="s">
        <v>309</v>
      </c>
      <c r="C1" s="1" t="s">
        <v>1</v>
      </c>
      <c r="D1" s="1" t="s">
        <v>284</v>
      </c>
      <c r="E1" s="1" t="s">
        <v>2</v>
      </c>
      <c r="F1" s="5" t="s">
        <v>14</v>
      </c>
      <c r="G1" s="1" t="s">
        <v>12</v>
      </c>
      <c r="H1" s="1" t="s">
        <v>3</v>
      </c>
      <c r="I1" s="1" t="s">
        <v>10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ht="18.75" x14ac:dyDescent="0.25">
      <c r="A2" s="2" t="s">
        <v>310</v>
      </c>
      <c r="B2" s="4" t="s">
        <v>13</v>
      </c>
      <c r="C2" s="8" t="str">
        <f>TRIM(B2)</f>
        <v>Mr Yan Yue Peng</v>
      </c>
      <c r="D2" s="4" t="s">
        <v>89</v>
      </c>
      <c r="E2" s="2" t="str">
        <f>VLOOKUP(D2, Sheet2!A:C, 3, FALSE)</f>
        <v>Toyota/Alphard/1I/4365</v>
      </c>
      <c r="F2" s="2">
        <v>0</v>
      </c>
      <c r="G2" s="2">
        <v>0</v>
      </c>
      <c r="H2" s="9">
        <v>1600000</v>
      </c>
      <c r="I2" s="2" t="s">
        <v>11</v>
      </c>
      <c r="J2" s="2"/>
      <c r="K2" s="2"/>
      <c r="L2" s="3">
        <v>45191</v>
      </c>
      <c r="M2" s="3" t="s">
        <v>233</v>
      </c>
      <c r="N2" s="2" t="s">
        <v>9</v>
      </c>
    </row>
    <row r="3" spans="1:14" ht="18.75" x14ac:dyDescent="0.25">
      <c r="A3" t="s">
        <v>311</v>
      </c>
      <c r="B3" s="6" t="s">
        <v>306</v>
      </c>
      <c r="C3" s="8" t="str">
        <f t="shared" ref="C3:C63" si="0">TRIM(B3)</f>
        <v>Mr Hu Lanxiong</v>
      </c>
      <c r="D3" s="6" t="s">
        <v>90</v>
      </c>
      <c r="E3" s="2" t="str">
        <f>VLOOKUP(D3, Sheet2!A:C, 3, FALSE)</f>
        <v xml:space="preserve">Nissan/AD/7P/6769 (MMO) </v>
      </c>
      <c r="F3" s="2">
        <v>0</v>
      </c>
      <c r="G3" s="2">
        <v>0</v>
      </c>
      <c r="H3" s="10">
        <v>800000</v>
      </c>
      <c r="I3" s="2" t="s">
        <v>11</v>
      </c>
      <c r="L3" t="s">
        <v>176</v>
      </c>
      <c r="M3" t="s">
        <v>234</v>
      </c>
      <c r="N3" s="2" t="s">
        <v>9</v>
      </c>
    </row>
    <row r="4" spans="1:14" ht="18.75" x14ac:dyDescent="0.25">
      <c r="A4" s="2" t="s">
        <v>312</v>
      </c>
      <c r="B4" s="4" t="s">
        <v>15</v>
      </c>
      <c r="C4" s="8" t="str">
        <f t="shared" si="0"/>
        <v>Ko Nay Min Han</v>
      </c>
      <c r="D4" s="4" t="s">
        <v>91</v>
      </c>
      <c r="E4" s="2" t="str">
        <f>VLOOKUP(D4, Sheet2!A:C, 3, FALSE)</f>
        <v>Nissan/AD/3H/5929</v>
      </c>
      <c r="F4" s="2">
        <v>0</v>
      </c>
      <c r="G4" s="2">
        <v>0</v>
      </c>
      <c r="H4" s="9">
        <v>700000</v>
      </c>
      <c r="I4" s="2" t="s">
        <v>11</v>
      </c>
      <c r="L4" t="s">
        <v>177</v>
      </c>
      <c r="M4" t="s">
        <v>235</v>
      </c>
      <c r="N4" s="2" t="s">
        <v>9</v>
      </c>
    </row>
    <row r="5" spans="1:14" ht="18.75" x14ac:dyDescent="0.25">
      <c r="A5" t="s">
        <v>313</v>
      </c>
      <c r="B5" s="6" t="s">
        <v>16</v>
      </c>
      <c r="C5" s="8" t="str">
        <f t="shared" si="0"/>
        <v>Mr Tong Kai Liang</v>
      </c>
      <c r="D5" s="6" t="s">
        <v>92</v>
      </c>
      <c r="E5" s="2" t="str">
        <f>VLOOKUP(D5, Sheet2!A:C, 3, FALSE)</f>
        <v xml:space="preserve">Nissan/AD/1I/4960 </v>
      </c>
      <c r="F5" s="2">
        <v>0</v>
      </c>
      <c r="G5" s="2">
        <v>0</v>
      </c>
      <c r="H5" s="10">
        <v>700000</v>
      </c>
      <c r="I5" s="2" t="s">
        <v>11</v>
      </c>
      <c r="L5" t="s">
        <v>178</v>
      </c>
      <c r="M5" t="s">
        <v>236</v>
      </c>
      <c r="N5" s="2" t="s">
        <v>9</v>
      </c>
    </row>
    <row r="6" spans="1:14" ht="18.75" x14ac:dyDescent="0.25">
      <c r="A6" s="2" t="s">
        <v>314</v>
      </c>
      <c r="B6" s="4" t="s">
        <v>307</v>
      </c>
      <c r="C6" s="8" t="str">
        <f t="shared" si="0"/>
        <v>U Win Naing</v>
      </c>
      <c r="D6" s="4" t="s">
        <v>93</v>
      </c>
      <c r="E6" s="2" t="str">
        <f>VLOOKUP(D6, Sheet2!A:C, 3, FALSE)</f>
        <v xml:space="preserve">Nissan/AD/2F/9171 </v>
      </c>
      <c r="F6" s="2">
        <v>0</v>
      </c>
      <c r="G6" s="2">
        <v>0</v>
      </c>
      <c r="H6" s="9">
        <v>500000</v>
      </c>
      <c r="I6" s="2" t="s">
        <v>11</v>
      </c>
      <c r="L6" t="s">
        <v>179</v>
      </c>
      <c r="M6" t="s">
        <v>237</v>
      </c>
      <c r="N6" s="2" t="s">
        <v>9</v>
      </c>
    </row>
    <row r="7" spans="1:14" ht="18.75" x14ac:dyDescent="0.25">
      <c r="A7" t="s">
        <v>315</v>
      </c>
      <c r="B7" s="6" t="s">
        <v>308</v>
      </c>
      <c r="C7" s="8" t="str">
        <f t="shared" si="0"/>
        <v>Mr Wang Chenghai</v>
      </c>
      <c r="D7" s="6" t="s">
        <v>94</v>
      </c>
      <c r="E7" s="2" t="str">
        <f>VLOOKUP(D7, Sheet2!A:C, 3, FALSE)</f>
        <v xml:space="preserve">Toyota/Belta/4H/8153 </v>
      </c>
      <c r="F7" s="2">
        <v>0</v>
      </c>
      <c r="G7" s="2">
        <v>0</v>
      </c>
      <c r="H7" s="10">
        <v>800000</v>
      </c>
      <c r="I7" s="2" t="s">
        <v>11</v>
      </c>
      <c r="L7" t="s">
        <v>180</v>
      </c>
      <c r="M7" t="s">
        <v>238</v>
      </c>
      <c r="N7" s="2" t="s">
        <v>9</v>
      </c>
    </row>
    <row r="8" spans="1:14" ht="18.75" x14ac:dyDescent="0.25">
      <c r="A8" s="2" t="s">
        <v>316</v>
      </c>
      <c r="B8" s="4" t="s">
        <v>17</v>
      </c>
      <c r="C8" s="8" t="str">
        <f t="shared" si="0"/>
        <v>Ko Soe Myint Oo</v>
      </c>
      <c r="D8" s="4" t="s">
        <v>95</v>
      </c>
      <c r="E8" s="2" t="str">
        <f>VLOOKUP(D8, Sheet2!A:C, 3, FALSE)</f>
        <v>Suzuki/Ciaz/2Q/1461 (MMO)</v>
      </c>
      <c r="F8" s="2">
        <v>0</v>
      </c>
      <c r="G8" s="2">
        <v>0</v>
      </c>
      <c r="H8" s="9">
        <v>1300000</v>
      </c>
      <c r="I8" s="2" t="s">
        <v>11</v>
      </c>
      <c r="L8" t="s">
        <v>181</v>
      </c>
      <c r="M8" t="s">
        <v>239</v>
      </c>
      <c r="N8" s="2" t="s">
        <v>9</v>
      </c>
    </row>
    <row r="9" spans="1:14" ht="18.75" x14ac:dyDescent="0.25">
      <c r="A9" t="s">
        <v>317</v>
      </c>
      <c r="B9" s="6" t="s">
        <v>18</v>
      </c>
      <c r="C9" s="8" t="str">
        <f t="shared" si="0"/>
        <v>Mr Kuo Yuan Yang</v>
      </c>
      <c r="D9" s="6" t="s">
        <v>96</v>
      </c>
      <c r="E9" s="2" t="str">
        <f>VLOOKUP(D9, Sheet2!A:C, 3, FALSE)</f>
        <v xml:space="preserve">Suzuki/Ciaz/2S/2927 </v>
      </c>
      <c r="F9" s="2">
        <v>0</v>
      </c>
      <c r="G9" s="2">
        <v>0</v>
      </c>
      <c r="H9" s="10">
        <v>1170000</v>
      </c>
      <c r="I9" s="2" t="s">
        <v>11</v>
      </c>
      <c r="L9" s="12">
        <v>45427</v>
      </c>
      <c r="M9" t="s">
        <v>240</v>
      </c>
      <c r="N9" s="2" t="s">
        <v>9</v>
      </c>
    </row>
    <row r="10" spans="1:14" ht="18.75" x14ac:dyDescent="0.25">
      <c r="A10" s="2" t="s">
        <v>318</v>
      </c>
      <c r="B10" s="4" t="s">
        <v>19</v>
      </c>
      <c r="C10" s="8" t="str">
        <f t="shared" si="0"/>
        <v>Mr Guo Ling</v>
      </c>
      <c r="D10" s="4" t="s">
        <v>97</v>
      </c>
      <c r="E10" s="2" t="str">
        <f>VLOOKUP(D10, Sheet2!A:C, 3, FALSE)</f>
        <v>Honda/Insight/5Q/8505 (MMO)</v>
      </c>
      <c r="F10" s="2">
        <v>0</v>
      </c>
      <c r="G10" s="2">
        <v>0</v>
      </c>
      <c r="H10" s="9">
        <v>800000</v>
      </c>
      <c r="I10" s="2" t="s">
        <v>11</v>
      </c>
      <c r="L10" t="s">
        <v>182</v>
      </c>
      <c r="M10" t="s">
        <v>218</v>
      </c>
      <c r="N10" s="2" t="s">
        <v>9</v>
      </c>
    </row>
    <row r="11" spans="1:14" ht="18.75" x14ac:dyDescent="0.25">
      <c r="A11" t="s">
        <v>319</v>
      </c>
      <c r="B11" s="6" t="s">
        <v>20</v>
      </c>
      <c r="C11" s="8" t="str">
        <f t="shared" si="0"/>
        <v>Mr Lu Jian Zhaung</v>
      </c>
      <c r="D11" s="6" t="s">
        <v>98</v>
      </c>
      <c r="E11" s="2" t="str">
        <f>VLOOKUP(D11, Sheet2!A:C, 3, FALSE)</f>
        <v>Honda/Insight/1N/6213 (MMO)</v>
      </c>
      <c r="F11" s="2">
        <v>0</v>
      </c>
      <c r="G11" s="2">
        <v>0</v>
      </c>
      <c r="H11" s="10">
        <v>800000</v>
      </c>
      <c r="I11" s="2" t="s">
        <v>11</v>
      </c>
      <c r="L11" t="s">
        <v>183</v>
      </c>
      <c r="M11" t="s">
        <v>235</v>
      </c>
      <c r="N11" s="2" t="s">
        <v>9</v>
      </c>
    </row>
    <row r="12" spans="1:14" ht="18.75" x14ac:dyDescent="0.25">
      <c r="A12" s="2" t="s">
        <v>320</v>
      </c>
      <c r="B12" s="6" t="s">
        <v>21</v>
      </c>
      <c r="C12" s="8" t="str">
        <f t="shared" si="0"/>
        <v>Mr Yu Liang Liang</v>
      </c>
      <c r="D12" s="6" t="s">
        <v>100</v>
      </c>
      <c r="E12" s="2" t="str">
        <f>VLOOKUP(D12, Sheet2!A:C, 3, FALSE)</f>
        <v xml:space="preserve">Honda/Insight/1M/9574 (MMO) </v>
      </c>
      <c r="F12" s="2">
        <v>0</v>
      </c>
      <c r="G12" s="2">
        <v>0</v>
      </c>
      <c r="H12" s="10">
        <v>800000</v>
      </c>
      <c r="I12" s="2" t="s">
        <v>11</v>
      </c>
      <c r="L12" t="s">
        <v>184</v>
      </c>
      <c r="M12" t="s">
        <v>241</v>
      </c>
      <c r="N12" s="2" t="s">
        <v>9</v>
      </c>
    </row>
    <row r="13" spans="1:14" ht="18.75" x14ac:dyDescent="0.25">
      <c r="A13" t="s">
        <v>321</v>
      </c>
      <c r="B13" s="4" t="s">
        <v>22</v>
      </c>
      <c r="C13" s="8" t="str">
        <f t="shared" si="0"/>
        <v>Mr Wang Ping</v>
      </c>
      <c r="D13" s="4" t="s">
        <v>101</v>
      </c>
      <c r="E13" s="2" t="str">
        <f>VLOOKUP(D13, Sheet2!A:C, 3, FALSE)</f>
        <v>Honda/Insight/4H/5781 (MMO)</v>
      </c>
      <c r="F13" s="2">
        <v>0</v>
      </c>
      <c r="G13" s="2">
        <v>0</v>
      </c>
      <c r="H13" s="9">
        <v>800000</v>
      </c>
      <c r="I13" s="2" t="s">
        <v>11</v>
      </c>
      <c r="L13" t="s">
        <v>185</v>
      </c>
      <c r="M13" t="s">
        <v>242</v>
      </c>
      <c r="N13" s="2" t="s">
        <v>9</v>
      </c>
    </row>
    <row r="14" spans="1:14" ht="18.75" x14ac:dyDescent="0.25">
      <c r="A14" s="2" t="s">
        <v>322</v>
      </c>
      <c r="B14" s="6" t="s">
        <v>23</v>
      </c>
      <c r="C14" s="8" t="str">
        <f t="shared" si="0"/>
        <v>Mr Xu Yizhi</v>
      </c>
      <c r="D14" s="6" t="s">
        <v>102</v>
      </c>
      <c r="E14" s="2" t="str">
        <f>VLOOKUP(D14, Sheet2!A:C, 3, FALSE)</f>
        <v>Honda/Insight/7K/6305 (MMO)</v>
      </c>
      <c r="F14" s="2">
        <v>0</v>
      </c>
      <c r="G14" s="2">
        <v>0</v>
      </c>
      <c r="H14" s="10">
        <v>800000</v>
      </c>
      <c r="I14" s="2" t="s">
        <v>11</v>
      </c>
      <c r="L14" t="s">
        <v>181</v>
      </c>
      <c r="M14" t="s">
        <v>243</v>
      </c>
      <c r="N14" s="2" t="s">
        <v>9</v>
      </c>
    </row>
    <row r="15" spans="1:14" ht="18.75" x14ac:dyDescent="0.25">
      <c r="A15" t="s">
        <v>323</v>
      </c>
      <c r="B15" s="4" t="s">
        <v>24</v>
      </c>
      <c r="C15" s="8" t="str">
        <f t="shared" si="0"/>
        <v>Mr Pu Yuan Lun</v>
      </c>
      <c r="D15" s="4" t="s">
        <v>103</v>
      </c>
      <c r="E15" s="2" t="str">
        <f>VLOOKUP(D15, Sheet2!A:C, 3, FALSE)</f>
        <v>Honda/Insight/9J/5030 (MMO)</v>
      </c>
      <c r="F15" s="2">
        <v>0</v>
      </c>
      <c r="G15" s="2">
        <v>0</v>
      </c>
      <c r="H15" s="9">
        <v>800000</v>
      </c>
      <c r="I15" s="2" t="s">
        <v>11</v>
      </c>
      <c r="L15" t="s">
        <v>186</v>
      </c>
      <c r="M15" t="s">
        <v>239</v>
      </c>
      <c r="N15" s="2" t="s">
        <v>9</v>
      </c>
    </row>
    <row r="16" spans="1:14" ht="18.75" x14ac:dyDescent="0.25">
      <c r="A16" s="2" t="s">
        <v>324</v>
      </c>
      <c r="B16" s="6" t="s">
        <v>25</v>
      </c>
      <c r="C16" s="8" t="str">
        <f t="shared" si="0"/>
        <v>Mr Lee /Mr Tang Yong Clun</v>
      </c>
      <c r="D16" s="6" t="s">
        <v>104</v>
      </c>
      <c r="E16" s="2" t="str">
        <f>VLOOKUP(D16, Sheet2!A:C, 3, FALSE)</f>
        <v>Honda/Insight/4K/1329</v>
      </c>
      <c r="F16" s="2">
        <v>0</v>
      </c>
      <c r="G16" s="2">
        <v>0</v>
      </c>
      <c r="H16" s="10">
        <v>800000</v>
      </c>
      <c r="I16" s="2" t="s">
        <v>11</v>
      </c>
      <c r="L16" t="s">
        <v>187</v>
      </c>
      <c r="M16" t="s">
        <v>244</v>
      </c>
      <c r="N16" s="2" t="s">
        <v>9</v>
      </c>
    </row>
    <row r="17" spans="1:14" ht="18.75" x14ac:dyDescent="0.25">
      <c r="A17" t="s">
        <v>325</v>
      </c>
      <c r="B17" s="7" t="s">
        <v>26</v>
      </c>
      <c r="C17" s="8" t="str">
        <f t="shared" si="0"/>
        <v>U Aung Kyaw</v>
      </c>
      <c r="D17" s="7" t="s">
        <v>105</v>
      </c>
      <c r="E17" s="2" t="str">
        <f>VLOOKUP(D17, Sheet2!A:C, 3, FALSE)</f>
        <v>Honda/Insight/3J/4642 (MMO)</v>
      </c>
      <c r="F17" s="2">
        <v>0</v>
      </c>
      <c r="G17" s="2">
        <v>0</v>
      </c>
      <c r="H17" s="11">
        <v>800000</v>
      </c>
      <c r="I17" s="2" t="s">
        <v>11</v>
      </c>
      <c r="L17" t="s">
        <v>188</v>
      </c>
      <c r="M17" t="s">
        <v>245</v>
      </c>
      <c r="N17" s="2" t="s">
        <v>9</v>
      </c>
    </row>
    <row r="18" spans="1:14" ht="18.75" x14ac:dyDescent="0.25">
      <c r="A18" s="2" t="s">
        <v>326</v>
      </c>
      <c r="B18" s="6" t="s">
        <v>27</v>
      </c>
      <c r="C18" s="8" t="str">
        <f t="shared" si="0"/>
        <v>Ko Aung Kyaw</v>
      </c>
      <c r="D18" s="6" t="s">
        <v>106</v>
      </c>
      <c r="E18" s="2" t="str">
        <f>VLOOKUP(D18, Sheet2!A:C, 3, FALSE)</f>
        <v xml:space="preserve">Honda/Insight/4L/9873 (MMO) </v>
      </c>
      <c r="F18" s="2">
        <v>0</v>
      </c>
      <c r="G18" s="2">
        <v>0</v>
      </c>
      <c r="H18" s="10">
        <v>300000</v>
      </c>
      <c r="I18" s="2" t="s">
        <v>11</v>
      </c>
      <c r="L18" s="12">
        <v>45139</v>
      </c>
      <c r="M18" t="s">
        <v>202</v>
      </c>
      <c r="N18" s="2" t="s">
        <v>9</v>
      </c>
    </row>
    <row r="19" spans="1:14" ht="18.75" x14ac:dyDescent="0.25">
      <c r="A19" t="s">
        <v>327</v>
      </c>
      <c r="B19" s="4" t="s">
        <v>28</v>
      </c>
      <c r="C19" s="8" t="str">
        <f t="shared" si="0"/>
        <v>Mr Xie Ming Jian</v>
      </c>
      <c r="D19" s="4" t="s">
        <v>107</v>
      </c>
      <c r="E19" s="2" t="str">
        <f>VLOOKUP(D19, Sheet2!A:C, 3, FALSE)</f>
        <v>Honda/Insight/9L/9176 (MMO)</v>
      </c>
      <c r="F19" s="2">
        <v>0</v>
      </c>
      <c r="G19" s="2">
        <v>0</v>
      </c>
      <c r="H19" s="9">
        <v>800000</v>
      </c>
      <c r="I19" s="2" t="s">
        <v>11</v>
      </c>
      <c r="L19" t="s">
        <v>186</v>
      </c>
      <c r="M19" t="s">
        <v>239</v>
      </c>
      <c r="N19" s="2" t="s">
        <v>9</v>
      </c>
    </row>
    <row r="20" spans="1:14" ht="18.75" x14ac:dyDescent="0.25">
      <c r="A20" s="2" t="s">
        <v>328</v>
      </c>
      <c r="B20" s="6" t="s">
        <v>29</v>
      </c>
      <c r="C20" s="8" t="str">
        <f t="shared" si="0"/>
        <v>Mr Deng Shi Hui</v>
      </c>
      <c r="D20" s="6" t="s">
        <v>108</v>
      </c>
      <c r="E20" s="2" t="str">
        <f>VLOOKUP(D20, Sheet2!A:C, 3, FALSE)</f>
        <v>Honda/Insight/5H/6646 (MMO)</v>
      </c>
      <c r="F20" s="2">
        <v>0</v>
      </c>
      <c r="G20" s="2">
        <v>0</v>
      </c>
      <c r="H20" s="10">
        <v>800000</v>
      </c>
      <c r="I20" s="2" t="s">
        <v>11</v>
      </c>
      <c r="L20" t="s">
        <v>190</v>
      </c>
      <c r="M20" t="s">
        <v>227</v>
      </c>
      <c r="N20" s="2" t="s">
        <v>9</v>
      </c>
    </row>
    <row r="21" spans="1:14" ht="18.75" x14ac:dyDescent="0.25">
      <c r="A21" t="s">
        <v>329</v>
      </c>
      <c r="B21" s="4" t="s">
        <v>30</v>
      </c>
      <c r="C21" s="8" t="str">
        <f t="shared" si="0"/>
        <v>U Hla Myint</v>
      </c>
      <c r="D21" s="4" t="s">
        <v>109</v>
      </c>
      <c r="E21" s="2" t="str">
        <f>VLOOKUP(D21, Sheet2!A:C, 3, FALSE)</f>
        <v>Honda/Insight/9H/5551 (MMO)</v>
      </c>
      <c r="F21" s="2">
        <v>0</v>
      </c>
      <c r="G21" s="2">
        <v>0</v>
      </c>
      <c r="H21" s="9">
        <v>800000</v>
      </c>
      <c r="I21" s="2" t="s">
        <v>11</v>
      </c>
      <c r="L21" t="s">
        <v>191</v>
      </c>
      <c r="M21" t="s">
        <v>246</v>
      </c>
      <c r="N21" s="2" t="s">
        <v>9</v>
      </c>
    </row>
    <row r="22" spans="1:14" ht="18.75" x14ac:dyDescent="0.25">
      <c r="A22" s="2" t="s">
        <v>330</v>
      </c>
      <c r="B22" s="6" t="s">
        <v>31</v>
      </c>
      <c r="C22" s="8" t="str">
        <f t="shared" si="0"/>
        <v>Ko Hla Aung Mmo fri</v>
      </c>
      <c r="D22" s="6" t="s">
        <v>110</v>
      </c>
      <c r="E22" s="2" t="str">
        <f>VLOOKUP(D22, Sheet2!A:C, 3, FALSE)</f>
        <v>Honda/Insight/1L/1050 (MMO)</v>
      </c>
      <c r="F22" s="2">
        <v>0</v>
      </c>
      <c r="G22" s="2">
        <v>0</v>
      </c>
      <c r="H22" s="10">
        <v>800000</v>
      </c>
      <c r="I22" s="2" t="s">
        <v>11</v>
      </c>
      <c r="L22" s="12">
        <v>45171</v>
      </c>
      <c r="M22" t="s">
        <v>186</v>
      </c>
      <c r="N22" s="2" t="s">
        <v>9</v>
      </c>
    </row>
    <row r="23" spans="1:14" ht="18.75" x14ac:dyDescent="0.25">
      <c r="A23" t="s">
        <v>331</v>
      </c>
      <c r="B23" s="4" t="s">
        <v>32</v>
      </c>
      <c r="C23" s="8" t="str">
        <f t="shared" si="0"/>
        <v>Mr Zhe Jiang</v>
      </c>
      <c r="D23" s="4" t="s">
        <v>111</v>
      </c>
      <c r="E23" s="2" t="str">
        <f>VLOOKUP(D23, Sheet2!A:C, 3, FALSE)</f>
        <v>Honda/Insight/5N/5306 (MMO)</v>
      </c>
      <c r="F23" s="2">
        <v>0</v>
      </c>
      <c r="G23" s="2">
        <v>0</v>
      </c>
      <c r="H23" s="9">
        <v>800000</v>
      </c>
      <c r="I23" s="2" t="s">
        <v>11</v>
      </c>
      <c r="L23" s="12">
        <v>45240</v>
      </c>
      <c r="M23" t="s">
        <v>247</v>
      </c>
      <c r="N23" s="2" t="s">
        <v>9</v>
      </c>
    </row>
    <row r="24" spans="1:14" ht="18.75" x14ac:dyDescent="0.25">
      <c r="A24" s="2" t="s">
        <v>332</v>
      </c>
      <c r="B24" s="6" t="s">
        <v>33</v>
      </c>
      <c r="C24" s="8" t="str">
        <f t="shared" si="0"/>
        <v>Mr Yu Xiang Zhong</v>
      </c>
      <c r="D24" s="6" t="s">
        <v>112</v>
      </c>
      <c r="E24" s="2" t="str">
        <f>VLOOKUP(D24, Sheet2!A:C, 3, FALSE)</f>
        <v>Honda/Insight/9J/7302 (MMO)</v>
      </c>
      <c r="F24" s="2">
        <v>0</v>
      </c>
      <c r="G24" s="2">
        <v>0</v>
      </c>
      <c r="H24" s="10">
        <v>800000</v>
      </c>
      <c r="I24" s="2" t="s">
        <v>11</v>
      </c>
      <c r="L24" t="s">
        <v>193</v>
      </c>
      <c r="M24" t="s">
        <v>248</v>
      </c>
      <c r="N24" s="2" t="s">
        <v>9</v>
      </c>
    </row>
    <row r="25" spans="1:14" ht="18.75" x14ac:dyDescent="0.25">
      <c r="A25" t="s">
        <v>333</v>
      </c>
      <c r="B25" s="4" t="s">
        <v>23</v>
      </c>
      <c r="C25" s="8" t="str">
        <f t="shared" si="0"/>
        <v>Mr Xu Yizhi</v>
      </c>
      <c r="D25" s="4" t="s">
        <v>113</v>
      </c>
      <c r="E25" s="2" t="str">
        <f>VLOOKUP(D25, Sheet2!A:C, 3, FALSE)</f>
        <v>Honda/Insight/5L/4960 (MMO)</v>
      </c>
      <c r="F25" s="2">
        <v>0</v>
      </c>
      <c r="G25" s="2">
        <v>0</v>
      </c>
      <c r="H25" s="9">
        <v>800000</v>
      </c>
      <c r="I25" s="2" t="s">
        <v>11</v>
      </c>
      <c r="L25" t="s">
        <v>194</v>
      </c>
      <c r="M25" t="s">
        <v>249</v>
      </c>
      <c r="N25" s="2" t="s">
        <v>9</v>
      </c>
    </row>
    <row r="26" spans="1:14" ht="18.75" x14ac:dyDescent="0.25">
      <c r="A26" s="2" t="s">
        <v>334</v>
      </c>
      <c r="B26" s="6" t="s">
        <v>34</v>
      </c>
      <c r="C26" s="8" t="str">
        <f t="shared" si="0"/>
        <v>Mr XUAN YULONG</v>
      </c>
      <c r="D26" s="6" t="s">
        <v>114</v>
      </c>
      <c r="E26" s="2" t="str">
        <f>VLOOKUP(D26, Sheet2!A:C, 3, FALSE)</f>
        <v xml:space="preserve">Honda/Insight/6L/8556 (MMO) </v>
      </c>
      <c r="F26" s="2">
        <v>0</v>
      </c>
      <c r="G26" s="2">
        <v>0</v>
      </c>
      <c r="H26" s="10">
        <v>800000</v>
      </c>
      <c r="I26" s="2" t="s">
        <v>11</v>
      </c>
      <c r="L26" t="s">
        <v>181</v>
      </c>
      <c r="M26" t="s">
        <v>243</v>
      </c>
      <c r="N26" s="2" t="s">
        <v>9</v>
      </c>
    </row>
    <row r="27" spans="1:14" ht="18.75" x14ac:dyDescent="0.25">
      <c r="A27" t="s">
        <v>335</v>
      </c>
      <c r="B27" s="4" t="s">
        <v>35</v>
      </c>
      <c r="C27" s="8" t="str">
        <f t="shared" si="0"/>
        <v>Ko Kyaw Kyaw</v>
      </c>
      <c r="D27" s="4" t="s">
        <v>115</v>
      </c>
      <c r="E27" s="2" t="str">
        <f>VLOOKUP(D27, Sheet2!A:C, 3, FALSE)</f>
        <v>Honda/Insight/4K/7943 (MMO)</v>
      </c>
      <c r="F27" s="2">
        <v>0</v>
      </c>
      <c r="G27" s="2">
        <v>0</v>
      </c>
      <c r="H27" s="9">
        <v>700000</v>
      </c>
      <c r="I27" s="2" t="s">
        <v>11</v>
      </c>
      <c r="L27" t="s">
        <v>195</v>
      </c>
      <c r="M27" t="s">
        <v>194</v>
      </c>
      <c r="N27" s="2" t="s">
        <v>9</v>
      </c>
    </row>
    <row r="28" spans="1:14" ht="18.75" x14ac:dyDescent="0.25">
      <c r="A28" s="2" t="s">
        <v>336</v>
      </c>
      <c r="B28" s="6" t="s">
        <v>36</v>
      </c>
      <c r="C28" s="8" t="str">
        <f t="shared" si="0"/>
        <v>Mr Liu Zhaoyun</v>
      </c>
      <c r="D28" s="6" t="s">
        <v>116</v>
      </c>
      <c r="E28" s="2" t="str">
        <f>VLOOKUP(D28, Sheet2!A:C, 3, FALSE)</f>
        <v>Honda/Insight/1K/7482 (MMO)</v>
      </c>
      <c r="F28" s="2">
        <v>0</v>
      </c>
      <c r="G28" s="2">
        <v>0</v>
      </c>
      <c r="H28" s="10">
        <v>800000</v>
      </c>
      <c r="I28" s="2" t="s">
        <v>11</v>
      </c>
      <c r="L28" t="s">
        <v>196</v>
      </c>
      <c r="M28" t="s">
        <v>189</v>
      </c>
      <c r="N28" s="2" t="s">
        <v>9</v>
      </c>
    </row>
    <row r="29" spans="1:14" ht="18.75" x14ac:dyDescent="0.25">
      <c r="A29" t="s">
        <v>337</v>
      </c>
      <c r="B29" s="4" t="s">
        <v>37</v>
      </c>
      <c r="C29" s="8" t="str">
        <f t="shared" si="0"/>
        <v>Ko Kyaw Nyi Nyi Lwin</v>
      </c>
      <c r="D29" s="4" t="s">
        <v>117</v>
      </c>
      <c r="E29" s="2" t="str">
        <f>VLOOKUP(D29, Sheet2!A:C, 3, FALSE)</f>
        <v xml:space="preserve">Honda/Insight/5L/1648 (MMO) </v>
      </c>
      <c r="F29" s="2">
        <v>0</v>
      </c>
      <c r="G29" s="2">
        <v>0</v>
      </c>
      <c r="H29" s="9">
        <v>800000</v>
      </c>
      <c r="I29" s="2" t="s">
        <v>11</v>
      </c>
      <c r="L29" t="s">
        <v>182</v>
      </c>
      <c r="M29" t="s">
        <v>218</v>
      </c>
      <c r="N29" s="2" t="s">
        <v>9</v>
      </c>
    </row>
    <row r="30" spans="1:14" ht="18.75" x14ac:dyDescent="0.25">
      <c r="A30" s="2" t="s">
        <v>338</v>
      </c>
      <c r="B30" s="6" t="s">
        <v>38</v>
      </c>
      <c r="C30" s="8" t="str">
        <f t="shared" si="0"/>
        <v>Mr Xiao Lusheng</v>
      </c>
      <c r="D30" s="6" t="s">
        <v>118</v>
      </c>
      <c r="E30" s="2" t="str">
        <f>VLOOKUP(D30, Sheet2!A:C, 3, FALSE)</f>
        <v xml:space="preserve">Honda/Insight/7C/8788 </v>
      </c>
      <c r="F30" s="2">
        <v>0</v>
      </c>
      <c r="G30" s="2">
        <v>0</v>
      </c>
      <c r="H30" s="10">
        <v>720000</v>
      </c>
      <c r="I30" s="2" t="s">
        <v>11</v>
      </c>
      <c r="L30" t="s">
        <v>183</v>
      </c>
      <c r="M30" t="s">
        <v>250</v>
      </c>
      <c r="N30" s="2" t="s">
        <v>9</v>
      </c>
    </row>
    <row r="31" spans="1:14" ht="18.75" x14ac:dyDescent="0.25">
      <c r="A31" t="s">
        <v>339</v>
      </c>
      <c r="B31" s="4" t="s">
        <v>39</v>
      </c>
      <c r="C31" s="8" t="str">
        <f t="shared" si="0"/>
        <v>Mr Deng Li</v>
      </c>
      <c r="D31" s="4" t="s">
        <v>119</v>
      </c>
      <c r="E31" s="2" t="str">
        <f>VLOOKUP(D31, Sheet2!A:C, 3, FALSE)</f>
        <v>Honda/Insight/7H/8222</v>
      </c>
      <c r="F31" s="2">
        <v>0</v>
      </c>
      <c r="G31" s="2">
        <v>0</v>
      </c>
      <c r="H31" s="9">
        <v>800000</v>
      </c>
      <c r="I31" s="2" t="s">
        <v>11</v>
      </c>
      <c r="L31" t="s">
        <v>197</v>
      </c>
      <c r="M31" t="s">
        <v>251</v>
      </c>
      <c r="N31" s="2" t="s">
        <v>9</v>
      </c>
    </row>
    <row r="32" spans="1:14" ht="18.75" x14ac:dyDescent="0.25">
      <c r="A32" s="2" t="s">
        <v>340</v>
      </c>
      <c r="B32" s="6" t="s">
        <v>40</v>
      </c>
      <c r="C32" s="8" t="str">
        <f t="shared" si="0"/>
        <v>Mr Mo Enging/Zvan Yip</v>
      </c>
      <c r="D32" s="6" t="s">
        <v>120</v>
      </c>
      <c r="E32" s="2" t="str">
        <f>VLOOKUP(D32, Sheet2!A:C, 3, FALSE)</f>
        <v>Honda/Insight/9J/5405</v>
      </c>
      <c r="F32" s="2">
        <v>0</v>
      </c>
      <c r="G32" s="2">
        <v>0</v>
      </c>
      <c r="H32" s="10">
        <v>800000</v>
      </c>
      <c r="I32" s="2" t="s">
        <v>11</v>
      </c>
      <c r="L32" t="s">
        <v>198</v>
      </c>
      <c r="M32" t="s">
        <v>235</v>
      </c>
      <c r="N32" s="2" t="s">
        <v>9</v>
      </c>
    </row>
    <row r="33" spans="1:14" ht="18.75" x14ac:dyDescent="0.25">
      <c r="A33" t="s">
        <v>341</v>
      </c>
      <c r="B33" s="4" t="s">
        <v>41</v>
      </c>
      <c r="C33" s="8" t="str">
        <f t="shared" si="0"/>
        <v>Mr Bai Luokun</v>
      </c>
      <c r="D33" s="4" t="s">
        <v>121</v>
      </c>
      <c r="E33" s="2" t="str">
        <f>VLOOKUP(D33, Sheet2!A:C, 3, FALSE)</f>
        <v>Honda/Insight/2J/3021</v>
      </c>
      <c r="F33" s="2">
        <v>0</v>
      </c>
      <c r="G33" s="2">
        <v>0</v>
      </c>
      <c r="H33" s="9">
        <v>800000</v>
      </c>
      <c r="I33" s="2" t="s">
        <v>11</v>
      </c>
      <c r="L33" t="s">
        <v>199</v>
      </c>
      <c r="M33" t="s">
        <v>252</v>
      </c>
      <c r="N33" s="2" t="s">
        <v>9</v>
      </c>
    </row>
    <row r="34" spans="1:14" ht="18.75" x14ac:dyDescent="0.25">
      <c r="A34" s="2" t="s">
        <v>342</v>
      </c>
      <c r="B34" s="6" t="s">
        <v>42</v>
      </c>
      <c r="C34" s="8" t="str">
        <f t="shared" si="0"/>
        <v>Mr Zeng Jin</v>
      </c>
      <c r="D34" s="6" t="s">
        <v>122</v>
      </c>
      <c r="E34" s="2" t="str">
        <f>VLOOKUP(D34, Sheet2!A:C, 3, FALSE)</f>
        <v>Honda/Insight/7K/5798</v>
      </c>
      <c r="F34" s="2">
        <v>0</v>
      </c>
      <c r="G34" s="2">
        <v>0</v>
      </c>
      <c r="H34" s="10">
        <v>800000</v>
      </c>
      <c r="I34" s="2" t="s">
        <v>11</v>
      </c>
      <c r="L34" t="s">
        <v>200</v>
      </c>
      <c r="M34" t="s">
        <v>253</v>
      </c>
      <c r="N34" s="2" t="s">
        <v>9</v>
      </c>
    </row>
    <row r="35" spans="1:14" ht="18.75" x14ac:dyDescent="0.25">
      <c r="A35" t="s">
        <v>343</v>
      </c>
      <c r="B35" s="4" t="s">
        <v>43</v>
      </c>
      <c r="C35" s="8" t="str">
        <f t="shared" si="0"/>
        <v>Mr Kway Chi</v>
      </c>
      <c r="D35" s="4" t="s">
        <v>123</v>
      </c>
      <c r="E35" s="2" t="str">
        <f>VLOOKUP(D35, Sheet2!A:C, 3, FALSE)</f>
        <v>Honda/Insight/7J/5038</v>
      </c>
      <c r="F35" s="2">
        <v>0</v>
      </c>
      <c r="G35" s="2">
        <v>0</v>
      </c>
      <c r="H35" s="9">
        <v>800000</v>
      </c>
      <c r="I35" s="2" t="s">
        <v>11</v>
      </c>
      <c r="L35" t="s">
        <v>201</v>
      </c>
      <c r="M35" t="s">
        <v>254</v>
      </c>
      <c r="N35" s="2" t="s">
        <v>9</v>
      </c>
    </row>
    <row r="36" spans="1:14" ht="18.75" x14ac:dyDescent="0.25">
      <c r="A36" s="2" t="s">
        <v>344</v>
      </c>
      <c r="B36" s="6" t="s">
        <v>44</v>
      </c>
      <c r="C36" s="8" t="str">
        <f t="shared" si="0"/>
        <v>Yang Jiu Ping</v>
      </c>
      <c r="D36" s="6" t="s">
        <v>124</v>
      </c>
      <c r="E36" s="2" t="str">
        <f>VLOOKUP(D36, Sheet2!A:C, 3, FALSE)</f>
        <v>Honda/Insight/9H/6009</v>
      </c>
      <c r="F36" s="2">
        <v>0</v>
      </c>
      <c r="G36" s="2">
        <v>0</v>
      </c>
      <c r="H36" s="10">
        <v>800000</v>
      </c>
      <c r="I36" s="2" t="s">
        <v>11</v>
      </c>
      <c r="L36" t="s">
        <v>202</v>
      </c>
      <c r="M36" t="s">
        <v>255</v>
      </c>
      <c r="N36" s="2" t="s">
        <v>9</v>
      </c>
    </row>
    <row r="37" spans="1:14" ht="18.75" x14ac:dyDescent="0.25">
      <c r="A37" t="s">
        <v>345</v>
      </c>
      <c r="B37" s="4" t="s">
        <v>45</v>
      </c>
      <c r="C37" s="8" t="str">
        <f t="shared" si="0"/>
        <v>Mr Xue Hua Bei</v>
      </c>
      <c r="D37" s="4" t="s">
        <v>125</v>
      </c>
      <c r="E37" s="2" t="str">
        <f>VLOOKUP(D37, Sheet2!A:C, 3, FALSE)</f>
        <v xml:space="preserve">Honda/Insight/4D/4361 </v>
      </c>
      <c r="F37" s="2">
        <v>0</v>
      </c>
      <c r="G37" s="2">
        <v>0</v>
      </c>
      <c r="H37" s="9">
        <v>800000</v>
      </c>
      <c r="I37" s="2" t="s">
        <v>11</v>
      </c>
      <c r="L37" t="s">
        <v>203</v>
      </c>
      <c r="M37" t="s">
        <v>256</v>
      </c>
      <c r="N37" s="2" t="s">
        <v>9</v>
      </c>
    </row>
    <row r="38" spans="1:14" ht="18.75" x14ac:dyDescent="0.25">
      <c r="A38" s="2" t="s">
        <v>346</v>
      </c>
      <c r="B38" s="6" t="s">
        <v>46</v>
      </c>
      <c r="C38" s="8" t="str">
        <f t="shared" si="0"/>
        <v>Mr Xu Fen</v>
      </c>
      <c r="D38" s="6" t="s">
        <v>126</v>
      </c>
      <c r="E38" s="2" t="str">
        <f>VLOOKUP(D38, Sheet2!A:C, 3, FALSE)</f>
        <v xml:space="preserve">Honda/Insight/2E/7802 </v>
      </c>
      <c r="F38" s="2">
        <v>0</v>
      </c>
      <c r="G38" s="2">
        <v>0</v>
      </c>
      <c r="H38" s="10">
        <v>800000</v>
      </c>
      <c r="I38" s="2" t="s">
        <v>11</v>
      </c>
      <c r="L38" t="s">
        <v>204</v>
      </c>
      <c r="M38" t="s">
        <v>257</v>
      </c>
      <c r="N38" s="2" t="s">
        <v>9</v>
      </c>
    </row>
    <row r="39" spans="1:14" ht="18.75" x14ac:dyDescent="0.25">
      <c r="A39" t="s">
        <v>347</v>
      </c>
      <c r="B39" s="4" t="s">
        <v>47</v>
      </c>
      <c r="C39" s="8" t="str">
        <f t="shared" si="0"/>
        <v>Mr Hu Fengbo</v>
      </c>
      <c r="D39" s="4" t="s">
        <v>127</v>
      </c>
      <c r="E39" s="2" t="str">
        <f>VLOOKUP(D39, Sheet2!A:C, 3, FALSE)</f>
        <v>Honda/Insight/5D/3266</v>
      </c>
      <c r="F39" s="2">
        <v>0</v>
      </c>
      <c r="G39" s="2">
        <v>0</v>
      </c>
      <c r="H39" s="9">
        <v>800000</v>
      </c>
      <c r="I39" s="2" t="s">
        <v>11</v>
      </c>
      <c r="L39" t="s">
        <v>205</v>
      </c>
      <c r="M39" t="s">
        <v>236</v>
      </c>
      <c r="N39" s="2" t="s">
        <v>9</v>
      </c>
    </row>
    <row r="40" spans="1:14" ht="18.75" x14ac:dyDescent="0.25">
      <c r="A40" s="2" t="s">
        <v>348</v>
      </c>
      <c r="B40" s="6" t="s">
        <v>48</v>
      </c>
      <c r="C40" s="8" t="str">
        <f t="shared" si="0"/>
        <v>U Zaw Lin Aung</v>
      </c>
      <c r="D40" s="6" t="s">
        <v>128</v>
      </c>
      <c r="E40" s="2" t="str">
        <f>VLOOKUP(D40, Sheet2!A:C, 3, FALSE)</f>
        <v>Honda/Insight/1L/2491</v>
      </c>
      <c r="F40" s="2">
        <v>0</v>
      </c>
      <c r="G40" s="2">
        <v>0</v>
      </c>
      <c r="H40" s="10">
        <v>800000</v>
      </c>
      <c r="I40" s="2" t="s">
        <v>11</v>
      </c>
      <c r="L40" s="12">
        <v>45281</v>
      </c>
      <c r="M40" t="s">
        <v>258</v>
      </c>
      <c r="N40" s="2" t="s">
        <v>9</v>
      </c>
    </row>
    <row r="41" spans="1:14" ht="18.75" x14ac:dyDescent="0.25">
      <c r="A41" t="s">
        <v>349</v>
      </c>
      <c r="B41" s="4" t="s">
        <v>49</v>
      </c>
      <c r="C41" s="8" t="str">
        <f t="shared" si="0"/>
        <v>Mr Chen Dexiong</v>
      </c>
      <c r="D41" s="4" t="s">
        <v>129</v>
      </c>
      <c r="E41" s="2" t="str">
        <f>VLOOKUP(D41, Sheet2!A:C, 3, FALSE)</f>
        <v xml:space="preserve">Honda/Insight/1K/7025 </v>
      </c>
      <c r="F41" s="2">
        <v>0</v>
      </c>
      <c r="G41" s="2">
        <v>0</v>
      </c>
      <c r="H41" s="9">
        <v>800000</v>
      </c>
      <c r="I41" s="2" t="s">
        <v>11</v>
      </c>
      <c r="L41" s="12">
        <v>45158</v>
      </c>
      <c r="M41" t="s">
        <v>259</v>
      </c>
      <c r="N41" s="2" t="s">
        <v>9</v>
      </c>
    </row>
    <row r="42" spans="1:14" ht="18.75" x14ac:dyDescent="0.25">
      <c r="A42" s="2" t="s">
        <v>350</v>
      </c>
      <c r="B42" s="6" t="s">
        <v>50</v>
      </c>
      <c r="C42" s="8" t="str">
        <f t="shared" si="0"/>
        <v>Mr Liu Yi Chung</v>
      </c>
      <c r="D42" s="6" t="s">
        <v>130</v>
      </c>
      <c r="E42" s="2" t="str">
        <f>VLOOKUP(D42, Sheet2!A:C, 3, FALSE)</f>
        <v>Honda/Insight/5K/8905</v>
      </c>
      <c r="F42" s="2">
        <v>0</v>
      </c>
      <c r="G42" s="2">
        <v>0</v>
      </c>
      <c r="H42" s="10">
        <v>800000</v>
      </c>
      <c r="I42" s="2" t="s">
        <v>11</v>
      </c>
      <c r="L42" t="s">
        <v>206</v>
      </c>
      <c r="M42" t="s">
        <v>201</v>
      </c>
      <c r="N42" s="2" t="s">
        <v>9</v>
      </c>
    </row>
    <row r="43" spans="1:14" ht="18.75" x14ac:dyDescent="0.25">
      <c r="A43" t="s">
        <v>351</v>
      </c>
      <c r="B43" s="4" t="s">
        <v>51</v>
      </c>
      <c r="C43" s="8" t="str">
        <f t="shared" si="0"/>
        <v>Mr Jin Zheng Chun/SJ Co., Ltd</v>
      </c>
      <c r="D43" s="4" t="s">
        <v>131</v>
      </c>
      <c r="E43" s="2" t="str">
        <f>VLOOKUP(D43, Sheet2!A:C, 3, FALSE)</f>
        <v xml:space="preserve">Honda/Insight/3M/3477 </v>
      </c>
      <c r="F43" s="2">
        <v>0</v>
      </c>
      <c r="G43" s="2">
        <v>0</v>
      </c>
      <c r="H43" s="9">
        <v>800000</v>
      </c>
      <c r="I43" s="2" t="s">
        <v>11</v>
      </c>
      <c r="L43" t="s">
        <v>201</v>
      </c>
      <c r="M43" t="s">
        <v>254</v>
      </c>
      <c r="N43" s="2" t="s">
        <v>9</v>
      </c>
    </row>
    <row r="44" spans="1:14" ht="18.75" x14ac:dyDescent="0.25">
      <c r="A44" s="2" t="s">
        <v>352</v>
      </c>
      <c r="B44" s="6" t="s">
        <v>52</v>
      </c>
      <c r="C44" s="8" t="str">
        <f t="shared" si="0"/>
        <v>STEK-MDY Office</v>
      </c>
      <c r="D44" s="6" t="s">
        <v>132</v>
      </c>
      <c r="E44" s="2" t="str">
        <f>VLOOKUP(D44, Sheet2!A:C, 3, FALSE)</f>
        <v>Honda/Insight/3D/6534</v>
      </c>
      <c r="F44" s="2">
        <v>0</v>
      </c>
      <c r="G44" s="2">
        <v>0</v>
      </c>
      <c r="H44" s="10">
        <v>800000</v>
      </c>
      <c r="I44" s="2" t="s">
        <v>11</v>
      </c>
      <c r="L44" t="s">
        <v>207</v>
      </c>
      <c r="M44" t="s">
        <v>239</v>
      </c>
      <c r="N44" s="2" t="s">
        <v>9</v>
      </c>
    </row>
    <row r="45" spans="1:14" ht="18.75" x14ac:dyDescent="0.25">
      <c r="A45" t="s">
        <v>353</v>
      </c>
      <c r="B45" s="4" t="s">
        <v>53</v>
      </c>
      <c r="C45" s="8" t="str">
        <f t="shared" si="0"/>
        <v>Mr Zhu Qing Lei</v>
      </c>
      <c r="D45" s="4" t="s">
        <v>133</v>
      </c>
      <c r="E45" s="2" t="str">
        <f>VLOOKUP(D45, Sheet2!A:C, 3, FALSE)</f>
        <v xml:space="preserve">Honda/Insight/1I/6866 </v>
      </c>
      <c r="F45" s="2">
        <v>0</v>
      </c>
      <c r="G45" s="2">
        <v>0</v>
      </c>
      <c r="H45" s="9">
        <v>800000</v>
      </c>
      <c r="I45" s="2" t="s">
        <v>11</v>
      </c>
      <c r="L45" t="s">
        <v>194</v>
      </c>
      <c r="M45" t="s">
        <v>260</v>
      </c>
      <c r="N45" s="2" t="s">
        <v>9</v>
      </c>
    </row>
    <row r="46" spans="1:14" ht="18.75" x14ac:dyDescent="0.25">
      <c r="A46" s="2" t="s">
        <v>354</v>
      </c>
      <c r="B46" s="6" t="s">
        <v>54</v>
      </c>
      <c r="C46" s="8" t="str">
        <f t="shared" si="0"/>
        <v>Mr Xiong Zhong Xiang</v>
      </c>
      <c r="D46" s="6" t="s">
        <v>134</v>
      </c>
      <c r="E46" s="2" t="str">
        <f>VLOOKUP(D46, Sheet2!A:C, 3, FALSE)</f>
        <v>Honda/Insight/3L/6640</v>
      </c>
      <c r="F46" s="2">
        <v>0</v>
      </c>
      <c r="G46" s="2">
        <v>0</v>
      </c>
      <c r="H46" s="10">
        <v>800000</v>
      </c>
      <c r="I46" s="2" t="s">
        <v>11</v>
      </c>
      <c r="L46" t="s">
        <v>208</v>
      </c>
      <c r="M46" t="s">
        <v>261</v>
      </c>
      <c r="N46" s="2" t="s">
        <v>9</v>
      </c>
    </row>
    <row r="47" spans="1:14" ht="18.75" x14ac:dyDescent="0.25">
      <c r="A47" t="s">
        <v>355</v>
      </c>
      <c r="B47" s="4" t="s">
        <v>55</v>
      </c>
      <c r="C47" s="8" t="str">
        <f t="shared" si="0"/>
        <v>Mr Dai Ajian</v>
      </c>
      <c r="D47" s="4" t="s">
        <v>135</v>
      </c>
      <c r="E47" s="2" t="str">
        <f>VLOOKUP(D47, Sheet2!A:C, 3, FALSE)</f>
        <v>Honda/Insight/2M/1710</v>
      </c>
      <c r="F47" s="2">
        <v>0</v>
      </c>
      <c r="G47" s="2">
        <v>0</v>
      </c>
      <c r="H47" s="9">
        <v>800000</v>
      </c>
      <c r="I47" s="2" t="s">
        <v>11</v>
      </c>
      <c r="L47" t="s">
        <v>209</v>
      </c>
      <c r="M47" t="s">
        <v>262</v>
      </c>
      <c r="N47" s="2" t="s">
        <v>9</v>
      </c>
    </row>
    <row r="48" spans="1:14" ht="18.75" x14ac:dyDescent="0.25">
      <c r="A48" s="2" t="s">
        <v>356</v>
      </c>
      <c r="B48" s="6" t="s">
        <v>56</v>
      </c>
      <c r="C48" s="8" t="str">
        <f t="shared" si="0"/>
        <v>Mr Yan Xuzhong</v>
      </c>
      <c r="D48" s="6" t="s">
        <v>136</v>
      </c>
      <c r="E48" s="2" t="str">
        <f>VLOOKUP(D48, Sheet2!A:C, 3, FALSE)</f>
        <v>Honda/Insight/4K/7478</v>
      </c>
      <c r="F48" s="2">
        <v>0</v>
      </c>
      <c r="G48" s="2">
        <v>0</v>
      </c>
      <c r="H48" s="10">
        <v>800000</v>
      </c>
      <c r="I48" s="2" t="s">
        <v>11</v>
      </c>
      <c r="L48" s="12">
        <v>45253</v>
      </c>
      <c r="M48" t="s">
        <v>263</v>
      </c>
      <c r="N48" s="2" t="s">
        <v>9</v>
      </c>
    </row>
    <row r="49" spans="1:14" ht="18.75" x14ac:dyDescent="0.25">
      <c r="A49" t="s">
        <v>357</v>
      </c>
      <c r="B49" s="4" t="s">
        <v>57</v>
      </c>
      <c r="C49" s="8" t="str">
        <f t="shared" si="0"/>
        <v>Mr Xu Liangihang</v>
      </c>
      <c r="D49" s="4" t="s">
        <v>137</v>
      </c>
      <c r="E49" s="2" t="str">
        <f>VLOOKUP(D49, Sheet2!A:C, 3, FALSE)</f>
        <v>Honda/Insight/7H/1783</v>
      </c>
      <c r="F49" s="2">
        <v>0</v>
      </c>
      <c r="G49" s="2">
        <v>0</v>
      </c>
      <c r="H49" s="9">
        <v>800000</v>
      </c>
      <c r="I49" s="2" t="s">
        <v>11</v>
      </c>
      <c r="L49" t="s">
        <v>210</v>
      </c>
      <c r="M49" t="s">
        <v>264</v>
      </c>
      <c r="N49" s="2" t="s">
        <v>9</v>
      </c>
    </row>
    <row r="50" spans="1:14" ht="18.75" x14ac:dyDescent="0.25">
      <c r="A50" s="2" t="s">
        <v>358</v>
      </c>
      <c r="B50" s="6" t="s">
        <v>58</v>
      </c>
      <c r="C50" s="8" t="str">
        <f t="shared" si="0"/>
        <v>Mr Hu Xiaobin</v>
      </c>
      <c r="D50" s="6" t="s">
        <v>138</v>
      </c>
      <c r="E50" s="2" t="str">
        <f>VLOOKUP(D50, Sheet2!A:C, 3, FALSE)</f>
        <v>Honda/Insight/1I/8971</v>
      </c>
      <c r="F50" s="2">
        <v>0</v>
      </c>
      <c r="G50" s="2">
        <v>0</v>
      </c>
      <c r="H50" s="10">
        <v>800000</v>
      </c>
      <c r="I50" s="2" t="s">
        <v>11</v>
      </c>
      <c r="L50" t="s">
        <v>211</v>
      </c>
      <c r="M50" t="s">
        <v>265</v>
      </c>
      <c r="N50" s="2" t="s">
        <v>9</v>
      </c>
    </row>
    <row r="51" spans="1:14" ht="18.75" x14ac:dyDescent="0.25">
      <c r="A51" t="s">
        <v>359</v>
      </c>
      <c r="B51" s="4" t="s">
        <v>59</v>
      </c>
      <c r="C51" s="8" t="str">
        <f t="shared" si="0"/>
        <v>Ko Hein Htut Aung</v>
      </c>
      <c r="D51" s="4" t="s">
        <v>139</v>
      </c>
      <c r="E51" s="2" t="str">
        <f>VLOOKUP(D51, Sheet2!A:C, 3, FALSE)</f>
        <v xml:space="preserve">Honda/Insight/7K/3137 </v>
      </c>
      <c r="F51" s="2">
        <v>0</v>
      </c>
      <c r="G51" s="2">
        <v>0</v>
      </c>
      <c r="H51" s="9">
        <v>800000</v>
      </c>
      <c r="I51" s="2" t="s">
        <v>11</v>
      </c>
      <c r="L51" t="s">
        <v>212</v>
      </c>
      <c r="M51" t="s">
        <v>266</v>
      </c>
      <c r="N51" s="2" t="s">
        <v>9</v>
      </c>
    </row>
    <row r="52" spans="1:14" ht="18.75" x14ac:dyDescent="0.25">
      <c r="A52" s="2" t="s">
        <v>360</v>
      </c>
      <c r="B52" s="6" t="s">
        <v>60</v>
      </c>
      <c r="C52" s="8" t="str">
        <f t="shared" si="0"/>
        <v>U Zay Paing Htoo</v>
      </c>
      <c r="D52" s="6" t="s">
        <v>140</v>
      </c>
      <c r="E52" s="2" t="str">
        <f>VLOOKUP(D52, Sheet2!A:C, 3, FALSE)</f>
        <v xml:space="preserve">Honda/Insight/7K/4229 </v>
      </c>
      <c r="F52" s="2">
        <v>0</v>
      </c>
      <c r="G52" s="2">
        <v>0</v>
      </c>
      <c r="H52" s="10">
        <v>800000</v>
      </c>
      <c r="I52" s="2" t="s">
        <v>11</v>
      </c>
      <c r="L52" t="s">
        <v>213</v>
      </c>
      <c r="M52" t="s">
        <v>267</v>
      </c>
      <c r="N52" s="2" t="s">
        <v>9</v>
      </c>
    </row>
    <row r="53" spans="1:14" ht="18.75" x14ac:dyDescent="0.25">
      <c r="A53" t="s">
        <v>361</v>
      </c>
      <c r="B53" s="4" t="s">
        <v>61</v>
      </c>
      <c r="C53" s="8" t="str">
        <f t="shared" si="0"/>
        <v>Mr Huang Haiming</v>
      </c>
      <c r="D53" s="4" t="s">
        <v>141</v>
      </c>
      <c r="E53" s="2" t="str">
        <f>VLOOKUP(D53, Sheet2!A:C, 3, FALSE)</f>
        <v xml:space="preserve">Honda/Insight/2M/5574 </v>
      </c>
      <c r="F53" s="2">
        <v>0</v>
      </c>
      <c r="G53" s="2">
        <v>0</v>
      </c>
      <c r="H53" s="9">
        <v>800000</v>
      </c>
      <c r="I53" s="2" t="s">
        <v>11</v>
      </c>
      <c r="L53" t="s">
        <v>214</v>
      </c>
      <c r="M53" t="s">
        <v>225</v>
      </c>
      <c r="N53" s="2" t="s">
        <v>9</v>
      </c>
    </row>
    <row r="54" spans="1:14" ht="18.75" x14ac:dyDescent="0.25">
      <c r="A54" s="2" t="s">
        <v>362</v>
      </c>
      <c r="B54" s="6" t="s">
        <v>62</v>
      </c>
      <c r="C54" s="8" t="str">
        <f t="shared" si="0"/>
        <v>Mr Dong Caigun</v>
      </c>
      <c r="D54" s="6" t="s">
        <v>142</v>
      </c>
      <c r="E54" s="2" t="str">
        <f>VLOOKUP(D54, Sheet2!A:C, 3, FALSE)</f>
        <v xml:space="preserve">Honda/Insight/1M/7872 </v>
      </c>
      <c r="F54" s="2">
        <v>0</v>
      </c>
      <c r="G54" s="2">
        <v>0</v>
      </c>
      <c r="H54" s="10">
        <v>800000</v>
      </c>
      <c r="I54" s="2" t="s">
        <v>11</v>
      </c>
      <c r="L54" t="s">
        <v>215</v>
      </c>
      <c r="M54" t="s">
        <v>268</v>
      </c>
      <c r="N54" s="2" t="s">
        <v>9</v>
      </c>
    </row>
    <row r="55" spans="1:14" ht="18.75" x14ac:dyDescent="0.25">
      <c r="A55" t="s">
        <v>363</v>
      </c>
      <c r="B55" s="4" t="s">
        <v>63</v>
      </c>
      <c r="C55" s="8" t="str">
        <f t="shared" si="0"/>
        <v>Mr Yu Jingsong</v>
      </c>
      <c r="D55" s="4" t="s">
        <v>143</v>
      </c>
      <c r="E55" s="2" t="str">
        <f>VLOOKUP(D55, Sheet2!A:C, 3, FALSE)</f>
        <v xml:space="preserve">Honda/Insight/9K/7202 </v>
      </c>
      <c r="F55" s="2">
        <v>0</v>
      </c>
      <c r="G55" s="2">
        <v>0</v>
      </c>
      <c r="H55" s="9">
        <v>800000</v>
      </c>
      <c r="I55" s="2" t="s">
        <v>11</v>
      </c>
      <c r="L55" t="s">
        <v>216</v>
      </c>
      <c r="M55" t="s">
        <v>269</v>
      </c>
      <c r="N55" s="2" t="s">
        <v>9</v>
      </c>
    </row>
    <row r="56" spans="1:14" ht="18.75" x14ac:dyDescent="0.25">
      <c r="A56" s="2" t="s">
        <v>364</v>
      </c>
      <c r="B56" s="6" t="s">
        <v>64</v>
      </c>
      <c r="C56" s="8" t="str">
        <f t="shared" si="0"/>
        <v>Mr Dong Lei</v>
      </c>
      <c r="D56" s="6" t="s">
        <v>144</v>
      </c>
      <c r="E56" s="2" t="str">
        <f>VLOOKUP(D56, Sheet2!A:C, 3, FALSE)</f>
        <v xml:space="preserve">Honda/Insight/9J/1459 </v>
      </c>
      <c r="F56" s="2">
        <v>0</v>
      </c>
      <c r="G56" s="2">
        <v>0</v>
      </c>
      <c r="H56" s="10">
        <v>800000</v>
      </c>
      <c r="I56" s="2" t="s">
        <v>11</v>
      </c>
      <c r="L56" t="s">
        <v>196</v>
      </c>
      <c r="M56" t="s">
        <v>189</v>
      </c>
      <c r="N56" s="2" t="s">
        <v>9</v>
      </c>
    </row>
    <row r="57" spans="1:14" ht="18.75" x14ac:dyDescent="0.25">
      <c r="A57" t="s">
        <v>365</v>
      </c>
      <c r="B57" s="4" t="s">
        <v>65</v>
      </c>
      <c r="C57" s="8" t="str">
        <f t="shared" si="0"/>
        <v>Mr Huang Wei Meng</v>
      </c>
      <c r="D57" s="4" t="s">
        <v>145</v>
      </c>
      <c r="E57" s="2" t="str">
        <f>VLOOKUP(D57, Sheet2!A:C, 3, FALSE)</f>
        <v>Honda/Insight/6L/5802</v>
      </c>
      <c r="F57" s="2">
        <v>0</v>
      </c>
      <c r="G57" s="2">
        <v>0</v>
      </c>
      <c r="H57" s="9">
        <v>800000</v>
      </c>
      <c r="I57" s="2" t="s">
        <v>11</v>
      </c>
      <c r="L57" t="s">
        <v>217</v>
      </c>
      <c r="M57" t="s">
        <v>270</v>
      </c>
      <c r="N57" s="2" t="s">
        <v>9</v>
      </c>
    </row>
    <row r="58" spans="1:14" ht="18.75" x14ac:dyDescent="0.25">
      <c r="A58" s="2" t="s">
        <v>366</v>
      </c>
      <c r="B58" s="6" t="s">
        <v>66</v>
      </c>
      <c r="C58" s="8" t="str">
        <f t="shared" si="0"/>
        <v>Mr Huang Xin Leng</v>
      </c>
      <c r="D58" s="6" t="s">
        <v>146</v>
      </c>
      <c r="E58" s="2" t="str">
        <f>VLOOKUP(D58, Sheet2!A:C, 3, FALSE)</f>
        <v xml:space="preserve">Honda/Insight/2I/7677 </v>
      </c>
      <c r="F58" s="2">
        <v>0</v>
      </c>
      <c r="G58" s="2">
        <v>0</v>
      </c>
      <c r="H58" s="10">
        <v>800000</v>
      </c>
      <c r="I58" s="2" t="s">
        <v>11</v>
      </c>
      <c r="L58" t="s">
        <v>218</v>
      </c>
      <c r="M58" t="s">
        <v>225</v>
      </c>
      <c r="N58" s="2" t="s">
        <v>9</v>
      </c>
    </row>
    <row r="59" spans="1:14" ht="18.75" x14ac:dyDescent="0.25">
      <c r="A59" t="s">
        <v>367</v>
      </c>
      <c r="B59" s="4" t="s">
        <v>67</v>
      </c>
      <c r="C59" s="8" t="str">
        <f t="shared" si="0"/>
        <v>Mr Chen Sheng Li</v>
      </c>
      <c r="D59" s="4" t="s">
        <v>147</v>
      </c>
      <c r="E59" s="2" t="str">
        <f>VLOOKUP(D59, Sheet2!A:C, 3, FALSE)</f>
        <v xml:space="preserve">Honda/Insight/6K/9464 </v>
      </c>
      <c r="F59" s="2">
        <v>0</v>
      </c>
      <c r="G59" s="2">
        <v>0</v>
      </c>
      <c r="H59" s="9">
        <v>800000</v>
      </c>
      <c r="I59" s="2" t="s">
        <v>11</v>
      </c>
      <c r="L59" t="s">
        <v>211</v>
      </c>
      <c r="M59" t="s">
        <v>235</v>
      </c>
      <c r="N59" s="2" t="s">
        <v>9</v>
      </c>
    </row>
    <row r="60" spans="1:14" ht="18.75" x14ac:dyDescent="0.25">
      <c r="A60" s="2" t="s">
        <v>368</v>
      </c>
      <c r="B60" s="6" t="s">
        <v>15</v>
      </c>
      <c r="C60" s="8" t="str">
        <f t="shared" si="0"/>
        <v>Ko Nay Min Han</v>
      </c>
      <c r="D60" s="6" t="s">
        <v>148</v>
      </c>
      <c r="E60" s="2" t="str">
        <f>VLOOKUP(D60, Sheet2!A:C, 3, FALSE)</f>
        <v>Honda/Insight/1K/2555</v>
      </c>
      <c r="F60" s="2">
        <v>0</v>
      </c>
      <c r="G60" s="2">
        <v>0</v>
      </c>
      <c r="H60" s="10">
        <v>800000</v>
      </c>
      <c r="I60" s="2" t="s">
        <v>11</v>
      </c>
      <c r="L60" t="s">
        <v>219</v>
      </c>
      <c r="M60" t="s">
        <v>245</v>
      </c>
      <c r="N60" s="2" t="s">
        <v>9</v>
      </c>
    </row>
    <row r="61" spans="1:14" ht="18.75" x14ac:dyDescent="0.25">
      <c r="A61" t="s">
        <v>369</v>
      </c>
      <c r="B61" s="4" t="s">
        <v>68</v>
      </c>
      <c r="C61" s="8" t="str">
        <f t="shared" si="0"/>
        <v>Mr Ye Zhao Zheng</v>
      </c>
      <c r="D61" s="4" t="s">
        <v>149</v>
      </c>
      <c r="E61" s="2" t="str">
        <f>VLOOKUP(D61, Sheet2!A:C, 3, FALSE)</f>
        <v xml:space="preserve">Honda/Insight/5K/4168 </v>
      </c>
      <c r="F61" s="2">
        <v>0</v>
      </c>
      <c r="G61" s="2">
        <v>0</v>
      </c>
      <c r="H61" s="9">
        <v>800000</v>
      </c>
      <c r="I61" s="2" t="s">
        <v>11</v>
      </c>
      <c r="L61" s="12">
        <v>45243</v>
      </c>
      <c r="M61" t="s">
        <v>271</v>
      </c>
      <c r="N61" s="2" t="s">
        <v>9</v>
      </c>
    </row>
    <row r="62" spans="1:14" ht="18.75" x14ac:dyDescent="0.25">
      <c r="A62" s="2" t="s">
        <v>370</v>
      </c>
      <c r="B62" s="6" t="s">
        <v>69</v>
      </c>
      <c r="C62" s="8" t="str">
        <f t="shared" si="0"/>
        <v>Ma Phyu Phyu Moe</v>
      </c>
      <c r="D62" s="6" t="s">
        <v>152</v>
      </c>
      <c r="E62" s="2" t="str">
        <f>VLOOKUP(D62, Sheet2!A:C, 3, FALSE)</f>
        <v>Toyota/Ractis/7P/6171 (MMO)</v>
      </c>
      <c r="F62" s="2">
        <v>0</v>
      </c>
      <c r="G62" s="2">
        <v>0</v>
      </c>
      <c r="H62" s="10">
        <v>700000</v>
      </c>
      <c r="I62" s="2" t="s">
        <v>11</v>
      </c>
      <c r="L62" s="12">
        <v>45283</v>
      </c>
      <c r="M62" t="s">
        <v>272</v>
      </c>
      <c r="N62" s="2" t="s">
        <v>9</v>
      </c>
    </row>
    <row r="63" spans="1:14" ht="18.75" x14ac:dyDescent="0.25">
      <c r="A63" t="s">
        <v>371</v>
      </c>
      <c r="B63" s="4" t="s">
        <v>60</v>
      </c>
      <c r="C63" s="8" t="str">
        <f t="shared" si="0"/>
        <v>U Zay Paing Htoo</v>
      </c>
      <c r="D63" s="4" t="s">
        <v>153</v>
      </c>
      <c r="E63" s="2" t="str">
        <f>VLOOKUP(D63, Sheet2!A:C, 3, FALSE)</f>
        <v>Nissan/Sunny/1R/7367 (MMO)</v>
      </c>
      <c r="F63" s="2">
        <v>0</v>
      </c>
      <c r="G63" s="2">
        <v>0</v>
      </c>
      <c r="H63" s="9">
        <v>1300000</v>
      </c>
      <c r="I63" s="2" t="s">
        <v>11</v>
      </c>
      <c r="L63" t="s">
        <v>220</v>
      </c>
      <c r="M63" t="s">
        <v>273</v>
      </c>
      <c r="N63" s="2" t="s">
        <v>9</v>
      </c>
    </row>
    <row r="64" spans="1:14" ht="18.75" x14ac:dyDescent="0.25">
      <c r="A64" s="2" t="s">
        <v>372</v>
      </c>
      <c r="B64" s="6" t="s">
        <v>70</v>
      </c>
      <c r="C64" s="8" t="str">
        <f t="shared" ref="C64:C84" si="1">TRIM(B64)</f>
        <v>Mr Fu Qiang</v>
      </c>
      <c r="D64" s="6" t="s">
        <v>154</v>
      </c>
      <c r="E64" s="2" t="str">
        <f>VLOOKUP(D64, Sheet2!A:C, 3, FALSE)</f>
        <v xml:space="preserve">Nissan/Sunny/9N/2999 </v>
      </c>
      <c r="F64" s="2">
        <v>0</v>
      </c>
      <c r="G64" s="2">
        <v>0</v>
      </c>
      <c r="H64" s="10">
        <v>800000</v>
      </c>
      <c r="I64" s="2" t="s">
        <v>11</v>
      </c>
      <c r="L64" t="s">
        <v>221</v>
      </c>
      <c r="M64" t="s">
        <v>274</v>
      </c>
      <c r="N64" s="2" t="s">
        <v>9</v>
      </c>
    </row>
    <row r="65" spans="1:14" ht="18.75" x14ac:dyDescent="0.25">
      <c r="A65" t="s">
        <v>373</v>
      </c>
      <c r="B65" s="4" t="s">
        <v>71</v>
      </c>
      <c r="C65" s="8" t="str">
        <f t="shared" si="1"/>
        <v>Mr Zhou Jimimg</v>
      </c>
      <c r="D65" s="4" t="s">
        <v>155</v>
      </c>
      <c r="E65" s="2" t="str">
        <f>VLOOKUP(D65, Sheet2!A:C, 3, FALSE)</f>
        <v>Nissan/Sunny/1P/1210</v>
      </c>
      <c r="F65" s="2">
        <v>0</v>
      </c>
      <c r="G65" s="2">
        <v>0</v>
      </c>
      <c r="H65" s="9">
        <v>1300000</v>
      </c>
      <c r="I65" s="2" t="s">
        <v>11</v>
      </c>
      <c r="L65" t="s">
        <v>222</v>
      </c>
      <c r="M65" t="s">
        <v>275</v>
      </c>
      <c r="N65" s="2" t="s">
        <v>9</v>
      </c>
    </row>
    <row r="66" spans="1:14" ht="18.75" x14ac:dyDescent="0.25">
      <c r="A66" s="2" t="s">
        <v>374</v>
      </c>
      <c r="B66" s="6" t="s">
        <v>72</v>
      </c>
      <c r="C66" s="8" t="str">
        <f t="shared" si="1"/>
        <v>U Myat Min Paing</v>
      </c>
      <c r="D66" s="6" t="s">
        <v>156</v>
      </c>
      <c r="E66" s="2" t="str">
        <f>VLOOKUP(D66, Sheet2!A:C, 3, FALSE)</f>
        <v>Toyota/Vitz/7N/1797 (MMO)</v>
      </c>
      <c r="F66" s="2">
        <v>0</v>
      </c>
      <c r="G66" s="2">
        <v>0</v>
      </c>
      <c r="H66" s="10">
        <v>300000</v>
      </c>
      <c r="I66" s="2" t="s">
        <v>11</v>
      </c>
      <c r="L66" t="s">
        <v>223</v>
      </c>
      <c r="M66" t="s">
        <v>218</v>
      </c>
      <c r="N66" s="2" t="s">
        <v>9</v>
      </c>
    </row>
    <row r="67" spans="1:14" ht="18.75" x14ac:dyDescent="0.25">
      <c r="A67" t="s">
        <v>375</v>
      </c>
      <c r="B67" s="4" t="s">
        <v>73</v>
      </c>
      <c r="C67" s="8" t="str">
        <f t="shared" si="1"/>
        <v>Ko Hein Htet</v>
      </c>
      <c r="D67" s="4" t="s">
        <v>157</v>
      </c>
      <c r="E67" s="2" t="str">
        <f>VLOOKUP(D67, Sheet2!A:C, 3, FALSE)</f>
        <v>Toyota/Vitz/1K/5984 (MMO)</v>
      </c>
      <c r="F67" s="2">
        <v>0</v>
      </c>
      <c r="G67" s="2">
        <v>0</v>
      </c>
      <c r="H67" s="9">
        <v>210000</v>
      </c>
      <c r="I67" s="2" t="s">
        <v>11</v>
      </c>
      <c r="L67" t="s">
        <v>224</v>
      </c>
      <c r="M67" t="s">
        <v>276</v>
      </c>
      <c r="N67" s="2" t="s">
        <v>9</v>
      </c>
    </row>
    <row r="68" spans="1:14" ht="18.75" x14ac:dyDescent="0.25">
      <c r="A68" s="2" t="s">
        <v>376</v>
      </c>
      <c r="B68" s="6" t="s">
        <v>74</v>
      </c>
      <c r="C68" s="8" t="str">
        <f t="shared" si="1"/>
        <v>Mr Lin Xiao Yun</v>
      </c>
      <c r="D68" s="6" t="s">
        <v>158</v>
      </c>
      <c r="E68" s="2" t="str">
        <f>VLOOKUP(D68, Sheet2!A:C, 3, FALSE)</f>
        <v>Honda/Insight/5P/6639 (MMO)</v>
      </c>
      <c r="F68" s="2">
        <v>0</v>
      </c>
      <c r="G68" s="2">
        <v>0</v>
      </c>
      <c r="H68" s="10">
        <v>800000</v>
      </c>
      <c r="I68" s="2" t="s">
        <v>11</v>
      </c>
      <c r="L68" s="12">
        <v>45160</v>
      </c>
      <c r="M68" t="s">
        <v>190</v>
      </c>
      <c r="N68" s="2" t="s">
        <v>9</v>
      </c>
    </row>
    <row r="69" spans="1:14" ht="18.75" x14ac:dyDescent="0.25">
      <c r="A69" t="s">
        <v>377</v>
      </c>
      <c r="B69" s="4" t="s">
        <v>75</v>
      </c>
      <c r="C69" s="8" t="str">
        <f t="shared" si="1"/>
        <v>Mr Li Zuolong</v>
      </c>
      <c r="D69" s="4" t="s">
        <v>159</v>
      </c>
      <c r="E69" s="2" t="str">
        <f>VLOOKUP(D69, Sheet2!A:C, 3, FALSE)</f>
        <v>Honda/Insight/6I/8975 (MMO)</v>
      </c>
      <c r="F69" s="2">
        <v>0</v>
      </c>
      <c r="G69" s="2">
        <v>0</v>
      </c>
      <c r="H69" s="9">
        <v>600000</v>
      </c>
      <c r="I69" s="2" t="s">
        <v>11</v>
      </c>
      <c r="L69" s="12">
        <v>45261</v>
      </c>
      <c r="M69" t="s">
        <v>202</v>
      </c>
      <c r="N69" s="2" t="s">
        <v>9</v>
      </c>
    </row>
    <row r="70" spans="1:14" ht="18.75" x14ac:dyDescent="0.25">
      <c r="A70" s="2" t="s">
        <v>378</v>
      </c>
      <c r="B70" s="6" t="s">
        <v>76</v>
      </c>
      <c r="C70" s="8" t="str">
        <f t="shared" si="1"/>
        <v>Mr Fu Shaoyou</v>
      </c>
      <c r="D70" s="6" t="s">
        <v>160</v>
      </c>
      <c r="E70" s="2" t="str">
        <f>VLOOKUP(D70, Sheet2!A:C, 3, FALSE)</f>
        <v>Honda/Insight/7H/1942 (MMO)</v>
      </c>
      <c r="F70" s="2">
        <v>0</v>
      </c>
      <c r="G70" s="2">
        <v>0</v>
      </c>
      <c r="H70" s="10">
        <v>800000</v>
      </c>
      <c r="I70" s="2" t="s">
        <v>11</v>
      </c>
      <c r="L70" t="s">
        <v>208</v>
      </c>
      <c r="M70" t="s">
        <v>277</v>
      </c>
      <c r="N70" s="2" t="s">
        <v>9</v>
      </c>
    </row>
    <row r="71" spans="1:14" ht="18.75" x14ac:dyDescent="0.25">
      <c r="A71" t="s">
        <v>379</v>
      </c>
      <c r="B71" s="4" t="s">
        <v>77</v>
      </c>
      <c r="C71" s="8" t="str">
        <f t="shared" si="1"/>
        <v>Ma Thandar</v>
      </c>
      <c r="D71" s="4" t="s">
        <v>161</v>
      </c>
      <c r="E71" s="2" t="str">
        <f>VLOOKUP(D71, Sheet2!A:C, 3, FALSE)</f>
        <v>Honda/Insight/4Q/9683 (MMO)</v>
      </c>
      <c r="F71" s="2">
        <v>0</v>
      </c>
      <c r="G71" s="2">
        <v>0</v>
      </c>
      <c r="H71" s="9">
        <v>500000</v>
      </c>
      <c r="I71" s="2" t="s">
        <v>11</v>
      </c>
      <c r="L71" t="s">
        <v>225</v>
      </c>
      <c r="M71" t="s">
        <v>278</v>
      </c>
      <c r="N71" s="2" t="s">
        <v>9</v>
      </c>
    </row>
    <row r="72" spans="1:14" ht="18.75" x14ac:dyDescent="0.25">
      <c r="A72" s="2" t="s">
        <v>380</v>
      </c>
      <c r="B72" s="6" t="s">
        <v>78</v>
      </c>
      <c r="C72" s="8" t="str">
        <f t="shared" si="1"/>
        <v>Mr Wu Wei Jun</v>
      </c>
      <c r="D72" s="6" t="s">
        <v>162</v>
      </c>
      <c r="E72" s="2" t="str">
        <f>VLOOKUP(D72, Sheet2!A:C, 3, FALSE)</f>
        <v>Honda/Insight/5P/5451</v>
      </c>
      <c r="F72" s="2">
        <v>0</v>
      </c>
      <c r="G72" s="2">
        <v>0</v>
      </c>
      <c r="H72" s="10">
        <v>800000</v>
      </c>
      <c r="I72" s="2" t="s">
        <v>11</v>
      </c>
      <c r="L72" t="s">
        <v>226</v>
      </c>
      <c r="M72" t="s">
        <v>279</v>
      </c>
      <c r="N72" s="2" t="s">
        <v>9</v>
      </c>
    </row>
    <row r="73" spans="1:14" ht="18.75" x14ac:dyDescent="0.25">
      <c r="A73" t="s">
        <v>381</v>
      </c>
      <c r="B73" s="4" t="s">
        <v>79</v>
      </c>
      <c r="C73" s="8" t="str">
        <f t="shared" si="1"/>
        <v>STEK</v>
      </c>
      <c r="D73" s="4" t="s">
        <v>163</v>
      </c>
      <c r="E73" s="2" t="str">
        <f>VLOOKUP(D73, Sheet2!A:C, 3, FALSE)</f>
        <v>Honda/Insight/1M/9575</v>
      </c>
      <c r="F73" s="2">
        <v>0</v>
      </c>
      <c r="G73" s="2">
        <v>0</v>
      </c>
      <c r="H73" s="9">
        <v>800000</v>
      </c>
      <c r="I73" s="2" t="s">
        <v>11</v>
      </c>
      <c r="L73" t="s">
        <v>227</v>
      </c>
      <c r="M73" t="s">
        <v>239</v>
      </c>
      <c r="N73" s="2" t="s">
        <v>9</v>
      </c>
    </row>
    <row r="74" spans="1:14" ht="18.75" x14ac:dyDescent="0.25">
      <c r="A74" s="2" t="s">
        <v>382</v>
      </c>
      <c r="B74" s="6" t="s">
        <v>80</v>
      </c>
      <c r="C74" s="8" t="str">
        <f t="shared" si="1"/>
        <v>Mr Liu Shiquan</v>
      </c>
      <c r="D74" s="6" t="s">
        <v>164</v>
      </c>
      <c r="E74" s="2" t="str">
        <f>VLOOKUP(D74, Sheet2!A:C, 3, FALSE)</f>
        <v>Honda/Insight/6L/9338</v>
      </c>
      <c r="F74" s="2">
        <v>0</v>
      </c>
      <c r="G74" s="2">
        <v>0</v>
      </c>
      <c r="H74" s="10">
        <v>800000</v>
      </c>
      <c r="I74" s="2" t="s">
        <v>11</v>
      </c>
      <c r="L74" t="s">
        <v>228</v>
      </c>
      <c r="M74" t="s">
        <v>280</v>
      </c>
      <c r="N74" s="2" t="s">
        <v>9</v>
      </c>
    </row>
    <row r="75" spans="1:14" ht="18.75" x14ac:dyDescent="0.25">
      <c r="A75" t="s">
        <v>383</v>
      </c>
      <c r="B75" s="4" t="s">
        <v>81</v>
      </c>
      <c r="C75" s="8" t="str">
        <f t="shared" si="1"/>
        <v>Daw May Hnin Phyu</v>
      </c>
      <c r="D75" s="4" t="s">
        <v>165</v>
      </c>
      <c r="E75" s="2" t="str">
        <f>VLOOKUP(D75, Sheet2!A:C, 3, FALSE)</f>
        <v>Honda/Insight/1L/6464</v>
      </c>
      <c r="F75" s="2">
        <v>0</v>
      </c>
      <c r="G75" s="2">
        <v>0</v>
      </c>
      <c r="H75" s="9">
        <v>800000</v>
      </c>
      <c r="I75" s="2" t="s">
        <v>11</v>
      </c>
      <c r="L75" t="s">
        <v>228</v>
      </c>
      <c r="M75" t="s">
        <v>280</v>
      </c>
      <c r="N75" s="2" t="s">
        <v>9</v>
      </c>
    </row>
    <row r="76" spans="1:14" ht="18.75" x14ac:dyDescent="0.25">
      <c r="A76" s="2" t="s">
        <v>384</v>
      </c>
      <c r="B76" s="6" t="s">
        <v>82</v>
      </c>
      <c r="C76" s="8" t="str">
        <f t="shared" si="1"/>
        <v>Mr Zhu Yun Jian</v>
      </c>
      <c r="D76" s="6" t="s">
        <v>166</v>
      </c>
      <c r="E76" s="2" t="str">
        <f>VLOOKUP(D76, Sheet2!A:C, 3, FALSE)</f>
        <v>Honda/Insight/2L/5621</v>
      </c>
      <c r="F76" s="2">
        <v>0</v>
      </c>
      <c r="G76" s="2">
        <v>0</v>
      </c>
      <c r="H76" s="10">
        <v>800000</v>
      </c>
      <c r="I76" s="2" t="s">
        <v>11</v>
      </c>
      <c r="L76" t="s">
        <v>229</v>
      </c>
      <c r="M76" t="s">
        <v>281</v>
      </c>
      <c r="N76" s="2" t="s">
        <v>9</v>
      </c>
    </row>
    <row r="77" spans="1:14" ht="18.75" x14ac:dyDescent="0.25">
      <c r="A77" t="s">
        <v>385</v>
      </c>
      <c r="B77" s="4" t="s">
        <v>24</v>
      </c>
      <c r="C77" s="8" t="str">
        <f t="shared" si="1"/>
        <v>Mr Pu Yuan Lun</v>
      </c>
      <c r="D77" s="4" t="s">
        <v>167</v>
      </c>
      <c r="E77" s="2" t="str">
        <f>VLOOKUP(D77, Sheet2!A:C, 3, FALSE)</f>
        <v>Honda/Insight/9J/7318</v>
      </c>
      <c r="F77" s="2">
        <v>0</v>
      </c>
      <c r="G77" s="2">
        <v>0</v>
      </c>
      <c r="H77" s="9">
        <v>800000</v>
      </c>
      <c r="I77" s="2" t="s">
        <v>11</v>
      </c>
      <c r="L77" t="s">
        <v>228</v>
      </c>
      <c r="M77" t="s">
        <v>280</v>
      </c>
      <c r="N77" s="2" t="s">
        <v>9</v>
      </c>
    </row>
    <row r="78" spans="1:14" ht="18.75" x14ac:dyDescent="0.25">
      <c r="A78" s="2" t="s">
        <v>386</v>
      </c>
      <c r="B78" s="6" t="s">
        <v>80</v>
      </c>
      <c r="C78" s="8" t="str">
        <f t="shared" si="1"/>
        <v>Mr Liu Shiquan</v>
      </c>
      <c r="D78" s="6" t="s">
        <v>168</v>
      </c>
      <c r="E78" s="2" t="str">
        <f>VLOOKUP(D78, Sheet2!A:C, 3, FALSE)</f>
        <v>Honda/Insight/1N/3473</v>
      </c>
      <c r="F78" s="2">
        <v>0</v>
      </c>
      <c r="G78" s="2">
        <v>0</v>
      </c>
      <c r="H78" s="10">
        <v>800000</v>
      </c>
      <c r="I78" s="2" t="s">
        <v>11</v>
      </c>
      <c r="L78" t="s">
        <v>229</v>
      </c>
      <c r="M78" t="s">
        <v>281</v>
      </c>
      <c r="N78" s="2" t="s">
        <v>9</v>
      </c>
    </row>
    <row r="79" spans="1:14" ht="18.75" x14ac:dyDescent="0.25">
      <c r="A79" t="s">
        <v>387</v>
      </c>
      <c r="B79" s="4" t="s">
        <v>83</v>
      </c>
      <c r="C79" s="8" t="str">
        <f t="shared" si="1"/>
        <v>Ma Hla Hla Maw</v>
      </c>
      <c r="D79" s="4" t="s">
        <v>169</v>
      </c>
      <c r="E79" s="2" t="str">
        <f>VLOOKUP(D79, Sheet2!A:C, 3, FALSE)</f>
        <v>Honda/Insight/5L/8865</v>
      </c>
      <c r="F79" s="2">
        <v>0</v>
      </c>
      <c r="G79" s="2">
        <v>0</v>
      </c>
      <c r="H79" s="9">
        <v>800000</v>
      </c>
      <c r="I79" s="2" t="s">
        <v>11</v>
      </c>
      <c r="L79" t="s">
        <v>230</v>
      </c>
      <c r="M79" t="s">
        <v>282</v>
      </c>
      <c r="N79" s="2" t="s">
        <v>9</v>
      </c>
    </row>
    <row r="80" spans="1:14" ht="18.75" x14ac:dyDescent="0.25">
      <c r="A80" s="2" t="s">
        <v>388</v>
      </c>
      <c r="B80" s="6" t="s">
        <v>84</v>
      </c>
      <c r="C80" s="8" t="str">
        <f t="shared" si="1"/>
        <v>STEK - YGN Office</v>
      </c>
      <c r="D80" s="6" t="s">
        <v>170</v>
      </c>
      <c r="E80" s="2" t="str">
        <f>VLOOKUP(D80, Sheet2!A:C, 3, FALSE)</f>
        <v>Honda/Insight/3I/2599</v>
      </c>
      <c r="F80" s="2">
        <v>0</v>
      </c>
      <c r="G80" s="2">
        <v>0</v>
      </c>
      <c r="H80" s="10">
        <v>800000</v>
      </c>
      <c r="I80" s="2" t="s">
        <v>11</v>
      </c>
      <c r="L80" t="s">
        <v>231</v>
      </c>
      <c r="M80" t="s">
        <v>239</v>
      </c>
      <c r="N80" s="2" t="s">
        <v>9</v>
      </c>
    </row>
    <row r="81" spans="1:14" ht="18.75" x14ac:dyDescent="0.25">
      <c r="A81" t="s">
        <v>389</v>
      </c>
      <c r="B81" s="6" t="s">
        <v>85</v>
      </c>
      <c r="C81" s="8" t="str">
        <f t="shared" si="1"/>
        <v>Mr Lei Ming</v>
      </c>
      <c r="D81" s="6" t="s">
        <v>172</v>
      </c>
      <c r="E81" s="2" t="str">
        <f>VLOOKUP(D81, Sheet2!A:C, 3, FALSE)</f>
        <v>Honda/Insight/2E/7644</v>
      </c>
      <c r="F81" s="2">
        <v>0</v>
      </c>
      <c r="G81" s="2">
        <v>0</v>
      </c>
      <c r="H81" s="10">
        <v>800000</v>
      </c>
      <c r="I81" s="2" t="s">
        <v>11</v>
      </c>
      <c r="L81" t="s">
        <v>191</v>
      </c>
      <c r="M81" t="s">
        <v>192</v>
      </c>
      <c r="N81" s="2" t="s">
        <v>9</v>
      </c>
    </row>
    <row r="82" spans="1:14" ht="18.75" x14ac:dyDescent="0.25">
      <c r="A82" s="2" t="s">
        <v>390</v>
      </c>
      <c r="B82" s="4" t="s">
        <v>86</v>
      </c>
      <c r="C82" s="8" t="str">
        <f t="shared" si="1"/>
        <v>Mr Hou Dongcheng</v>
      </c>
      <c r="D82" s="4" t="s">
        <v>173</v>
      </c>
      <c r="E82" s="2" t="str">
        <f>VLOOKUP(D82, Sheet2!A:C, 3, FALSE)</f>
        <v>Honda/Insight/6L/2311</v>
      </c>
      <c r="F82" s="2">
        <v>0</v>
      </c>
      <c r="G82" s="2">
        <v>0</v>
      </c>
      <c r="H82" s="9">
        <v>800000</v>
      </c>
      <c r="I82" s="2" t="s">
        <v>11</v>
      </c>
      <c r="L82" t="s">
        <v>232</v>
      </c>
      <c r="M82" t="s">
        <v>283</v>
      </c>
      <c r="N82" s="2" t="s">
        <v>9</v>
      </c>
    </row>
    <row r="83" spans="1:14" ht="18.75" x14ac:dyDescent="0.25">
      <c r="A83" t="s">
        <v>391</v>
      </c>
      <c r="B83" s="6" t="s">
        <v>87</v>
      </c>
      <c r="C83" s="8" t="str">
        <f t="shared" si="1"/>
        <v>Mr Yuan Zhichao/SJ Co., Ltd</v>
      </c>
      <c r="D83" s="6" t="s">
        <v>174</v>
      </c>
      <c r="E83" s="2" t="str">
        <f>VLOOKUP(D83, Sheet2!A:C, 3, FALSE)</f>
        <v>Honda/Insight/3D/5417</v>
      </c>
      <c r="F83" s="2">
        <v>0</v>
      </c>
      <c r="G83" s="2">
        <v>0</v>
      </c>
      <c r="H83" s="10">
        <v>800000</v>
      </c>
      <c r="I83" s="2" t="s">
        <v>11</v>
      </c>
      <c r="L83" t="s">
        <v>232</v>
      </c>
      <c r="M83" t="s">
        <v>283</v>
      </c>
      <c r="N83" s="2" t="s">
        <v>9</v>
      </c>
    </row>
    <row r="84" spans="1:14" ht="18.75" x14ac:dyDescent="0.25">
      <c r="A84" s="2" t="s">
        <v>392</v>
      </c>
      <c r="B84" s="4" t="s">
        <v>88</v>
      </c>
      <c r="C84" s="8" t="str">
        <f t="shared" si="1"/>
        <v>Mr Chen Jun</v>
      </c>
      <c r="D84" s="4" t="s">
        <v>175</v>
      </c>
      <c r="E84" s="2" t="str">
        <f>VLOOKUP(D84, Sheet2!A:C, 3, FALSE)</f>
        <v>Honda/Insight/3D/4211</v>
      </c>
      <c r="F84" s="2">
        <v>0</v>
      </c>
      <c r="G84" s="2">
        <v>0</v>
      </c>
      <c r="H84" s="9">
        <v>800000</v>
      </c>
      <c r="I84" s="2" t="s">
        <v>11</v>
      </c>
      <c r="L84" t="s">
        <v>199</v>
      </c>
      <c r="M84" t="s">
        <v>252</v>
      </c>
      <c r="N84" s="2" t="s">
        <v>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FD18-2BB3-4ADD-A19D-40DB58133E92}">
  <dimension ref="A1:C96"/>
  <sheetViews>
    <sheetView workbookViewId="0">
      <selection activeCell="D1" sqref="D1:D1048576"/>
    </sheetView>
  </sheetViews>
  <sheetFormatPr defaultRowHeight="15" x14ac:dyDescent="0.25"/>
  <cols>
    <col min="1" max="1" width="20.7109375" customWidth="1"/>
    <col min="2" max="2" width="17" customWidth="1"/>
    <col min="3" max="3" width="29.85546875" bestFit="1" customWidth="1"/>
  </cols>
  <sheetData>
    <row r="1" spans="1:3" x14ac:dyDescent="0.25">
      <c r="A1" t="s">
        <v>284</v>
      </c>
      <c r="B1" t="s">
        <v>285</v>
      </c>
    </row>
    <row r="2" spans="1:3" x14ac:dyDescent="0.25">
      <c r="A2" t="s">
        <v>151</v>
      </c>
      <c r="B2" t="s">
        <v>286</v>
      </c>
      <c r="C2" t="str">
        <f>CONCATENATE(B2, "/", A2)</f>
        <v>Toyota/Mark II/1G/8399 (MMO)</v>
      </c>
    </row>
    <row r="3" spans="1:3" x14ac:dyDescent="0.25">
      <c r="A3" t="s">
        <v>89</v>
      </c>
      <c r="B3" t="s">
        <v>287</v>
      </c>
      <c r="C3" t="str">
        <f t="shared" ref="C3:C66" si="0">CONCATENATE(B3, "/", A3)</f>
        <v>Toyota/Alphard/1I/4365</v>
      </c>
    </row>
    <row r="4" spans="1:3" x14ac:dyDescent="0.25">
      <c r="A4" t="s">
        <v>92</v>
      </c>
      <c r="B4" t="s">
        <v>288</v>
      </c>
      <c r="C4" t="str">
        <f t="shared" si="0"/>
        <v xml:space="preserve">Nissan/AD/1I/4960 </v>
      </c>
    </row>
    <row r="5" spans="1:3" x14ac:dyDescent="0.25">
      <c r="A5" t="s">
        <v>133</v>
      </c>
      <c r="B5" t="s">
        <v>289</v>
      </c>
      <c r="C5" t="str">
        <f t="shared" si="0"/>
        <v xml:space="preserve">Honda/Insight/1I/6866 </v>
      </c>
    </row>
    <row r="6" spans="1:3" x14ac:dyDescent="0.25">
      <c r="A6" t="s">
        <v>138</v>
      </c>
      <c r="B6" t="s">
        <v>289</v>
      </c>
      <c r="C6" t="str">
        <f t="shared" si="0"/>
        <v>Honda/Insight/1I/8971</v>
      </c>
    </row>
    <row r="7" spans="1:3" x14ac:dyDescent="0.25">
      <c r="A7" t="s">
        <v>290</v>
      </c>
      <c r="B7" t="s">
        <v>289</v>
      </c>
      <c r="C7" t="str">
        <f t="shared" si="0"/>
        <v>Honda/Insight/1J/4747</v>
      </c>
    </row>
    <row r="8" spans="1:3" x14ac:dyDescent="0.25">
      <c r="A8" t="s">
        <v>148</v>
      </c>
      <c r="B8" t="s">
        <v>289</v>
      </c>
      <c r="C8" t="str">
        <f t="shared" si="0"/>
        <v>Honda/Insight/1K/2555</v>
      </c>
    </row>
    <row r="9" spans="1:3" x14ac:dyDescent="0.25">
      <c r="A9" t="s">
        <v>157</v>
      </c>
      <c r="B9" t="s">
        <v>291</v>
      </c>
      <c r="C9" t="str">
        <f t="shared" si="0"/>
        <v>Toyota/Vitz/1K/5984 (MMO)</v>
      </c>
    </row>
    <row r="10" spans="1:3" x14ac:dyDescent="0.25">
      <c r="A10" t="s">
        <v>129</v>
      </c>
      <c r="B10" t="s">
        <v>289</v>
      </c>
      <c r="C10" t="str">
        <f t="shared" si="0"/>
        <v xml:space="preserve">Honda/Insight/1K/7025 </v>
      </c>
    </row>
    <row r="11" spans="1:3" x14ac:dyDescent="0.25">
      <c r="A11" t="s">
        <v>116</v>
      </c>
      <c r="B11" t="s">
        <v>289</v>
      </c>
      <c r="C11" t="str">
        <f t="shared" si="0"/>
        <v>Honda/Insight/1K/7482 (MMO)</v>
      </c>
    </row>
    <row r="12" spans="1:3" x14ac:dyDescent="0.25">
      <c r="A12" t="s">
        <v>110</v>
      </c>
      <c r="B12" t="s">
        <v>289</v>
      </c>
      <c r="C12" t="str">
        <f t="shared" si="0"/>
        <v>Honda/Insight/1L/1050 (MMO)</v>
      </c>
    </row>
    <row r="13" spans="1:3" x14ac:dyDescent="0.25">
      <c r="A13" t="s">
        <v>128</v>
      </c>
      <c r="B13" t="s">
        <v>289</v>
      </c>
      <c r="C13" t="str">
        <f t="shared" si="0"/>
        <v>Honda/Insight/1L/2491</v>
      </c>
    </row>
    <row r="14" spans="1:3" x14ac:dyDescent="0.25">
      <c r="A14" t="s">
        <v>165</v>
      </c>
      <c r="B14" t="s">
        <v>289</v>
      </c>
      <c r="C14" t="str">
        <f t="shared" si="0"/>
        <v>Honda/Insight/1L/6464</v>
      </c>
    </row>
    <row r="15" spans="1:3" x14ac:dyDescent="0.25">
      <c r="A15" t="s">
        <v>142</v>
      </c>
      <c r="B15" t="s">
        <v>289</v>
      </c>
      <c r="C15" t="str">
        <f t="shared" si="0"/>
        <v xml:space="preserve">Honda/Insight/1M/7872 </v>
      </c>
    </row>
    <row r="16" spans="1:3" x14ac:dyDescent="0.25">
      <c r="A16" t="s">
        <v>100</v>
      </c>
      <c r="B16" t="s">
        <v>289</v>
      </c>
      <c r="C16" t="str">
        <f t="shared" si="0"/>
        <v xml:space="preserve">Honda/Insight/1M/9574 (MMO) </v>
      </c>
    </row>
    <row r="17" spans="1:3" x14ac:dyDescent="0.25">
      <c r="A17" t="s">
        <v>163</v>
      </c>
      <c r="B17" t="s">
        <v>289</v>
      </c>
      <c r="C17" t="str">
        <f t="shared" si="0"/>
        <v>Honda/Insight/1M/9575</v>
      </c>
    </row>
    <row r="18" spans="1:3" x14ac:dyDescent="0.25">
      <c r="A18" t="s">
        <v>168</v>
      </c>
      <c r="B18" t="s">
        <v>289</v>
      </c>
      <c r="C18" t="str">
        <f t="shared" si="0"/>
        <v>Honda/Insight/1N/3473</v>
      </c>
    </row>
    <row r="19" spans="1:3" x14ac:dyDescent="0.25">
      <c r="A19" t="s">
        <v>98</v>
      </c>
      <c r="B19" t="s">
        <v>289</v>
      </c>
      <c r="C19" t="str">
        <f t="shared" si="0"/>
        <v>Honda/Insight/1N/6213 (MMO)</v>
      </c>
    </row>
    <row r="20" spans="1:3" x14ac:dyDescent="0.25">
      <c r="A20" t="s">
        <v>155</v>
      </c>
      <c r="B20" t="s">
        <v>292</v>
      </c>
      <c r="C20" t="str">
        <f t="shared" si="0"/>
        <v>Nissan/Sunny/1P/1210</v>
      </c>
    </row>
    <row r="21" spans="1:3" x14ac:dyDescent="0.25">
      <c r="A21" t="s">
        <v>293</v>
      </c>
      <c r="B21" t="s">
        <v>288</v>
      </c>
      <c r="C21" t="str">
        <f t="shared" si="0"/>
        <v>Nissan/AD/1Q/1193 (MMO)</v>
      </c>
    </row>
    <row r="22" spans="1:3" x14ac:dyDescent="0.25">
      <c r="A22" t="s">
        <v>153</v>
      </c>
      <c r="B22" t="s">
        <v>292</v>
      </c>
      <c r="C22" t="str">
        <f t="shared" si="0"/>
        <v>Nissan/Sunny/1R/7367 (MMO)</v>
      </c>
    </row>
    <row r="23" spans="1:3" x14ac:dyDescent="0.25">
      <c r="A23" t="s">
        <v>172</v>
      </c>
      <c r="B23" t="s">
        <v>289</v>
      </c>
      <c r="C23" t="str">
        <f t="shared" si="0"/>
        <v>Honda/Insight/2E/7644</v>
      </c>
    </row>
    <row r="24" spans="1:3" x14ac:dyDescent="0.25">
      <c r="A24" t="s">
        <v>126</v>
      </c>
      <c r="B24" t="s">
        <v>289</v>
      </c>
      <c r="C24" t="str">
        <f t="shared" si="0"/>
        <v xml:space="preserve">Honda/Insight/2E/7802 </v>
      </c>
    </row>
    <row r="25" spans="1:3" x14ac:dyDescent="0.25">
      <c r="A25" t="s">
        <v>294</v>
      </c>
      <c r="B25" t="s">
        <v>287</v>
      </c>
      <c r="C25" t="str">
        <f t="shared" si="0"/>
        <v>Toyota/Alphard/2F/2142</v>
      </c>
    </row>
    <row r="26" spans="1:3" x14ac:dyDescent="0.25">
      <c r="A26" t="s">
        <v>93</v>
      </c>
      <c r="B26" t="s">
        <v>288</v>
      </c>
      <c r="C26" t="str">
        <f t="shared" si="0"/>
        <v xml:space="preserve">Nissan/AD/2F/9171 </v>
      </c>
    </row>
    <row r="27" spans="1:3" x14ac:dyDescent="0.25">
      <c r="A27" t="s">
        <v>146</v>
      </c>
      <c r="B27" t="s">
        <v>289</v>
      </c>
      <c r="C27" t="str">
        <f t="shared" si="0"/>
        <v xml:space="preserve">Honda/Insight/2I/7677 </v>
      </c>
    </row>
    <row r="28" spans="1:3" x14ac:dyDescent="0.25">
      <c r="A28" t="s">
        <v>121</v>
      </c>
      <c r="B28" t="s">
        <v>289</v>
      </c>
      <c r="C28" t="str">
        <f t="shared" si="0"/>
        <v>Honda/Insight/2J/3021</v>
      </c>
    </row>
    <row r="29" spans="1:3" x14ac:dyDescent="0.25">
      <c r="A29" t="s">
        <v>166</v>
      </c>
      <c r="B29" t="s">
        <v>289</v>
      </c>
      <c r="C29" t="str">
        <f t="shared" si="0"/>
        <v>Honda/Insight/2L/5621</v>
      </c>
    </row>
    <row r="30" spans="1:3" x14ac:dyDescent="0.25">
      <c r="A30" t="s">
        <v>295</v>
      </c>
      <c r="B30" t="s">
        <v>289</v>
      </c>
      <c r="C30" t="str">
        <f t="shared" si="0"/>
        <v>Honda/Insight/2L/8057</v>
      </c>
    </row>
    <row r="31" spans="1:3" x14ac:dyDescent="0.25">
      <c r="A31" t="s">
        <v>135</v>
      </c>
      <c r="B31" t="s">
        <v>289</v>
      </c>
      <c r="C31" t="str">
        <f t="shared" si="0"/>
        <v>Honda/Insight/2M/1710</v>
      </c>
    </row>
    <row r="32" spans="1:3" x14ac:dyDescent="0.25">
      <c r="A32" t="s">
        <v>141</v>
      </c>
      <c r="B32" t="s">
        <v>289</v>
      </c>
      <c r="C32" t="str">
        <f t="shared" si="0"/>
        <v xml:space="preserve">Honda/Insight/2M/5574 </v>
      </c>
    </row>
    <row r="33" spans="1:3" x14ac:dyDescent="0.25">
      <c r="A33" t="s">
        <v>95</v>
      </c>
      <c r="B33" t="s">
        <v>296</v>
      </c>
      <c r="C33" t="str">
        <f t="shared" si="0"/>
        <v>Suzuki/Ciaz/2Q/1461 (MMO)</v>
      </c>
    </row>
    <row r="34" spans="1:3" x14ac:dyDescent="0.25">
      <c r="A34" t="s">
        <v>96</v>
      </c>
      <c r="B34" t="s">
        <v>296</v>
      </c>
      <c r="C34" t="str">
        <f t="shared" si="0"/>
        <v xml:space="preserve">Suzuki/Ciaz/2S/2927 </v>
      </c>
    </row>
    <row r="35" spans="1:3" x14ac:dyDescent="0.25">
      <c r="A35" t="s">
        <v>175</v>
      </c>
      <c r="B35" t="s">
        <v>289</v>
      </c>
      <c r="C35" t="str">
        <f t="shared" si="0"/>
        <v>Honda/Insight/3D/4211</v>
      </c>
    </row>
    <row r="36" spans="1:3" x14ac:dyDescent="0.25">
      <c r="A36" t="s">
        <v>174</v>
      </c>
      <c r="B36" t="s">
        <v>289</v>
      </c>
      <c r="C36" t="str">
        <f t="shared" si="0"/>
        <v>Honda/Insight/3D/5417</v>
      </c>
    </row>
    <row r="37" spans="1:3" x14ac:dyDescent="0.25">
      <c r="A37" t="s">
        <v>132</v>
      </c>
      <c r="B37" t="s">
        <v>289</v>
      </c>
      <c r="C37" t="str">
        <f t="shared" si="0"/>
        <v>Honda/Insight/3D/6534</v>
      </c>
    </row>
    <row r="38" spans="1:3" x14ac:dyDescent="0.25">
      <c r="A38" t="s">
        <v>91</v>
      </c>
      <c r="B38" t="s">
        <v>288</v>
      </c>
      <c r="C38" t="str">
        <f t="shared" si="0"/>
        <v>Nissan/AD/3H/5929</v>
      </c>
    </row>
    <row r="39" spans="1:3" x14ac:dyDescent="0.25">
      <c r="A39" t="s">
        <v>170</v>
      </c>
      <c r="B39" t="s">
        <v>289</v>
      </c>
      <c r="C39" t="str">
        <f t="shared" si="0"/>
        <v>Honda/Insight/3I/2599</v>
      </c>
    </row>
    <row r="40" spans="1:3" x14ac:dyDescent="0.25">
      <c r="A40" t="s">
        <v>105</v>
      </c>
      <c r="B40" t="s">
        <v>289</v>
      </c>
      <c r="C40" t="str">
        <f t="shared" si="0"/>
        <v>Honda/Insight/3J/4642 (MMO)</v>
      </c>
    </row>
    <row r="41" spans="1:3" x14ac:dyDescent="0.25">
      <c r="A41" t="s">
        <v>134</v>
      </c>
      <c r="B41" t="s">
        <v>289</v>
      </c>
      <c r="C41" t="str">
        <f t="shared" si="0"/>
        <v>Honda/Insight/3L/6640</v>
      </c>
    </row>
    <row r="42" spans="1:3" x14ac:dyDescent="0.25">
      <c r="A42" t="s">
        <v>131</v>
      </c>
      <c r="B42" t="s">
        <v>289</v>
      </c>
      <c r="C42" t="str">
        <f t="shared" si="0"/>
        <v xml:space="preserve">Honda/Insight/3M/3477 </v>
      </c>
    </row>
    <row r="43" spans="1:3" x14ac:dyDescent="0.25">
      <c r="A43" t="s">
        <v>125</v>
      </c>
      <c r="B43" t="s">
        <v>289</v>
      </c>
      <c r="C43" t="str">
        <f t="shared" si="0"/>
        <v xml:space="preserve">Honda/Insight/4D/4361 </v>
      </c>
    </row>
    <row r="44" spans="1:3" x14ac:dyDescent="0.25">
      <c r="A44" t="s">
        <v>101</v>
      </c>
      <c r="B44" t="s">
        <v>289</v>
      </c>
      <c r="C44" t="str">
        <f t="shared" si="0"/>
        <v>Honda/Insight/4H/5781 (MMO)</v>
      </c>
    </row>
    <row r="45" spans="1:3" x14ac:dyDescent="0.25">
      <c r="A45" t="s">
        <v>94</v>
      </c>
      <c r="B45" t="s">
        <v>297</v>
      </c>
      <c r="C45" t="str">
        <f t="shared" si="0"/>
        <v xml:space="preserve">Toyota/Belta/4H/8153 </v>
      </c>
    </row>
    <row r="46" spans="1:3" x14ac:dyDescent="0.25">
      <c r="A46" t="s">
        <v>104</v>
      </c>
      <c r="B46" t="s">
        <v>289</v>
      </c>
      <c r="C46" t="str">
        <f t="shared" si="0"/>
        <v>Honda/Insight/4K/1329</v>
      </c>
    </row>
    <row r="47" spans="1:3" x14ac:dyDescent="0.25">
      <c r="A47" t="s">
        <v>136</v>
      </c>
      <c r="B47" t="s">
        <v>289</v>
      </c>
      <c r="C47" t="str">
        <f t="shared" si="0"/>
        <v>Honda/Insight/4K/7478</v>
      </c>
    </row>
    <row r="48" spans="1:3" x14ac:dyDescent="0.25">
      <c r="A48" t="s">
        <v>115</v>
      </c>
      <c r="B48" t="s">
        <v>289</v>
      </c>
      <c r="C48" t="str">
        <f t="shared" si="0"/>
        <v>Honda/Insight/4K/7943 (MMO)</v>
      </c>
    </row>
    <row r="49" spans="1:3" x14ac:dyDescent="0.25">
      <c r="A49" t="s">
        <v>106</v>
      </c>
      <c r="B49" t="s">
        <v>289</v>
      </c>
      <c r="C49" t="str">
        <f t="shared" si="0"/>
        <v xml:space="preserve">Honda/Insight/4L/9873 (MMO) </v>
      </c>
    </row>
    <row r="50" spans="1:3" x14ac:dyDescent="0.25">
      <c r="A50" t="s">
        <v>161</v>
      </c>
      <c r="B50" t="s">
        <v>289</v>
      </c>
      <c r="C50" t="str">
        <f t="shared" si="0"/>
        <v>Honda/Insight/4Q/9683 (MMO)</v>
      </c>
    </row>
    <row r="51" spans="1:3" x14ac:dyDescent="0.25">
      <c r="A51" t="s">
        <v>127</v>
      </c>
      <c r="B51" t="s">
        <v>289</v>
      </c>
      <c r="C51" t="str">
        <f t="shared" si="0"/>
        <v>Honda/Insight/5D/3266</v>
      </c>
    </row>
    <row r="52" spans="1:3" x14ac:dyDescent="0.25">
      <c r="A52" t="s">
        <v>108</v>
      </c>
      <c r="B52" t="s">
        <v>289</v>
      </c>
      <c r="C52" t="str">
        <f t="shared" si="0"/>
        <v>Honda/Insight/5H/6646 (MMO)</v>
      </c>
    </row>
    <row r="53" spans="1:3" x14ac:dyDescent="0.25">
      <c r="A53" t="s">
        <v>149</v>
      </c>
      <c r="B53" t="s">
        <v>289</v>
      </c>
      <c r="C53" t="str">
        <f t="shared" si="0"/>
        <v xml:space="preserve">Honda/Insight/5K/4168 </v>
      </c>
    </row>
    <row r="54" spans="1:3" x14ac:dyDescent="0.25">
      <c r="A54" t="s">
        <v>130</v>
      </c>
      <c r="B54" t="s">
        <v>289</v>
      </c>
      <c r="C54" t="str">
        <f t="shared" si="0"/>
        <v>Honda/Insight/5K/8905</v>
      </c>
    </row>
    <row r="55" spans="1:3" x14ac:dyDescent="0.25">
      <c r="A55" t="s">
        <v>117</v>
      </c>
      <c r="B55" t="s">
        <v>289</v>
      </c>
      <c r="C55" t="str">
        <f t="shared" si="0"/>
        <v xml:space="preserve">Honda/Insight/5L/1648 (MMO) </v>
      </c>
    </row>
    <row r="56" spans="1:3" x14ac:dyDescent="0.25">
      <c r="A56" t="s">
        <v>113</v>
      </c>
      <c r="B56" t="s">
        <v>289</v>
      </c>
      <c r="C56" t="str">
        <f t="shared" si="0"/>
        <v>Honda/Insight/5L/4960 (MMO)</v>
      </c>
    </row>
    <row r="57" spans="1:3" x14ac:dyDescent="0.25">
      <c r="A57" t="s">
        <v>171</v>
      </c>
      <c r="B57" t="s">
        <v>289</v>
      </c>
      <c r="C57" t="str">
        <f t="shared" si="0"/>
        <v>Honda/Insight/5L/5487</v>
      </c>
    </row>
    <row r="58" spans="1:3" x14ac:dyDescent="0.25">
      <c r="A58" t="s">
        <v>169</v>
      </c>
      <c r="B58" t="s">
        <v>289</v>
      </c>
      <c r="C58" t="str">
        <f t="shared" si="0"/>
        <v>Honda/Insight/5L/8865</v>
      </c>
    </row>
    <row r="59" spans="1:3" x14ac:dyDescent="0.25">
      <c r="A59" t="s">
        <v>111</v>
      </c>
      <c r="B59" t="s">
        <v>289</v>
      </c>
      <c r="C59" t="str">
        <f t="shared" si="0"/>
        <v>Honda/Insight/5N/5306 (MMO)</v>
      </c>
    </row>
    <row r="60" spans="1:3" x14ac:dyDescent="0.25">
      <c r="A60" t="s">
        <v>162</v>
      </c>
      <c r="B60" t="s">
        <v>289</v>
      </c>
      <c r="C60" t="str">
        <f t="shared" si="0"/>
        <v>Honda/Insight/5P/5451</v>
      </c>
    </row>
    <row r="61" spans="1:3" x14ac:dyDescent="0.25">
      <c r="A61" t="s">
        <v>158</v>
      </c>
      <c r="B61" t="s">
        <v>289</v>
      </c>
      <c r="C61" t="str">
        <f t="shared" si="0"/>
        <v>Honda/Insight/5P/6639 (MMO)</v>
      </c>
    </row>
    <row r="62" spans="1:3" x14ac:dyDescent="0.25">
      <c r="A62" t="s">
        <v>97</v>
      </c>
      <c r="B62" t="s">
        <v>289</v>
      </c>
      <c r="C62" t="str">
        <f t="shared" si="0"/>
        <v>Honda/Insight/5Q/8505 (MMO)</v>
      </c>
    </row>
    <row r="63" spans="1:3" x14ac:dyDescent="0.25">
      <c r="A63" t="s">
        <v>298</v>
      </c>
      <c r="B63" t="s">
        <v>288</v>
      </c>
      <c r="C63" t="str">
        <f t="shared" si="0"/>
        <v>Nissan/AD/6F/6516</v>
      </c>
    </row>
    <row r="64" spans="1:3" x14ac:dyDescent="0.25">
      <c r="A64" t="s">
        <v>159</v>
      </c>
      <c r="B64" t="s">
        <v>289</v>
      </c>
      <c r="C64" t="str">
        <f t="shared" si="0"/>
        <v>Honda/Insight/6I/8975 (MMO)</v>
      </c>
    </row>
    <row r="65" spans="1:3" x14ac:dyDescent="0.25">
      <c r="A65" t="s">
        <v>147</v>
      </c>
      <c r="B65" t="s">
        <v>289</v>
      </c>
      <c r="C65" t="str">
        <f t="shared" si="0"/>
        <v xml:space="preserve">Honda/Insight/6K/9464 </v>
      </c>
    </row>
    <row r="66" spans="1:3" x14ac:dyDescent="0.25">
      <c r="A66" t="s">
        <v>150</v>
      </c>
      <c r="B66" t="s">
        <v>299</v>
      </c>
      <c r="C66" t="str">
        <f t="shared" si="0"/>
        <v>Nissan/March/6L/2250 (MMO)</v>
      </c>
    </row>
    <row r="67" spans="1:3" x14ac:dyDescent="0.25">
      <c r="A67" t="s">
        <v>173</v>
      </c>
      <c r="B67" t="s">
        <v>289</v>
      </c>
      <c r="C67" t="str">
        <f t="shared" ref="C67:C96" si="1">CONCATENATE(B67, "/", A67)</f>
        <v>Honda/Insight/6L/2311</v>
      </c>
    </row>
    <row r="68" spans="1:3" x14ac:dyDescent="0.25">
      <c r="A68" t="s">
        <v>300</v>
      </c>
      <c r="B68" t="s">
        <v>301</v>
      </c>
      <c r="C68" t="str">
        <f t="shared" si="1"/>
        <v xml:space="preserve">Hyundai/H1/6L/2504 </v>
      </c>
    </row>
    <row r="69" spans="1:3" x14ac:dyDescent="0.25">
      <c r="A69" t="s">
        <v>145</v>
      </c>
      <c r="B69" t="s">
        <v>289</v>
      </c>
      <c r="C69" t="str">
        <f t="shared" si="1"/>
        <v>Honda/Insight/6L/5802</v>
      </c>
    </row>
    <row r="70" spans="1:3" x14ac:dyDescent="0.25">
      <c r="A70" t="s">
        <v>114</v>
      </c>
      <c r="B70" t="s">
        <v>289</v>
      </c>
      <c r="C70" t="str">
        <f t="shared" si="1"/>
        <v xml:space="preserve">Honda/Insight/6L/8556 (MMO) </v>
      </c>
    </row>
    <row r="71" spans="1:3" x14ac:dyDescent="0.25">
      <c r="A71" t="s">
        <v>164</v>
      </c>
      <c r="B71" t="s">
        <v>289</v>
      </c>
      <c r="C71" t="str">
        <f t="shared" si="1"/>
        <v>Honda/Insight/6L/9338</v>
      </c>
    </row>
    <row r="72" spans="1:3" x14ac:dyDescent="0.25">
      <c r="A72" t="s">
        <v>302</v>
      </c>
      <c r="B72" t="s">
        <v>289</v>
      </c>
      <c r="C72" t="str">
        <f t="shared" si="1"/>
        <v>Honda/Insight/6Q/1178(MMO)</v>
      </c>
    </row>
    <row r="73" spans="1:3" x14ac:dyDescent="0.25">
      <c r="A73" t="s">
        <v>118</v>
      </c>
      <c r="B73" t="s">
        <v>289</v>
      </c>
      <c r="C73" t="str">
        <f t="shared" si="1"/>
        <v xml:space="preserve">Honda/Insight/7C/8788 </v>
      </c>
    </row>
    <row r="74" spans="1:3" x14ac:dyDescent="0.25">
      <c r="A74" t="s">
        <v>137</v>
      </c>
      <c r="B74" t="s">
        <v>289</v>
      </c>
      <c r="C74" t="str">
        <f t="shared" si="1"/>
        <v>Honda/Insight/7H/1783</v>
      </c>
    </row>
    <row r="75" spans="1:3" x14ac:dyDescent="0.25">
      <c r="A75" t="s">
        <v>160</v>
      </c>
      <c r="B75" t="s">
        <v>289</v>
      </c>
      <c r="C75" t="str">
        <f t="shared" si="1"/>
        <v>Honda/Insight/7H/1942 (MMO)</v>
      </c>
    </row>
    <row r="76" spans="1:3" x14ac:dyDescent="0.25">
      <c r="A76" t="s">
        <v>119</v>
      </c>
      <c r="B76" t="s">
        <v>289</v>
      </c>
      <c r="C76" t="str">
        <f t="shared" si="1"/>
        <v>Honda/Insight/7H/8222</v>
      </c>
    </row>
    <row r="77" spans="1:3" x14ac:dyDescent="0.25">
      <c r="A77" t="s">
        <v>303</v>
      </c>
      <c r="B77" t="s">
        <v>304</v>
      </c>
      <c r="C77" t="str">
        <f t="shared" si="1"/>
        <v>Honda/Civic/7H/8541</v>
      </c>
    </row>
    <row r="78" spans="1:3" x14ac:dyDescent="0.25">
      <c r="A78" t="s">
        <v>123</v>
      </c>
      <c r="B78" t="s">
        <v>289</v>
      </c>
      <c r="C78" t="str">
        <f t="shared" si="1"/>
        <v>Honda/Insight/7J/5038</v>
      </c>
    </row>
    <row r="79" spans="1:3" x14ac:dyDescent="0.25">
      <c r="A79" t="s">
        <v>139</v>
      </c>
      <c r="B79" t="s">
        <v>289</v>
      </c>
      <c r="C79" t="str">
        <f t="shared" si="1"/>
        <v xml:space="preserve">Honda/Insight/7K/3137 </v>
      </c>
    </row>
    <row r="80" spans="1:3" x14ac:dyDescent="0.25">
      <c r="A80" t="s">
        <v>140</v>
      </c>
      <c r="B80" t="s">
        <v>289</v>
      </c>
      <c r="C80" t="str">
        <f t="shared" si="1"/>
        <v xml:space="preserve">Honda/Insight/7K/4229 </v>
      </c>
    </row>
    <row r="81" spans="1:3" x14ac:dyDescent="0.25">
      <c r="A81" t="s">
        <v>122</v>
      </c>
      <c r="B81" t="s">
        <v>289</v>
      </c>
      <c r="C81" t="str">
        <f t="shared" si="1"/>
        <v>Honda/Insight/7K/5798</v>
      </c>
    </row>
    <row r="82" spans="1:3" x14ac:dyDescent="0.25">
      <c r="A82" t="s">
        <v>102</v>
      </c>
      <c r="B82" t="s">
        <v>289</v>
      </c>
      <c r="C82" t="str">
        <f t="shared" si="1"/>
        <v>Honda/Insight/7K/6305 (MMO)</v>
      </c>
    </row>
    <row r="83" spans="1:3" x14ac:dyDescent="0.25">
      <c r="A83" t="s">
        <v>99</v>
      </c>
      <c r="B83" t="s">
        <v>289</v>
      </c>
      <c r="C83" t="str">
        <f t="shared" si="1"/>
        <v>Honda/Insight/7N/1419</v>
      </c>
    </row>
    <row r="84" spans="1:3" x14ac:dyDescent="0.25">
      <c r="A84" t="s">
        <v>156</v>
      </c>
      <c r="B84" t="s">
        <v>291</v>
      </c>
      <c r="C84" t="str">
        <f t="shared" si="1"/>
        <v>Toyota/Vitz/7N/1797 (MMO)</v>
      </c>
    </row>
    <row r="85" spans="1:3" x14ac:dyDescent="0.25">
      <c r="A85" t="s">
        <v>152</v>
      </c>
      <c r="B85" t="s">
        <v>305</v>
      </c>
      <c r="C85" t="str">
        <f t="shared" si="1"/>
        <v>Toyota/Ractis/7P/6171 (MMO)</v>
      </c>
    </row>
    <row r="86" spans="1:3" x14ac:dyDescent="0.25">
      <c r="A86" t="s">
        <v>90</v>
      </c>
      <c r="B86" t="s">
        <v>288</v>
      </c>
      <c r="C86" t="str">
        <f t="shared" si="1"/>
        <v xml:space="preserve">Nissan/AD/7P/6769 (MMO) </v>
      </c>
    </row>
    <row r="87" spans="1:3" x14ac:dyDescent="0.25">
      <c r="A87" t="s">
        <v>109</v>
      </c>
      <c r="B87" t="s">
        <v>289</v>
      </c>
      <c r="C87" t="str">
        <f t="shared" si="1"/>
        <v>Honda/Insight/9H/5551 (MMO)</v>
      </c>
    </row>
    <row r="88" spans="1:3" x14ac:dyDescent="0.25">
      <c r="A88" t="s">
        <v>124</v>
      </c>
      <c r="B88" t="s">
        <v>289</v>
      </c>
      <c r="C88" t="str">
        <f t="shared" si="1"/>
        <v>Honda/Insight/9H/6009</v>
      </c>
    </row>
    <row r="89" spans="1:3" x14ac:dyDescent="0.25">
      <c r="A89" t="s">
        <v>144</v>
      </c>
      <c r="B89" t="s">
        <v>289</v>
      </c>
      <c r="C89" t="str">
        <f t="shared" si="1"/>
        <v xml:space="preserve">Honda/Insight/9J/1459 </v>
      </c>
    </row>
    <row r="90" spans="1:3" x14ac:dyDescent="0.25">
      <c r="A90" t="s">
        <v>103</v>
      </c>
      <c r="B90" t="s">
        <v>289</v>
      </c>
      <c r="C90" t="str">
        <f t="shared" si="1"/>
        <v>Honda/Insight/9J/5030 (MMO)</v>
      </c>
    </row>
    <row r="91" spans="1:3" x14ac:dyDescent="0.25">
      <c r="A91" t="s">
        <v>120</v>
      </c>
      <c r="B91" t="s">
        <v>289</v>
      </c>
      <c r="C91" t="str">
        <f t="shared" si="1"/>
        <v>Honda/Insight/9J/5405</v>
      </c>
    </row>
    <row r="92" spans="1:3" x14ac:dyDescent="0.25">
      <c r="A92" t="s">
        <v>112</v>
      </c>
      <c r="B92" t="s">
        <v>289</v>
      </c>
      <c r="C92" t="str">
        <f t="shared" si="1"/>
        <v>Honda/Insight/9J/7302 (MMO)</v>
      </c>
    </row>
    <row r="93" spans="1:3" x14ac:dyDescent="0.25">
      <c r="A93" t="s">
        <v>167</v>
      </c>
      <c r="B93" t="s">
        <v>289</v>
      </c>
      <c r="C93" t="str">
        <f t="shared" si="1"/>
        <v>Honda/Insight/9J/7318</v>
      </c>
    </row>
    <row r="94" spans="1:3" x14ac:dyDescent="0.25">
      <c r="A94" t="s">
        <v>143</v>
      </c>
      <c r="B94" t="s">
        <v>289</v>
      </c>
      <c r="C94" t="str">
        <f t="shared" si="1"/>
        <v xml:space="preserve">Honda/Insight/9K/7202 </v>
      </c>
    </row>
    <row r="95" spans="1:3" x14ac:dyDescent="0.25">
      <c r="A95" t="s">
        <v>107</v>
      </c>
      <c r="B95" t="s">
        <v>289</v>
      </c>
      <c r="C95" t="str">
        <f t="shared" si="1"/>
        <v>Honda/Insight/9L/9176 (MMO)</v>
      </c>
    </row>
    <row r="96" spans="1:3" x14ac:dyDescent="0.25">
      <c r="A96" t="s">
        <v>154</v>
      </c>
      <c r="B96" t="s">
        <v>292</v>
      </c>
      <c r="C96" t="str">
        <f t="shared" si="1"/>
        <v xml:space="preserve">Nissan/Sunny/9N/2999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Zaw Thet  Maung</cp:lastModifiedBy>
  <dcterms:created xsi:type="dcterms:W3CDTF">2024-08-19T07:41:20Z</dcterms:created>
  <dcterms:modified xsi:type="dcterms:W3CDTF">2024-08-20T04:04:26Z</dcterms:modified>
</cp:coreProperties>
</file>